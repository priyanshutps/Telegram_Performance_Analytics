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workbookPr defaultThemeVersion="166925"/>
  <mc:AlternateContent xmlns:mc="http://schemas.openxmlformats.org/markup-compatibility/2006">
    <mc:Choice Requires="x15">
      <x15ac:absPath xmlns:x15ac="http://schemas.microsoft.com/office/spreadsheetml/2010/11/ac" url="D:\"/>
    </mc:Choice>
  </mc:AlternateContent>
  <xr:revisionPtr revIDLastSave="0" documentId="8_{A47690E3-4009-4983-B49D-F641AD0409CB}" xr6:coauthVersionLast="47" xr6:coauthVersionMax="47" xr10:uidLastSave="{00000000-0000-0000-0000-000000000000}"/>
  <bookViews>
    <workbookView xWindow="-108" yWindow="-108" windowWidth="23256" windowHeight="12456" tabRatio="825" xr2:uid="{7C2B4FED-7315-46EC-A5ED-2519C135B357}"/>
  </bookViews>
  <sheets>
    <sheet name="Dashboard" sheetId="15" r:id="rId1"/>
    <sheet name="Weekly data(nov 2024- may 2025)" sheetId="1" r:id="rId2"/>
    <sheet name="DAILY DATA" sheetId="16" r:id="rId3"/>
    <sheet name="Top5" sheetId="17" r:id="rId4"/>
    <sheet name="TOP 5 ANALYSIS 2" sheetId="19" r:id="rId5"/>
    <sheet name="daily real" sheetId="20" r:id="rId6"/>
    <sheet name="ROUGH CALCULATION SHEET" sheetId="23" r:id="rId7"/>
  </sheets>
  <definedNames>
    <definedName name="_xlnm._FilterDatabase" localSheetId="5" hidden="1">'daily real'!$A$1:$E$1001</definedName>
    <definedName name="_xlnm._FilterDatabase" localSheetId="6" hidden="1">'ROUGH CALCULATION SHEET'!$A$1:$F$1001</definedName>
    <definedName name="_xlnm._FilterDatabase" localSheetId="4" hidden="1">'TOP 5 ANALYSIS 2'!$A$1:$G$1001</definedName>
  </definedNames>
  <calcPr calcId="191029"/>
  <pivotCaches>
    <pivotCache cacheId="0" r:id="rId8"/>
    <pivotCache cacheId="73" r:id="rId9"/>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 i="20" l="1"/>
  <c r="D2" i="20" a="1"/>
  <c r="D2" i="20" s="1"/>
  <c r="D1001" i="23" a="1"/>
  <c r="D1001" i="23" s="1"/>
  <c r="E1001" i="23" s="1"/>
  <c r="D1000" i="23" a="1"/>
  <c r="D1000" i="23" s="1"/>
  <c r="E1000" i="23" s="1"/>
  <c r="D999" i="23" a="1"/>
  <c r="D999" i="23" s="1"/>
  <c r="E999" i="23" s="1"/>
  <c r="D998" i="23" a="1"/>
  <c r="D998" i="23" s="1"/>
  <c r="E998" i="23" s="1"/>
  <c r="D997" i="23" a="1"/>
  <c r="D997" i="23" s="1"/>
  <c r="E997" i="23" s="1"/>
  <c r="D996" i="23" a="1"/>
  <c r="D996" i="23" s="1"/>
  <c r="E996" i="23" s="1"/>
  <c r="D995" i="23" a="1"/>
  <c r="D995" i="23" s="1"/>
  <c r="E995" i="23" s="1"/>
  <c r="D994" i="23" a="1"/>
  <c r="D994" i="23" s="1"/>
  <c r="E994" i="23" s="1"/>
  <c r="D993" i="23" a="1"/>
  <c r="D993" i="23" s="1"/>
  <c r="E993" i="23" s="1"/>
  <c r="D992" i="23" a="1"/>
  <c r="D992" i="23" s="1"/>
  <c r="E992" i="23" s="1"/>
  <c r="D991" i="23" a="1"/>
  <c r="D991" i="23" s="1"/>
  <c r="E991" i="23" s="1"/>
  <c r="D990" i="23" a="1"/>
  <c r="D990" i="23" s="1"/>
  <c r="E990" i="23" s="1"/>
  <c r="D989" i="23" a="1"/>
  <c r="D989" i="23" s="1"/>
  <c r="E989" i="23" s="1"/>
  <c r="D988" i="23" a="1"/>
  <c r="D988" i="23" s="1"/>
  <c r="E988" i="23" s="1"/>
  <c r="D987" i="23" a="1"/>
  <c r="D987" i="23" s="1"/>
  <c r="E987" i="23" s="1"/>
  <c r="E986" i="23"/>
  <c r="D986" i="23"/>
  <c r="D986" i="23" a="1"/>
  <c r="D985" i="23" a="1"/>
  <c r="D985" i="23" s="1"/>
  <c r="E985" i="23" s="1"/>
  <c r="D984" i="23" a="1"/>
  <c r="D984" i="23" s="1"/>
  <c r="E984" i="23" s="1"/>
  <c r="D983" i="23" a="1"/>
  <c r="D983" i="23" s="1"/>
  <c r="E983" i="23" s="1"/>
  <c r="D982" i="23" a="1"/>
  <c r="D982" i="23" s="1"/>
  <c r="E982" i="23" s="1"/>
  <c r="D981" i="23" a="1"/>
  <c r="D981" i="23" s="1"/>
  <c r="E981" i="23" s="1"/>
  <c r="D980" i="23" a="1"/>
  <c r="D980" i="23" s="1"/>
  <c r="E980" i="23" s="1"/>
  <c r="D979" i="23" a="1"/>
  <c r="D979" i="23" s="1"/>
  <c r="E979" i="23" s="1"/>
  <c r="D978" i="23" a="1"/>
  <c r="D978" i="23" s="1"/>
  <c r="E978" i="23" s="1"/>
  <c r="D977" i="23" a="1"/>
  <c r="D977" i="23" s="1"/>
  <c r="E977" i="23" s="1"/>
  <c r="D976" i="23" a="1"/>
  <c r="D976" i="23" s="1"/>
  <c r="E976" i="23" s="1"/>
  <c r="D975" i="23" a="1"/>
  <c r="D975" i="23" s="1"/>
  <c r="E975" i="23" s="1"/>
  <c r="D974" i="23" a="1"/>
  <c r="D974" i="23" s="1"/>
  <c r="E974" i="23" s="1"/>
  <c r="D973" i="23" a="1"/>
  <c r="D973" i="23" s="1"/>
  <c r="E973" i="23" s="1"/>
  <c r="D972" i="23" a="1"/>
  <c r="D972" i="23" s="1"/>
  <c r="E972" i="23" s="1"/>
  <c r="D971" i="23" a="1"/>
  <c r="D971" i="23" s="1"/>
  <c r="E971" i="23" s="1"/>
  <c r="D970" i="23"/>
  <c r="E970" i="23" s="1"/>
  <c r="D970" i="23" a="1"/>
  <c r="D969" i="23" a="1"/>
  <c r="D969" i="23" s="1"/>
  <c r="E969" i="23" s="1"/>
  <c r="D968" i="23"/>
  <c r="E968" i="23" s="1"/>
  <c r="D968" i="23" a="1"/>
  <c r="D967" i="23" a="1"/>
  <c r="D967" i="23" s="1"/>
  <c r="E967" i="23" s="1"/>
  <c r="D966" i="23" a="1"/>
  <c r="D966" i="23" s="1"/>
  <c r="E966" i="23" s="1"/>
  <c r="D965" i="23" a="1"/>
  <c r="D965" i="23" s="1"/>
  <c r="E965" i="23" s="1"/>
  <c r="D964" i="23" a="1"/>
  <c r="D964" i="23" s="1"/>
  <c r="E964" i="23" s="1"/>
  <c r="D963" i="23" a="1"/>
  <c r="D963" i="23" s="1"/>
  <c r="E963" i="23" s="1"/>
  <c r="D962" i="23" a="1"/>
  <c r="D962" i="23" s="1"/>
  <c r="E962" i="23" s="1"/>
  <c r="D961" i="23" a="1"/>
  <c r="D961" i="23" s="1"/>
  <c r="E961" i="23" s="1"/>
  <c r="D960" i="23" a="1"/>
  <c r="D960" i="23" s="1"/>
  <c r="E960" i="23" s="1"/>
  <c r="D959" i="23" a="1"/>
  <c r="D959" i="23" s="1"/>
  <c r="E959" i="23" s="1"/>
  <c r="D958" i="23" a="1"/>
  <c r="D958" i="23" s="1"/>
  <c r="E958" i="23" s="1"/>
  <c r="D957" i="23" a="1"/>
  <c r="D957" i="23" s="1"/>
  <c r="E957" i="23" s="1"/>
  <c r="D956" i="23" a="1"/>
  <c r="D956" i="23" s="1"/>
  <c r="E956" i="23" s="1"/>
  <c r="D955" i="23"/>
  <c r="E955" i="23" s="1"/>
  <c r="D955" i="23" a="1"/>
  <c r="D954" i="23"/>
  <c r="E954" i="23" s="1"/>
  <c r="D954" i="23" a="1"/>
  <c r="D953" i="23" a="1"/>
  <c r="D953" i="23" s="1"/>
  <c r="E953" i="23" s="1"/>
  <c r="D952" i="23" a="1"/>
  <c r="D952" i="23" s="1"/>
  <c r="E952" i="23" s="1"/>
  <c r="D951" i="23" a="1"/>
  <c r="D951" i="23" s="1"/>
  <c r="E951" i="23" s="1"/>
  <c r="D950" i="23" a="1"/>
  <c r="D950" i="23" s="1"/>
  <c r="E950" i="23" s="1"/>
  <c r="D949" i="23" a="1"/>
  <c r="D949" i="23" s="1"/>
  <c r="E949" i="23" s="1"/>
  <c r="D948" i="23"/>
  <c r="E948" i="23" s="1"/>
  <c r="D948" i="23" a="1"/>
  <c r="D947" i="23" a="1"/>
  <c r="D947" i="23" s="1"/>
  <c r="E947" i="23" s="1"/>
  <c r="D946" i="23" a="1"/>
  <c r="D946" i="23" s="1"/>
  <c r="E946" i="23" s="1"/>
  <c r="D945" i="23" a="1"/>
  <c r="D945" i="23" s="1"/>
  <c r="E945" i="23" s="1"/>
  <c r="D944" i="23" a="1"/>
  <c r="D944" i="23" s="1"/>
  <c r="E944" i="23" s="1"/>
  <c r="D943" i="23" a="1"/>
  <c r="D943" i="23" s="1"/>
  <c r="E943" i="23" s="1"/>
  <c r="D942" i="23" a="1"/>
  <c r="D942" i="23" s="1"/>
  <c r="E942" i="23" s="1"/>
  <c r="D941" i="23" a="1"/>
  <c r="D941" i="23" s="1"/>
  <c r="E941" i="23" s="1"/>
  <c r="D940" i="23" a="1"/>
  <c r="D940" i="23" s="1"/>
  <c r="E940" i="23" s="1"/>
  <c r="D939" i="23" a="1"/>
  <c r="D939" i="23" s="1"/>
  <c r="E939" i="23" s="1"/>
  <c r="D938" i="23" a="1"/>
  <c r="D938" i="23" s="1"/>
  <c r="E938" i="23" s="1"/>
  <c r="D937" i="23" a="1"/>
  <c r="D937" i="23" s="1"/>
  <c r="E937" i="23" s="1"/>
  <c r="D936" i="23" a="1"/>
  <c r="D936" i="23" s="1"/>
  <c r="E936" i="23" s="1"/>
  <c r="D935" i="23" a="1"/>
  <c r="D935" i="23" s="1"/>
  <c r="E935" i="23" s="1"/>
  <c r="D934" i="23" a="1"/>
  <c r="D934" i="23" s="1"/>
  <c r="E934" i="23" s="1"/>
  <c r="D933" i="23" a="1"/>
  <c r="D933" i="23" s="1"/>
  <c r="E933" i="23" s="1"/>
  <c r="D932" i="23"/>
  <c r="E932" i="23" s="1"/>
  <c r="D932" i="23" a="1"/>
  <c r="D931" i="23" a="1"/>
  <c r="D931" i="23" s="1"/>
  <c r="E931" i="23" s="1"/>
  <c r="D930" i="23" a="1"/>
  <c r="D930" i="23" s="1"/>
  <c r="E930" i="23" s="1"/>
  <c r="D929" i="23" a="1"/>
  <c r="D929" i="23" s="1"/>
  <c r="E929" i="23" s="1"/>
  <c r="D928" i="23" a="1"/>
  <c r="D928" i="23" s="1"/>
  <c r="E928" i="23" s="1"/>
  <c r="E927" i="23"/>
  <c r="D927" i="23" a="1"/>
  <c r="D927" i="23" s="1"/>
  <c r="D926" i="23" a="1"/>
  <c r="D926" i="23" s="1"/>
  <c r="E926" i="23" s="1"/>
  <c r="D925" i="23" a="1"/>
  <c r="D925" i="23" s="1"/>
  <c r="E925" i="23" s="1"/>
  <c r="D924" i="23" a="1"/>
  <c r="D924" i="23" s="1"/>
  <c r="E924" i="23" s="1"/>
  <c r="D923" i="23"/>
  <c r="E923" i="23" s="1"/>
  <c r="D923" i="23" a="1"/>
  <c r="D922" i="23"/>
  <c r="E922" i="23" s="1"/>
  <c r="D922" i="23" a="1"/>
  <c r="D921" i="23" a="1"/>
  <c r="D921" i="23" s="1"/>
  <c r="E921" i="23" s="1"/>
  <c r="D920" i="23" a="1"/>
  <c r="D920" i="23" s="1"/>
  <c r="E920" i="23" s="1"/>
  <c r="D919" i="23"/>
  <c r="E919" i="23" s="1"/>
  <c r="D919" i="23" a="1"/>
  <c r="D918" i="23" a="1"/>
  <c r="D918" i="23" s="1"/>
  <c r="E918" i="23" s="1"/>
  <c r="D917" i="23" a="1"/>
  <c r="D917" i="23" s="1"/>
  <c r="E917" i="23" s="1"/>
  <c r="E916" i="23"/>
  <c r="D916" i="23"/>
  <c r="D916" i="23" a="1"/>
  <c r="D915" i="23" a="1"/>
  <c r="D915" i="23" s="1"/>
  <c r="E915" i="23" s="1"/>
  <c r="D914" i="23" a="1"/>
  <c r="D914" i="23" s="1"/>
  <c r="E914" i="23" s="1"/>
  <c r="D913" i="23"/>
  <c r="E913" i="23" s="1"/>
  <c r="D913" i="23" a="1"/>
  <c r="D912" i="23" a="1"/>
  <c r="D912" i="23" s="1"/>
  <c r="E912" i="23" s="1"/>
  <c r="D911" i="23" a="1"/>
  <c r="D911" i="23" s="1"/>
  <c r="E911" i="23" s="1"/>
  <c r="D910" i="23" a="1"/>
  <c r="D910" i="23" s="1"/>
  <c r="E910" i="23" s="1"/>
  <c r="D909" i="23" a="1"/>
  <c r="D909" i="23" s="1"/>
  <c r="E909" i="23" s="1"/>
  <c r="D908" i="23" a="1"/>
  <c r="D908" i="23" s="1"/>
  <c r="E908" i="23" s="1"/>
  <c r="D907" i="23" a="1"/>
  <c r="D907" i="23" s="1"/>
  <c r="E907" i="23" s="1"/>
  <c r="D906" i="23"/>
  <c r="E906" i="23" s="1"/>
  <c r="D906" i="23" a="1"/>
  <c r="D905" i="23" a="1"/>
  <c r="D905" i="23" s="1"/>
  <c r="E905" i="23" s="1"/>
  <c r="D904" i="23"/>
  <c r="E904" i="23" s="1"/>
  <c r="D904" i="23" a="1"/>
  <c r="D903" i="23" a="1"/>
  <c r="D903" i="23" s="1"/>
  <c r="E903" i="23" s="1"/>
  <c r="D902" i="23" a="1"/>
  <c r="D902" i="23" s="1"/>
  <c r="E902" i="23" s="1"/>
  <c r="D901" i="23" a="1"/>
  <c r="D901" i="23" s="1"/>
  <c r="E901" i="23" s="1"/>
  <c r="D900" i="23" a="1"/>
  <c r="D900" i="23" s="1"/>
  <c r="E900" i="23" s="1"/>
  <c r="D899" i="23" a="1"/>
  <c r="D899" i="23" s="1"/>
  <c r="E899" i="23" s="1"/>
  <c r="D898" i="23" a="1"/>
  <c r="D898" i="23" s="1"/>
  <c r="E898" i="23" s="1"/>
  <c r="D897" i="23" a="1"/>
  <c r="D897" i="23" s="1"/>
  <c r="E897" i="23" s="1"/>
  <c r="D896" i="23" a="1"/>
  <c r="D896" i="23" s="1"/>
  <c r="E896" i="23" s="1"/>
  <c r="D895" i="23" a="1"/>
  <c r="D895" i="23" s="1"/>
  <c r="E895" i="23" s="1"/>
  <c r="D894" i="23" a="1"/>
  <c r="D894" i="23" s="1"/>
  <c r="E894" i="23" s="1"/>
  <c r="D893" i="23" a="1"/>
  <c r="D893" i="23" s="1"/>
  <c r="E893" i="23" s="1"/>
  <c r="D892" i="23" a="1"/>
  <c r="D892" i="23" s="1"/>
  <c r="E892" i="23" s="1"/>
  <c r="D891" i="23"/>
  <c r="E891" i="23" s="1"/>
  <c r="D891" i="23" a="1"/>
  <c r="D890" i="23" a="1"/>
  <c r="D890" i="23" s="1"/>
  <c r="E890" i="23" s="1"/>
  <c r="D889" i="23" a="1"/>
  <c r="D889" i="23" s="1"/>
  <c r="E889" i="23" s="1"/>
  <c r="D888" i="23" a="1"/>
  <c r="D888" i="23" s="1"/>
  <c r="E888" i="23" s="1"/>
  <c r="D887" i="23" a="1"/>
  <c r="D887" i="23" s="1"/>
  <c r="E887" i="23" s="1"/>
  <c r="D886" i="23" a="1"/>
  <c r="D886" i="23" s="1"/>
  <c r="E886" i="23" s="1"/>
  <c r="D885" i="23" a="1"/>
  <c r="D885" i="23" s="1"/>
  <c r="E885" i="23" s="1"/>
  <c r="D884" i="23"/>
  <c r="E884" i="23" s="1"/>
  <c r="D884" i="23" a="1"/>
  <c r="D883" i="23" a="1"/>
  <c r="D883" i="23" s="1"/>
  <c r="E883" i="23" s="1"/>
  <c r="D882" i="23" a="1"/>
  <c r="D882" i="23" s="1"/>
  <c r="E882" i="23" s="1"/>
  <c r="D881" i="23"/>
  <c r="E881" i="23" s="1"/>
  <c r="D881" i="23" a="1"/>
  <c r="D880" i="23" a="1"/>
  <c r="D880" i="23" s="1"/>
  <c r="E880" i="23" s="1"/>
  <c r="E879" i="23"/>
  <c r="D879" i="23" a="1"/>
  <c r="D879" i="23" s="1"/>
  <c r="D878" i="23" a="1"/>
  <c r="D878" i="23" s="1"/>
  <c r="E878" i="23" s="1"/>
  <c r="D877" i="23" a="1"/>
  <c r="D877" i="23" s="1"/>
  <c r="E877" i="23" s="1"/>
  <c r="D876" i="23" a="1"/>
  <c r="D876" i="23" s="1"/>
  <c r="E876" i="23" s="1"/>
  <c r="D875" i="23"/>
  <c r="E875" i="23" s="1"/>
  <c r="D875" i="23" a="1"/>
  <c r="D874" i="23"/>
  <c r="E874" i="23" s="1"/>
  <c r="D874" i="23" a="1"/>
  <c r="D873" i="23" a="1"/>
  <c r="D873" i="23" s="1"/>
  <c r="E873" i="23" s="1"/>
  <c r="D872" i="23"/>
  <c r="E872" i="23" s="1"/>
  <c r="D872" i="23" a="1"/>
  <c r="D871" i="23" a="1"/>
  <c r="D871" i="23" s="1"/>
  <c r="E871" i="23" s="1"/>
  <c r="D870" i="23" a="1"/>
  <c r="D870" i="23" s="1"/>
  <c r="E870" i="23" s="1"/>
  <c r="D869" i="23" a="1"/>
  <c r="D869" i="23" s="1"/>
  <c r="E869" i="23" s="1"/>
  <c r="D868" i="23" a="1"/>
  <c r="D868" i="23" s="1"/>
  <c r="E868" i="23" s="1"/>
  <c r="D867" i="23" a="1"/>
  <c r="D867" i="23" s="1"/>
  <c r="E867" i="23" s="1"/>
  <c r="D866" i="23" a="1"/>
  <c r="D866" i="23" s="1"/>
  <c r="E866" i="23" s="1"/>
  <c r="D865" i="23"/>
  <c r="E865" i="23" s="1"/>
  <c r="D865" i="23" a="1"/>
  <c r="D864" i="23" a="1"/>
  <c r="D864" i="23" s="1"/>
  <c r="E864" i="23" s="1"/>
  <c r="D863" i="23" a="1"/>
  <c r="D863" i="23" s="1"/>
  <c r="E863" i="23" s="1"/>
  <c r="D862" i="23" a="1"/>
  <c r="D862" i="23" s="1"/>
  <c r="E862" i="23" s="1"/>
  <c r="D861" i="23" a="1"/>
  <c r="D861" i="23" s="1"/>
  <c r="E861" i="23" s="1"/>
  <c r="D860" i="23" a="1"/>
  <c r="D860" i="23" s="1"/>
  <c r="E860" i="23" s="1"/>
  <c r="D859" i="23" a="1"/>
  <c r="D859" i="23" s="1"/>
  <c r="E859" i="23" s="1"/>
  <c r="D858" i="23" a="1"/>
  <c r="D858" i="23" s="1"/>
  <c r="E858" i="23" s="1"/>
  <c r="D857" i="23" a="1"/>
  <c r="D857" i="23" s="1"/>
  <c r="E857" i="23" s="1"/>
  <c r="D856" i="23" a="1"/>
  <c r="D856" i="23" s="1"/>
  <c r="E856" i="23" s="1"/>
  <c r="D855" i="23"/>
  <c r="E855" i="23" s="1"/>
  <c r="D855" i="23" a="1"/>
  <c r="D854" i="23" a="1"/>
  <c r="D854" i="23" s="1"/>
  <c r="E854" i="23" s="1"/>
  <c r="D853" i="23" a="1"/>
  <c r="D853" i="23" s="1"/>
  <c r="E853" i="23" s="1"/>
  <c r="D852" i="23" a="1"/>
  <c r="D852" i="23" s="1"/>
  <c r="E852" i="23" s="1"/>
  <c r="D851" i="23" a="1"/>
  <c r="D851" i="23" s="1"/>
  <c r="E851" i="23" s="1"/>
  <c r="D850" i="23" a="1"/>
  <c r="D850" i="23" s="1"/>
  <c r="E850" i="23" s="1"/>
  <c r="D849" i="23" a="1"/>
  <c r="D849" i="23" s="1"/>
  <c r="E849" i="23" s="1"/>
  <c r="D848" i="23" a="1"/>
  <c r="D848" i="23" s="1"/>
  <c r="E848" i="23" s="1"/>
  <c r="D847" i="23" a="1"/>
  <c r="D847" i="23" s="1"/>
  <c r="E847" i="23" s="1"/>
  <c r="D846" i="23" a="1"/>
  <c r="D846" i="23" s="1"/>
  <c r="E846" i="23" s="1"/>
  <c r="D845" i="23" a="1"/>
  <c r="D845" i="23" s="1"/>
  <c r="E845" i="23" s="1"/>
  <c r="D844" i="23" a="1"/>
  <c r="D844" i="23" s="1"/>
  <c r="E844" i="23" s="1"/>
  <c r="D843" i="23" a="1"/>
  <c r="D843" i="23" s="1"/>
  <c r="E843" i="23" s="1"/>
  <c r="D842" i="23"/>
  <c r="E842" i="23" s="1"/>
  <c r="D842" i="23" a="1"/>
  <c r="D841" i="23" a="1"/>
  <c r="D841" i="23" s="1"/>
  <c r="E841" i="23" s="1"/>
  <c r="D840" i="23" a="1"/>
  <c r="D840" i="23" s="1"/>
  <c r="E840" i="23" s="1"/>
  <c r="D839" i="23"/>
  <c r="E839" i="23" s="1"/>
  <c r="D839" i="23" a="1"/>
  <c r="D838" i="23" a="1"/>
  <c r="D838" i="23" s="1"/>
  <c r="E838" i="23" s="1"/>
  <c r="D837" i="23" a="1"/>
  <c r="D837" i="23" s="1"/>
  <c r="E837" i="23" s="1"/>
  <c r="D836" i="23" a="1"/>
  <c r="D836" i="23" s="1"/>
  <c r="E836" i="23" s="1"/>
  <c r="D835" i="23" a="1"/>
  <c r="D835" i="23" s="1"/>
  <c r="E835" i="23" s="1"/>
  <c r="D834" i="23" a="1"/>
  <c r="D834" i="23" s="1"/>
  <c r="E834" i="23" s="1"/>
  <c r="D833" i="23" a="1"/>
  <c r="D833" i="23" s="1"/>
  <c r="E833" i="23" s="1"/>
  <c r="D832" i="23" a="1"/>
  <c r="D832" i="23" s="1"/>
  <c r="E832" i="23" s="1"/>
  <c r="D831" i="23" a="1"/>
  <c r="D831" i="23" s="1"/>
  <c r="E831" i="23" s="1"/>
  <c r="D830" i="23" a="1"/>
  <c r="D830" i="23" s="1"/>
  <c r="E830" i="23" s="1"/>
  <c r="D829" i="23" a="1"/>
  <c r="D829" i="23" s="1"/>
  <c r="E829" i="23" s="1"/>
  <c r="D828" i="23" a="1"/>
  <c r="D828" i="23" s="1"/>
  <c r="E828" i="23" s="1"/>
  <c r="D827" i="23"/>
  <c r="E827" i="23" s="1"/>
  <c r="D827" i="23" a="1"/>
  <c r="D826" i="23"/>
  <c r="E826" i="23" s="1"/>
  <c r="D826" i="23" a="1"/>
  <c r="D825" i="23" a="1"/>
  <c r="D825" i="23" s="1"/>
  <c r="E825" i="23" s="1"/>
  <c r="D824" i="23" a="1"/>
  <c r="D824" i="23" s="1"/>
  <c r="E824" i="23" s="1"/>
  <c r="D823" i="23"/>
  <c r="E823" i="23" s="1"/>
  <c r="D823" i="23" a="1"/>
  <c r="D822" i="23" a="1"/>
  <c r="D822" i="23" s="1"/>
  <c r="E822" i="23" s="1"/>
  <c r="D821" i="23" a="1"/>
  <c r="D821" i="23" s="1"/>
  <c r="E821" i="23" s="1"/>
  <c r="D820" i="23"/>
  <c r="E820" i="23" s="1"/>
  <c r="D820" i="23" a="1"/>
  <c r="D819" i="23" a="1"/>
  <c r="D819" i="23" s="1"/>
  <c r="E819" i="23" s="1"/>
  <c r="D818" i="23" a="1"/>
  <c r="D818" i="23" s="1"/>
  <c r="E818" i="23" s="1"/>
  <c r="D817" i="23" a="1"/>
  <c r="D817" i="23" s="1"/>
  <c r="E817" i="23" s="1"/>
  <c r="D816" i="23" a="1"/>
  <c r="D816" i="23" s="1"/>
  <c r="E816" i="23" s="1"/>
  <c r="D815" i="23" a="1"/>
  <c r="D815" i="23" s="1"/>
  <c r="E815" i="23" s="1"/>
  <c r="D814" i="23" a="1"/>
  <c r="D814" i="23" s="1"/>
  <c r="E814" i="23" s="1"/>
  <c r="D813" i="23" a="1"/>
  <c r="D813" i="23" s="1"/>
  <c r="E813" i="23" s="1"/>
  <c r="D812" i="23" a="1"/>
  <c r="D812" i="23" s="1"/>
  <c r="E812" i="23" s="1"/>
  <c r="D811" i="23" a="1"/>
  <c r="D811" i="23" s="1"/>
  <c r="E811" i="23" s="1"/>
  <c r="D810" i="23" a="1"/>
  <c r="D810" i="23" s="1"/>
  <c r="E810" i="23" s="1"/>
  <c r="D809" i="23" a="1"/>
  <c r="D809" i="23" s="1"/>
  <c r="E809" i="23" s="1"/>
  <c r="E808" i="23"/>
  <c r="D808" i="23"/>
  <c r="D808" i="23" a="1"/>
  <c r="D807" i="23"/>
  <c r="E807" i="23" s="1"/>
  <c r="D807" i="23" a="1"/>
  <c r="D806" i="23" a="1"/>
  <c r="D806" i="23" s="1"/>
  <c r="E806" i="23" s="1"/>
  <c r="D805" i="23" a="1"/>
  <c r="D805" i="23" s="1"/>
  <c r="E805" i="23" s="1"/>
  <c r="D804" i="23"/>
  <c r="E804" i="23" s="1"/>
  <c r="D804" i="23" a="1"/>
  <c r="D803" i="23"/>
  <c r="E803" i="23" s="1"/>
  <c r="D803" i="23" a="1"/>
  <c r="D802" i="23" a="1"/>
  <c r="D802" i="23" s="1"/>
  <c r="E802" i="23" s="1"/>
  <c r="D801" i="23"/>
  <c r="E801" i="23" s="1"/>
  <c r="D801" i="23" a="1"/>
  <c r="D800" i="23" a="1"/>
  <c r="D800" i="23" s="1"/>
  <c r="E800" i="23" s="1"/>
  <c r="D799" i="23" a="1"/>
  <c r="D799" i="23" s="1"/>
  <c r="E799" i="23" s="1"/>
  <c r="D798" i="23" a="1"/>
  <c r="D798" i="23" s="1"/>
  <c r="E798" i="23" s="1"/>
  <c r="D797" i="23" a="1"/>
  <c r="D797" i="23" s="1"/>
  <c r="E797" i="23" s="1"/>
  <c r="D796" i="23" a="1"/>
  <c r="D796" i="23" s="1"/>
  <c r="E796" i="23" s="1"/>
  <c r="D795" i="23"/>
  <c r="E795" i="23" s="1"/>
  <c r="D795" i="23" a="1"/>
  <c r="E794" i="23"/>
  <c r="D794" i="23"/>
  <c r="D794" i="23" a="1"/>
  <c r="D793" i="23" a="1"/>
  <c r="D793" i="23" s="1"/>
  <c r="E793" i="23" s="1"/>
  <c r="D792" i="23" a="1"/>
  <c r="D792" i="23" s="1"/>
  <c r="E792" i="23" s="1"/>
  <c r="D791" i="23"/>
  <c r="E791" i="23" s="1"/>
  <c r="D791" i="23" a="1"/>
  <c r="D790" i="23" a="1"/>
  <c r="D790" i="23" s="1"/>
  <c r="E790" i="23" s="1"/>
  <c r="D789" i="23" a="1"/>
  <c r="D789" i="23" s="1"/>
  <c r="E789" i="23" s="1"/>
  <c r="D788" i="23"/>
  <c r="E788" i="23" s="1"/>
  <c r="D788" i="23" a="1"/>
  <c r="D787" i="23" a="1"/>
  <c r="D787" i="23" s="1"/>
  <c r="E787" i="23" s="1"/>
  <c r="D786" i="23" a="1"/>
  <c r="D786" i="23" s="1"/>
  <c r="E786" i="23" s="1"/>
  <c r="D785" i="23"/>
  <c r="E785" i="23" s="1"/>
  <c r="D785" i="23" a="1"/>
  <c r="D784" i="23" a="1"/>
  <c r="D784" i="23" s="1"/>
  <c r="E784" i="23" s="1"/>
  <c r="D783" i="23" a="1"/>
  <c r="D783" i="23" s="1"/>
  <c r="E783" i="23" s="1"/>
  <c r="D782" i="23" a="1"/>
  <c r="D782" i="23" s="1"/>
  <c r="E782" i="23" s="1"/>
  <c r="D781" i="23" a="1"/>
  <c r="D781" i="23" s="1"/>
  <c r="E781" i="23" s="1"/>
  <c r="D780" i="23" a="1"/>
  <c r="D780" i="23" s="1"/>
  <c r="E780" i="23" s="1"/>
  <c r="D779" i="23"/>
  <c r="E779" i="23" s="1"/>
  <c r="D779" i="23" a="1"/>
  <c r="D778" i="23" a="1"/>
  <c r="D778" i="23" s="1"/>
  <c r="E778" i="23" s="1"/>
  <c r="D777" i="23" a="1"/>
  <c r="D777" i="23" s="1"/>
  <c r="E777" i="23" s="1"/>
  <c r="D776" i="23"/>
  <c r="E776" i="23" s="1"/>
  <c r="D776" i="23" a="1"/>
  <c r="D775" i="23"/>
  <c r="E775" i="23" s="1"/>
  <c r="D775" i="23" a="1"/>
  <c r="D774" i="23" a="1"/>
  <c r="D774" i="23" s="1"/>
  <c r="E774" i="23" s="1"/>
  <c r="D773" i="23" a="1"/>
  <c r="D773" i="23" s="1"/>
  <c r="E773" i="23" s="1"/>
  <c r="D772" i="23"/>
  <c r="E772" i="23" s="1"/>
  <c r="D772" i="23" a="1"/>
  <c r="D771" i="23" a="1"/>
  <c r="D771" i="23" s="1"/>
  <c r="E771" i="23" s="1"/>
  <c r="D770" i="23" a="1"/>
  <c r="D770" i="23" s="1"/>
  <c r="E770" i="23" s="1"/>
  <c r="D769" i="23" a="1"/>
  <c r="D769" i="23" s="1"/>
  <c r="E769" i="23" s="1"/>
  <c r="D768" i="23" a="1"/>
  <c r="D768" i="23" s="1"/>
  <c r="E768" i="23" s="1"/>
  <c r="D767" i="23" a="1"/>
  <c r="D767" i="23" s="1"/>
  <c r="E767" i="23" s="1"/>
  <c r="D766" i="23" a="1"/>
  <c r="D766" i="23" s="1"/>
  <c r="E766" i="23" s="1"/>
  <c r="D765" i="23" a="1"/>
  <c r="D765" i="23" s="1"/>
  <c r="E765" i="23" s="1"/>
  <c r="D764" i="23" a="1"/>
  <c r="D764" i="23" s="1"/>
  <c r="E764" i="23" s="1"/>
  <c r="D763" i="23" a="1"/>
  <c r="D763" i="23" s="1"/>
  <c r="E763" i="23" s="1"/>
  <c r="D762" i="23" a="1"/>
  <c r="D762" i="23" s="1"/>
  <c r="E762" i="23" s="1"/>
  <c r="D761" i="23" a="1"/>
  <c r="D761" i="23" s="1"/>
  <c r="E761" i="23" s="1"/>
  <c r="D760" i="23" a="1"/>
  <c r="D760" i="23" s="1"/>
  <c r="E760" i="23" s="1"/>
  <c r="D759" i="23"/>
  <c r="E759" i="23" s="1"/>
  <c r="D759" i="23" a="1"/>
  <c r="D758" i="23" a="1"/>
  <c r="D758" i="23" s="1"/>
  <c r="E758" i="23" s="1"/>
  <c r="D757" i="23" a="1"/>
  <c r="D757" i="23" s="1"/>
  <c r="E757" i="23" s="1"/>
  <c r="D756" i="23"/>
  <c r="E756" i="23" s="1"/>
  <c r="D756" i="23" a="1"/>
  <c r="D755" i="23" a="1"/>
  <c r="D755" i="23" s="1"/>
  <c r="E755" i="23" s="1"/>
  <c r="D754" i="23" a="1"/>
  <c r="D754" i="23" s="1"/>
  <c r="E754" i="23" s="1"/>
  <c r="D753" i="23"/>
  <c r="E753" i="23" s="1"/>
  <c r="D753" i="23" a="1"/>
  <c r="D752" i="23" a="1"/>
  <c r="D752" i="23" s="1"/>
  <c r="E752" i="23" s="1"/>
  <c r="D751" i="23" a="1"/>
  <c r="D751" i="23" s="1"/>
  <c r="E751" i="23" s="1"/>
  <c r="D750" i="23" a="1"/>
  <c r="D750" i="23" s="1"/>
  <c r="E750" i="23" s="1"/>
  <c r="D749" i="23" a="1"/>
  <c r="D749" i="23" s="1"/>
  <c r="E749" i="23" s="1"/>
  <c r="D748" i="23" a="1"/>
  <c r="D748" i="23" s="1"/>
  <c r="E748" i="23" s="1"/>
  <c r="D747" i="23"/>
  <c r="E747" i="23" s="1"/>
  <c r="D747" i="23" a="1"/>
  <c r="D746" i="23" a="1"/>
  <c r="D746" i="23" s="1"/>
  <c r="E746" i="23" s="1"/>
  <c r="D745" i="23" a="1"/>
  <c r="D745" i="23" s="1"/>
  <c r="E745" i="23" s="1"/>
  <c r="D744" i="23"/>
  <c r="E744" i="23" s="1"/>
  <c r="D744" i="23" a="1"/>
  <c r="D743" i="23"/>
  <c r="E743" i="23" s="1"/>
  <c r="D743" i="23" a="1"/>
  <c r="D742" i="23" a="1"/>
  <c r="D742" i="23" s="1"/>
  <c r="E742" i="23" s="1"/>
  <c r="D741" i="23" a="1"/>
  <c r="D741" i="23" s="1"/>
  <c r="E741" i="23" s="1"/>
  <c r="D740" i="23"/>
  <c r="E740" i="23" s="1"/>
  <c r="D740" i="23" a="1"/>
  <c r="D739" i="23"/>
  <c r="E739" i="23" s="1"/>
  <c r="D739" i="23" a="1"/>
  <c r="D738" i="23" a="1"/>
  <c r="D738" i="23" s="1"/>
  <c r="E738" i="23" s="1"/>
  <c r="D737" i="23" a="1"/>
  <c r="D737" i="23" s="1"/>
  <c r="E737" i="23" s="1"/>
  <c r="D736" i="23" a="1"/>
  <c r="D736" i="23" s="1"/>
  <c r="E736" i="23" s="1"/>
  <c r="D735" i="23" a="1"/>
  <c r="D735" i="23" s="1"/>
  <c r="E735" i="23" s="1"/>
  <c r="D734" i="23" a="1"/>
  <c r="D734" i="23" s="1"/>
  <c r="E734" i="23" s="1"/>
  <c r="D733" i="23" a="1"/>
  <c r="D733" i="23" s="1"/>
  <c r="E733" i="23" s="1"/>
  <c r="D732" i="23" a="1"/>
  <c r="D732" i="23" s="1"/>
  <c r="E732" i="23" s="1"/>
  <c r="D731" i="23"/>
  <c r="E731" i="23" s="1"/>
  <c r="D731" i="23" a="1"/>
  <c r="D730" i="23" a="1"/>
  <c r="D730" i="23" s="1"/>
  <c r="E730" i="23" s="1"/>
  <c r="D729" i="23" a="1"/>
  <c r="D729" i="23" s="1"/>
  <c r="E729" i="23" s="1"/>
  <c r="E728" i="23"/>
  <c r="D728" i="23"/>
  <c r="D728" i="23" a="1"/>
  <c r="D727" i="23" a="1"/>
  <c r="D727" i="23" s="1"/>
  <c r="E727" i="23" s="1"/>
  <c r="D726" i="23" a="1"/>
  <c r="D726" i="23" s="1"/>
  <c r="E726" i="23" s="1"/>
  <c r="D725" i="23" a="1"/>
  <c r="D725" i="23" s="1"/>
  <c r="E725" i="23" s="1"/>
  <c r="D724" i="23" a="1"/>
  <c r="D724" i="23" s="1"/>
  <c r="E724" i="23" s="1"/>
  <c r="D723" i="23" a="1"/>
  <c r="D723" i="23" s="1"/>
  <c r="E723" i="23" s="1"/>
  <c r="D722" i="23" a="1"/>
  <c r="D722" i="23" s="1"/>
  <c r="E722" i="23" s="1"/>
  <c r="D721" i="23"/>
  <c r="E721" i="23" s="1"/>
  <c r="D721" i="23" a="1"/>
  <c r="D720" i="23" a="1"/>
  <c r="D720" i="23" s="1"/>
  <c r="E720" i="23" s="1"/>
  <c r="D719" i="23" a="1"/>
  <c r="D719" i="23" s="1"/>
  <c r="E719" i="23" s="1"/>
  <c r="D718" i="23" a="1"/>
  <c r="D718" i="23" s="1"/>
  <c r="E718" i="23" s="1"/>
  <c r="D717" i="23" a="1"/>
  <c r="D717" i="23" s="1"/>
  <c r="E717" i="23" s="1"/>
  <c r="D716" i="23" a="1"/>
  <c r="D716" i="23" s="1"/>
  <c r="E716" i="23" s="1"/>
  <c r="D715" i="23" a="1"/>
  <c r="D715" i="23" s="1"/>
  <c r="E715" i="23" s="1"/>
  <c r="E714" i="23"/>
  <c r="D714" i="23"/>
  <c r="D714" i="23" a="1"/>
  <c r="D713" i="23" a="1"/>
  <c r="D713" i="23" s="1"/>
  <c r="E713" i="23" s="1"/>
  <c r="D712" i="23"/>
  <c r="E712" i="23" s="1"/>
  <c r="D712" i="23" a="1"/>
  <c r="D711" i="23" a="1"/>
  <c r="D711" i="23" s="1"/>
  <c r="E711" i="23" s="1"/>
  <c r="D710" i="23" a="1"/>
  <c r="D710" i="23" s="1"/>
  <c r="E710" i="23" s="1"/>
  <c r="D709" i="23" a="1"/>
  <c r="D709" i="23" s="1"/>
  <c r="E709" i="23" s="1"/>
  <c r="D708" i="23"/>
  <c r="E708" i="23" s="1"/>
  <c r="D708" i="23" a="1"/>
  <c r="D707" i="23" a="1"/>
  <c r="D707" i="23" s="1"/>
  <c r="E707" i="23" s="1"/>
  <c r="D706" i="23" a="1"/>
  <c r="D706" i="23" s="1"/>
  <c r="E706" i="23" s="1"/>
  <c r="D705" i="23" a="1"/>
  <c r="D705" i="23" s="1"/>
  <c r="E705" i="23" s="1"/>
  <c r="D704" i="23" a="1"/>
  <c r="D704" i="23" s="1"/>
  <c r="E704" i="23" s="1"/>
  <c r="D703" i="23" a="1"/>
  <c r="D703" i="23" s="1"/>
  <c r="E703" i="23" s="1"/>
  <c r="D702" i="23" a="1"/>
  <c r="D702" i="23" s="1"/>
  <c r="E702" i="23" s="1"/>
  <c r="D701" i="23" a="1"/>
  <c r="D701" i="23" s="1"/>
  <c r="E701" i="23" s="1"/>
  <c r="D700" i="23" a="1"/>
  <c r="D700" i="23" s="1"/>
  <c r="E700" i="23" s="1"/>
  <c r="D699" i="23" a="1"/>
  <c r="D699" i="23" s="1"/>
  <c r="E699" i="23" s="1"/>
  <c r="D698" i="23" a="1"/>
  <c r="D698" i="23" s="1"/>
  <c r="E698" i="23" s="1"/>
  <c r="D697" i="23" a="1"/>
  <c r="D697" i="23" s="1"/>
  <c r="E697" i="23" s="1"/>
  <c r="D696" i="23" a="1"/>
  <c r="D696" i="23" s="1"/>
  <c r="E696" i="23" s="1"/>
  <c r="D695" i="23"/>
  <c r="E695" i="23" s="1"/>
  <c r="D695" i="23" a="1"/>
  <c r="D694" i="23" a="1"/>
  <c r="D694" i="23" s="1"/>
  <c r="E694" i="23" s="1"/>
  <c r="D693" i="23" a="1"/>
  <c r="D693" i="23" s="1"/>
  <c r="E693" i="23" s="1"/>
  <c r="D692" i="23" a="1"/>
  <c r="D692" i="23" s="1"/>
  <c r="E692" i="23" s="1"/>
  <c r="D691" i="23"/>
  <c r="E691" i="23" s="1"/>
  <c r="D691" i="23" a="1"/>
  <c r="D690" i="23" a="1"/>
  <c r="D690" i="23" s="1"/>
  <c r="E690" i="23" s="1"/>
  <c r="D689" i="23" a="1"/>
  <c r="D689" i="23" s="1"/>
  <c r="E689" i="23" s="1"/>
  <c r="D688" i="23" a="1"/>
  <c r="D688" i="23" s="1"/>
  <c r="E688" i="23" s="1"/>
  <c r="D687" i="23" a="1"/>
  <c r="D687" i="23" s="1"/>
  <c r="E687" i="23" s="1"/>
  <c r="D686" i="23" a="1"/>
  <c r="D686" i="23" s="1"/>
  <c r="E686" i="23" s="1"/>
  <c r="D685" i="23" a="1"/>
  <c r="D685" i="23" s="1"/>
  <c r="E685" i="23" s="1"/>
  <c r="D684" i="23" a="1"/>
  <c r="D684" i="23" s="1"/>
  <c r="E684" i="23" s="1"/>
  <c r="D683" i="23" a="1"/>
  <c r="D683" i="23" s="1"/>
  <c r="E683" i="23" s="1"/>
  <c r="D682" i="23"/>
  <c r="E682" i="23" s="1"/>
  <c r="D682" i="23" a="1"/>
  <c r="D681" i="23" a="1"/>
  <c r="D681" i="23" s="1"/>
  <c r="E681" i="23" s="1"/>
  <c r="D680" i="23"/>
  <c r="E680" i="23" s="1"/>
  <c r="D680" i="23" a="1"/>
  <c r="D679" i="23" a="1"/>
  <c r="D679" i="23" s="1"/>
  <c r="E679" i="23" s="1"/>
  <c r="D678" i="23" a="1"/>
  <c r="D678" i="23" s="1"/>
  <c r="E678" i="23" s="1"/>
  <c r="D677" i="23" a="1"/>
  <c r="D677" i="23" s="1"/>
  <c r="E677" i="23" s="1"/>
  <c r="D676" i="23"/>
  <c r="E676" i="23" s="1"/>
  <c r="D676" i="23" a="1"/>
  <c r="D675" i="23" a="1"/>
  <c r="D675" i="23" s="1"/>
  <c r="E675" i="23" s="1"/>
  <c r="D674" i="23" a="1"/>
  <c r="D674" i="23" s="1"/>
  <c r="E674" i="23" s="1"/>
  <c r="D673" i="23" a="1"/>
  <c r="D673" i="23" s="1"/>
  <c r="E673" i="23" s="1"/>
  <c r="D672" i="23" a="1"/>
  <c r="D672" i="23" s="1"/>
  <c r="E672" i="23" s="1"/>
  <c r="D671" i="23" a="1"/>
  <c r="D671" i="23" s="1"/>
  <c r="E671" i="23" s="1"/>
  <c r="D670" i="23" a="1"/>
  <c r="D670" i="23" s="1"/>
  <c r="E670" i="23" s="1"/>
  <c r="D669" i="23" a="1"/>
  <c r="D669" i="23" s="1"/>
  <c r="E669" i="23" s="1"/>
  <c r="D668" i="23" a="1"/>
  <c r="D668" i="23" s="1"/>
  <c r="E668" i="23" s="1"/>
  <c r="D667" i="23" a="1"/>
  <c r="D667" i="23" s="1"/>
  <c r="E667" i="23" s="1"/>
  <c r="D666" i="23"/>
  <c r="E666" i="23" s="1"/>
  <c r="D666" i="23" a="1"/>
  <c r="D665" i="23" a="1"/>
  <c r="D665" i="23" s="1"/>
  <c r="E665" i="23" s="1"/>
  <c r="D664" i="23" a="1"/>
  <c r="D664" i="23" s="1"/>
  <c r="E664" i="23" s="1"/>
  <c r="D663" i="23" a="1"/>
  <c r="D663" i="23" s="1"/>
  <c r="E663" i="23" s="1"/>
  <c r="D662" i="23" a="1"/>
  <c r="D662" i="23" s="1"/>
  <c r="E662" i="23" s="1"/>
  <c r="D661" i="23" a="1"/>
  <c r="D661" i="23" s="1"/>
  <c r="E661" i="23" s="1"/>
  <c r="D660" i="23"/>
  <c r="E660" i="23" s="1"/>
  <c r="D660" i="23" a="1"/>
  <c r="D659" i="23"/>
  <c r="E659" i="23" s="1"/>
  <c r="D659" i="23" a="1"/>
  <c r="D658" i="23" a="1"/>
  <c r="D658" i="23" s="1"/>
  <c r="E658" i="23" s="1"/>
  <c r="D657" i="23" a="1"/>
  <c r="D657" i="23" s="1"/>
  <c r="E657" i="23" s="1"/>
  <c r="D656" i="23" a="1"/>
  <c r="D656" i="23" s="1"/>
  <c r="E656" i="23" s="1"/>
  <c r="E655" i="23"/>
  <c r="D655" i="23" a="1"/>
  <c r="D655" i="23" s="1"/>
  <c r="D654" i="23" a="1"/>
  <c r="D654" i="23" s="1"/>
  <c r="E654" i="23" s="1"/>
  <c r="D653" i="23" a="1"/>
  <c r="D653" i="23" s="1"/>
  <c r="E653" i="23" s="1"/>
  <c r="D652" i="23" a="1"/>
  <c r="D652" i="23" s="1"/>
  <c r="E652" i="23" s="1"/>
  <c r="D651" i="23"/>
  <c r="E651" i="23" s="1"/>
  <c r="D651" i="23" a="1"/>
  <c r="D650" i="23" a="1"/>
  <c r="D650" i="23" s="1"/>
  <c r="E650" i="23" s="1"/>
  <c r="D649" i="23" a="1"/>
  <c r="D649" i="23" s="1"/>
  <c r="E649" i="23" s="1"/>
  <c r="E648" i="23"/>
  <c r="D648" i="23"/>
  <c r="D648" i="23" a="1"/>
  <c r="D647" i="23" a="1"/>
  <c r="D647" i="23" s="1"/>
  <c r="E647" i="23" s="1"/>
  <c r="D646" i="23" a="1"/>
  <c r="D646" i="23" s="1"/>
  <c r="E646" i="23" s="1"/>
  <c r="D645" i="23" a="1"/>
  <c r="D645" i="23" s="1"/>
  <c r="E645" i="23" s="1"/>
  <c r="D644" i="23"/>
  <c r="E644" i="23" s="1"/>
  <c r="D644" i="23" a="1"/>
  <c r="D643" i="23" a="1"/>
  <c r="D643" i="23" s="1"/>
  <c r="E643" i="23" s="1"/>
  <c r="D642" i="23" a="1"/>
  <c r="D642" i="23" s="1"/>
  <c r="E642" i="23" s="1"/>
  <c r="D641" i="23" a="1"/>
  <c r="D641" i="23" s="1"/>
  <c r="E641" i="23" s="1"/>
  <c r="D640" i="23" a="1"/>
  <c r="D640" i="23" s="1"/>
  <c r="E640" i="23" s="1"/>
  <c r="E639" i="23"/>
  <c r="D639" i="23" a="1"/>
  <c r="D639" i="23" s="1"/>
  <c r="D638" i="23" a="1"/>
  <c r="D638" i="23" s="1"/>
  <c r="E638" i="23" s="1"/>
  <c r="D637" i="23" a="1"/>
  <c r="D637" i="23" s="1"/>
  <c r="E637" i="23" s="1"/>
  <c r="D636" i="23" a="1"/>
  <c r="D636" i="23" s="1"/>
  <c r="E636" i="23" s="1"/>
  <c r="D635" i="23" a="1"/>
  <c r="D635" i="23" s="1"/>
  <c r="E635" i="23" s="1"/>
  <c r="D634" i="23" a="1"/>
  <c r="D634" i="23" s="1"/>
  <c r="E634" i="23" s="1"/>
  <c r="D633" i="23" a="1"/>
  <c r="D633" i="23" s="1"/>
  <c r="E633" i="23" s="1"/>
  <c r="D632" i="23" a="1"/>
  <c r="D632" i="23" s="1"/>
  <c r="E632" i="23" s="1"/>
  <c r="D631" i="23"/>
  <c r="E631" i="23" s="1"/>
  <c r="D631" i="23" a="1"/>
  <c r="D630" i="23" a="1"/>
  <c r="D630" i="23" s="1"/>
  <c r="E630" i="23" s="1"/>
  <c r="D629" i="23" a="1"/>
  <c r="D629" i="23" s="1"/>
  <c r="E629" i="23" s="1"/>
  <c r="D628" i="23" a="1"/>
  <c r="D628" i="23" s="1"/>
  <c r="E628" i="23" s="1"/>
  <c r="D627" i="23"/>
  <c r="E627" i="23" s="1"/>
  <c r="D627" i="23" a="1"/>
  <c r="D626" i="23" a="1"/>
  <c r="D626" i="23" s="1"/>
  <c r="E626" i="23" s="1"/>
  <c r="D625" i="23" a="1"/>
  <c r="D625" i="23" s="1"/>
  <c r="E625" i="23" s="1"/>
  <c r="D624" i="23" a="1"/>
  <c r="D624" i="23" s="1"/>
  <c r="E624" i="23" s="1"/>
  <c r="D623" i="23" a="1"/>
  <c r="D623" i="23" s="1"/>
  <c r="E623" i="23" s="1"/>
  <c r="D622" i="23" a="1"/>
  <c r="D622" i="23" s="1"/>
  <c r="E622" i="23" s="1"/>
  <c r="D621" i="23" a="1"/>
  <c r="D621" i="23" s="1"/>
  <c r="E621" i="23" s="1"/>
  <c r="D620" i="23" a="1"/>
  <c r="D620" i="23" s="1"/>
  <c r="E620" i="23" s="1"/>
  <c r="D619" i="23" a="1"/>
  <c r="D619" i="23" s="1"/>
  <c r="E619" i="23" s="1"/>
  <c r="D618" i="23"/>
  <c r="E618" i="23" s="1"/>
  <c r="D618" i="23" a="1"/>
  <c r="D617" i="23" a="1"/>
  <c r="D617" i="23" s="1"/>
  <c r="E617" i="23" s="1"/>
  <c r="D616" i="23"/>
  <c r="E616" i="23" s="1"/>
  <c r="D616" i="23" a="1"/>
  <c r="D615" i="23" a="1"/>
  <c r="D615" i="23" s="1"/>
  <c r="E615" i="23" s="1"/>
  <c r="D614" i="23" a="1"/>
  <c r="D614" i="23" s="1"/>
  <c r="E614" i="23" s="1"/>
  <c r="D613" i="23" a="1"/>
  <c r="D613" i="23" s="1"/>
  <c r="E613" i="23" s="1"/>
  <c r="D612" i="23"/>
  <c r="E612" i="23" s="1"/>
  <c r="D612" i="23" a="1"/>
  <c r="D611" i="23" a="1"/>
  <c r="D611" i="23" s="1"/>
  <c r="E611" i="23" s="1"/>
  <c r="D610" i="23" a="1"/>
  <c r="D610" i="23" s="1"/>
  <c r="E610" i="23" s="1"/>
  <c r="D609" i="23" a="1"/>
  <c r="D609" i="23" s="1"/>
  <c r="E609" i="23" s="1"/>
  <c r="D608" i="23" a="1"/>
  <c r="D608" i="23" s="1"/>
  <c r="E608" i="23" s="1"/>
  <c r="E607" i="23"/>
  <c r="D607" i="23" a="1"/>
  <c r="D607" i="23" s="1"/>
  <c r="D606" i="23" a="1"/>
  <c r="D606" i="23" s="1"/>
  <c r="E606" i="23" s="1"/>
  <c r="D605" i="23" a="1"/>
  <c r="D605" i="23" s="1"/>
  <c r="E605" i="23" s="1"/>
  <c r="D604" i="23" a="1"/>
  <c r="D604" i="23" s="1"/>
  <c r="E604" i="23" s="1"/>
  <c r="D603" i="23" a="1"/>
  <c r="D603" i="23" s="1"/>
  <c r="E603" i="23" s="1"/>
  <c r="D602" i="23"/>
  <c r="E602" i="23" s="1"/>
  <c r="D602" i="23" a="1"/>
  <c r="D601" i="23" a="1"/>
  <c r="D601" i="23" s="1"/>
  <c r="E601" i="23" s="1"/>
  <c r="D600" i="23" a="1"/>
  <c r="D600" i="23" s="1"/>
  <c r="E600" i="23" s="1"/>
  <c r="D599" i="23"/>
  <c r="E599" i="23" s="1"/>
  <c r="D599" i="23" a="1"/>
  <c r="D598" i="23" a="1"/>
  <c r="D598" i="23" s="1"/>
  <c r="E598" i="23" s="1"/>
  <c r="D597" i="23" a="1"/>
  <c r="D597" i="23" s="1"/>
  <c r="E597" i="23" s="1"/>
  <c r="D596" i="23"/>
  <c r="E596" i="23" s="1"/>
  <c r="D596" i="23" a="1"/>
  <c r="D595" i="23" a="1"/>
  <c r="D595" i="23" s="1"/>
  <c r="E595" i="23" s="1"/>
  <c r="D594" i="23" a="1"/>
  <c r="D594" i="23" s="1"/>
  <c r="E594" i="23" s="1"/>
  <c r="D593" i="23" a="1"/>
  <c r="D593" i="23" s="1"/>
  <c r="E593" i="23" s="1"/>
  <c r="D592" i="23" a="1"/>
  <c r="D592" i="23" s="1"/>
  <c r="E592" i="23" s="1"/>
  <c r="D591" i="23" a="1"/>
  <c r="D591" i="23" s="1"/>
  <c r="E591" i="23" s="1"/>
  <c r="D590" i="23" a="1"/>
  <c r="D590" i="23" s="1"/>
  <c r="E590" i="23" s="1"/>
  <c r="D589" i="23" a="1"/>
  <c r="D589" i="23" s="1"/>
  <c r="E589" i="23" s="1"/>
  <c r="D588" i="23" a="1"/>
  <c r="D588" i="23" s="1"/>
  <c r="E588" i="23" s="1"/>
  <c r="D587" i="23" a="1"/>
  <c r="D587" i="23" s="1"/>
  <c r="E587" i="23" s="1"/>
  <c r="D586" i="23"/>
  <c r="E586" i="23" s="1"/>
  <c r="D586" i="23" a="1"/>
  <c r="D585" i="23" a="1"/>
  <c r="D585" i="23" s="1"/>
  <c r="E585" i="23" s="1"/>
  <c r="D584" i="23"/>
  <c r="E584" i="23" s="1"/>
  <c r="D584" i="23" a="1"/>
  <c r="D583" i="23" a="1"/>
  <c r="D583" i="23" s="1"/>
  <c r="E583" i="23" s="1"/>
  <c r="D582" i="23" a="1"/>
  <c r="D582" i="23" s="1"/>
  <c r="E582" i="23" s="1"/>
  <c r="D581" i="23" a="1"/>
  <c r="D581" i="23" s="1"/>
  <c r="E581" i="23" s="1"/>
  <c r="D580" i="23" a="1"/>
  <c r="D580" i="23" s="1"/>
  <c r="E580" i="23" s="1"/>
  <c r="D579" i="23"/>
  <c r="E579" i="23" s="1"/>
  <c r="D579" i="23" a="1"/>
  <c r="D578" i="23" a="1"/>
  <c r="D578" i="23" s="1"/>
  <c r="E578" i="23" s="1"/>
  <c r="D577" i="23" a="1"/>
  <c r="D577" i="23" s="1"/>
  <c r="E577" i="23" s="1"/>
  <c r="D576" i="23" a="1"/>
  <c r="D576" i="23" s="1"/>
  <c r="E576" i="23" s="1"/>
  <c r="D575" i="23" a="1"/>
  <c r="D575" i="23" s="1"/>
  <c r="E575" i="23" s="1"/>
  <c r="D574" i="23" a="1"/>
  <c r="D574" i="23" s="1"/>
  <c r="E574" i="23" s="1"/>
  <c r="D573" i="23" a="1"/>
  <c r="D573" i="23" s="1"/>
  <c r="E573" i="23" s="1"/>
  <c r="D572" i="23" a="1"/>
  <c r="D572" i="23" s="1"/>
  <c r="E572" i="23" s="1"/>
  <c r="D571" i="23" a="1"/>
  <c r="D571" i="23" s="1"/>
  <c r="E571" i="23" s="1"/>
  <c r="D570" i="23"/>
  <c r="E570" i="23" s="1"/>
  <c r="D570" i="23" a="1"/>
  <c r="D569" i="23" a="1"/>
  <c r="D569" i="23" s="1"/>
  <c r="E569" i="23" s="1"/>
  <c r="D568" i="23"/>
  <c r="E568" i="23" s="1"/>
  <c r="D568" i="23" a="1"/>
  <c r="D567" i="23" a="1"/>
  <c r="D567" i="23" s="1"/>
  <c r="E567" i="23" s="1"/>
  <c r="D566" i="23" a="1"/>
  <c r="D566" i="23" s="1"/>
  <c r="E566" i="23" s="1"/>
  <c r="D565" i="23"/>
  <c r="E565" i="23" s="1"/>
  <c r="D565" i="23" a="1"/>
  <c r="D564" i="23"/>
  <c r="E564" i="23" s="1"/>
  <c r="D564" i="23" a="1"/>
  <c r="D563" i="23"/>
  <c r="E563" i="23" s="1"/>
  <c r="D563" i="23" a="1"/>
  <c r="D562" i="23" a="1"/>
  <c r="D562" i="23" s="1"/>
  <c r="E562" i="23" s="1"/>
  <c r="D561" i="23" a="1"/>
  <c r="D561" i="23" s="1"/>
  <c r="E561" i="23" s="1"/>
  <c r="D560" i="23" a="1"/>
  <c r="D560" i="23" s="1"/>
  <c r="E560" i="23" s="1"/>
  <c r="D559" i="23" a="1"/>
  <c r="D559" i="23" s="1"/>
  <c r="E559" i="23" s="1"/>
  <c r="D558" i="23" a="1"/>
  <c r="D558" i="23" s="1"/>
  <c r="E558" i="23" s="1"/>
  <c r="D557" i="23" a="1"/>
  <c r="D557" i="23" s="1"/>
  <c r="E557" i="23" s="1"/>
  <c r="D556" i="23" a="1"/>
  <c r="D556" i="23" s="1"/>
  <c r="E556" i="23" s="1"/>
  <c r="D555" i="23" a="1"/>
  <c r="D555" i="23" s="1"/>
  <c r="E555" i="23" s="1"/>
  <c r="D554" i="23"/>
  <c r="E554" i="23" s="1"/>
  <c r="D554" i="23" a="1"/>
  <c r="D553" i="23" a="1"/>
  <c r="D553" i="23" s="1"/>
  <c r="E553" i="23" s="1"/>
  <c r="D552" i="23"/>
  <c r="E552" i="23" s="1"/>
  <c r="D552" i="23" a="1"/>
  <c r="D551" i="23" a="1"/>
  <c r="D551" i="23" s="1"/>
  <c r="E551" i="23" s="1"/>
  <c r="D550" i="23" a="1"/>
  <c r="D550" i="23" s="1"/>
  <c r="E550" i="23" s="1"/>
  <c r="D549" i="23" a="1"/>
  <c r="D549" i="23" s="1"/>
  <c r="E549" i="23" s="1"/>
  <c r="D548" i="23" a="1"/>
  <c r="D548" i="23" s="1"/>
  <c r="E548" i="23" s="1"/>
  <c r="D547" i="23"/>
  <c r="E547" i="23" s="1"/>
  <c r="D547" i="23" a="1"/>
  <c r="D546" i="23" a="1"/>
  <c r="D546" i="23" s="1"/>
  <c r="E546" i="23" s="1"/>
  <c r="D545" i="23" a="1"/>
  <c r="D545" i="23" s="1"/>
  <c r="E545" i="23" s="1"/>
  <c r="D544" i="23" a="1"/>
  <c r="D544" i="23" s="1"/>
  <c r="E544" i="23" s="1"/>
  <c r="D543" i="23" a="1"/>
  <c r="D543" i="23" s="1"/>
  <c r="E543" i="23" s="1"/>
  <c r="D542" i="23" a="1"/>
  <c r="D542" i="23" s="1"/>
  <c r="E542" i="23" s="1"/>
  <c r="D541" i="23" a="1"/>
  <c r="D541" i="23" s="1"/>
  <c r="E541" i="23" s="1"/>
  <c r="D540" i="23" a="1"/>
  <c r="D540" i="23" s="1"/>
  <c r="E540" i="23" s="1"/>
  <c r="D539" i="23" a="1"/>
  <c r="D539" i="23" s="1"/>
  <c r="E539" i="23" s="1"/>
  <c r="D538" i="23"/>
  <c r="E538" i="23" s="1"/>
  <c r="D538" i="23" a="1"/>
  <c r="D537" i="23" a="1"/>
  <c r="D537" i="23" s="1"/>
  <c r="E537" i="23" s="1"/>
  <c r="D536" i="23"/>
  <c r="E536" i="23" s="1"/>
  <c r="D536" i="23" a="1"/>
  <c r="D535" i="23" a="1"/>
  <c r="D535" i="23" s="1"/>
  <c r="E535" i="23" s="1"/>
  <c r="D534" i="23" a="1"/>
  <c r="D534" i="23" s="1"/>
  <c r="E534" i="23" s="1"/>
  <c r="D533" i="23" a="1"/>
  <c r="D533" i="23" s="1"/>
  <c r="E533" i="23" s="1"/>
  <c r="D532" i="23"/>
  <c r="E532" i="23" s="1"/>
  <c r="D532" i="23" a="1"/>
  <c r="D531" i="23" a="1"/>
  <c r="D531" i="23" s="1"/>
  <c r="E531" i="23" s="1"/>
  <c r="D530" i="23" a="1"/>
  <c r="D530" i="23" s="1"/>
  <c r="E530" i="23" s="1"/>
  <c r="D529" i="23" a="1"/>
  <c r="D529" i="23" s="1"/>
  <c r="E529" i="23" s="1"/>
  <c r="D528" i="23" a="1"/>
  <c r="D528" i="23" s="1"/>
  <c r="E528" i="23" s="1"/>
  <c r="D527" i="23" a="1"/>
  <c r="D527" i="23" s="1"/>
  <c r="E527" i="23" s="1"/>
  <c r="D526" i="23" a="1"/>
  <c r="D526" i="23" s="1"/>
  <c r="E526" i="23" s="1"/>
  <c r="D525" i="23" a="1"/>
  <c r="D525" i="23" s="1"/>
  <c r="E525" i="23" s="1"/>
  <c r="D524" i="23" a="1"/>
  <c r="D524" i="23" s="1"/>
  <c r="E524" i="23" s="1"/>
  <c r="D523" i="23" a="1"/>
  <c r="D523" i="23" s="1"/>
  <c r="E523" i="23" s="1"/>
  <c r="D522" i="23"/>
  <c r="E522" i="23" s="1"/>
  <c r="D522" i="23" a="1"/>
  <c r="D521" i="23" a="1"/>
  <c r="D521" i="23" s="1"/>
  <c r="E521" i="23" s="1"/>
  <c r="D520" i="23"/>
  <c r="E520" i="23" s="1"/>
  <c r="D520" i="23" a="1"/>
  <c r="D519" i="23" a="1"/>
  <c r="D519" i="23" s="1"/>
  <c r="E519" i="23" s="1"/>
  <c r="D518" i="23" a="1"/>
  <c r="D518" i="23" s="1"/>
  <c r="E518" i="23" s="1"/>
  <c r="D517" i="23" a="1"/>
  <c r="D517" i="23" s="1"/>
  <c r="E517" i="23" s="1"/>
  <c r="D516" i="23" a="1"/>
  <c r="D516" i="23" s="1"/>
  <c r="E516" i="23" s="1"/>
  <c r="D515" i="23"/>
  <c r="E515" i="23" s="1"/>
  <c r="D515" i="23" a="1"/>
  <c r="D514" i="23" a="1"/>
  <c r="D514" i="23" s="1"/>
  <c r="E514" i="23" s="1"/>
  <c r="D513" i="23" a="1"/>
  <c r="D513" i="23" s="1"/>
  <c r="E513" i="23" s="1"/>
  <c r="D512" i="23" a="1"/>
  <c r="D512" i="23" s="1"/>
  <c r="E512" i="23" s="1"/>
  <c r="D511" i="23" a="1"/>
  <c r="D511" i="23" s="1"/>
  <c r="E511" i="23" s="1"/>
  <c r="D510" i="23" a="1"/>
  <c r="D510" i="23" s="1"/>
  <c r="E510" i="23" s="1"/>
  <c r="D509" i="23" a="1"/>
  <c r="D509" i="23" s="1"/>
  <c r="E509" i="23" s="1"/>
  <c r="D508" i="23" a="1"/>
  <c r="D508" i="23" s="1"/>
  <c r="E508" i="23" s="1"/>
  <c r="D507" i="23" a="1"/>
  <c r="D507" i="23" s="1"/>
  <c r="E507" i="23" s="1"/>
  <c r="D506" i="23" a="1"/>
  <c r="D506" i="23" s="1"/>
  <c r="E506" i="23" s="1"/>
  <c r="D505" i="23" a="1"/>
  <c r="D505" i="23" s="1"/>
  <c r="E505" i="23" s="1"/>
  <c r="E504" i="23"/>
  <c r="D504" i="23"/>
  <c r="D504" i="23" a="1"/>
  <c r="D503" i="23"/>
  <c r="E503" i="23" s="1"/>
  <c r="D503" i="23" a="1"/>
  <c r="D502" i="23" a="1"/>
  <c r="D502" i="23" s="1"/>
  <c r="E502" i="23" s="1"/>
  <c r="E501" i="23"/>
  <c r="D501" i="23"/>
  <c r="D501" i="23" a="1"/>
  <c r="D500" i="23"/>
  <c r="E500" i="23" s="1"/>
  <c r="D500" i="23" a="1"/>
  <c r="D499" i="23" a="1"/>
  <c r="D499" i="23" s="1"/>
  <c r="E499" i="23" s="1"/>
  <c r="D498" i="23" a="1"/>
  <c r="D498" i="23" s="1"/>
  <c r="E498" i="23" s="1"/>
  <c r="D497" i="23" a="1"/>
  <c r="D497" i="23" s="1"/>
  <c r="E497" i="23" s="1"/>
  <c r="D496" i="23" a="1"/>
  <c r="D496" i="23" s="1"/>
  <c r="E496" i="23" s="1"/>
  <c r="D495" i="23" a="1"/>
  <c r="D495" i="23" s="1"/>
  <c r="E495" i="23" s="1"/>
  <c r="D494" i="23" a="1"/>
  <c r="D494" i="23" s="1"/>
  <c r="E494" i="23" s="1"/>
  <c r="E493" i="23"/>
  <c r="D493" i="23" a="1"/>
  <c r="D493" i="23" s="1"/>
  <c r="E492" i="23"/>
  <c r="D492" i="23" a="1"/>
  <c r="D492" i="23" s="1"/>
  <c r="D491" i="23" a="1"/>
  <c r="D491" i="23" s="1"/>
  <c r="E491" i="23" s="1"/>
  <c r="D490" i="23"/>
  <c r="E490" i="23" s="1"/>
  <c r="D490" i="23" a="1"/>
  <c r="D489" i="23" a="1"/>
  <c r="D489" i="23" s="1"/>
  <c r="E489" i="23" s="1"/>
  <c r="D488" i="23"/>
  <c r="E488" i="23" s="1"/>
  <c r="D488" i="23" a="1"/>
  <c r="D487" i="23" a="1"/>
  <c r="D487" i="23" s="1"/>
  <c r="E487" i="23" s="1"/>
  <c r="D486" i="23" a="1"/>
  <c r="D486" i="23" s="1"/>
  <c r="E486" i="23" s="1"/>
  <c r="D485" i="23" a="1"/>
  <c r="D485" i="23" s="1"/>
  <c r="E485" i="23" s="1"/>
  <c r="D484" i="23" a="1"/>
  <c r="D484" i="23" s="1"/>
  <c r="E484" i="23" s="1"/>
  <c r="D483" i="23" a="1"/>
  <c r="D483" i="23" s="1"/>
  <c r="E483" i="23" s="1"/>
  <c r="D482" i="23" a="1"/>
  <c r="D482" i="23" s="1"/>
  <c r="E482" i="23" s="1"/>
  <c r="D481" i="23" a="1"/>
  <c r="D481" i="23" s="1"/>
  <c r="E481" i="23" s="1"/>
  <c r="D480" i="23" a="1"/>
  <c r="D480" i="23" s="1"/>
  <c r="E480" i="23" s="1"/>
  <c r="D479" i="23" a="1"/>
  <c r="D479" i="23" s="1"/>
  <c r="E479" i="23" s="1"/>
  <c r="D478" i="23" a="1"/>
  <c r="D478" i="23" s="1"/>
  <c r="E478" i="23" s="1"/>
  <c r="D477" i="23" a="1"/>
  <c r="D477" i="23" s="1"/>
  <c r="E477" i="23" s="1"/>
  <c r="D476" i="23" a="1"/>
  <c r="D476" i="23" s="1"/>
  <c r="E476" i="23" s="1"/>
  <c r="D475" i="23" a="1"/>
  <c r="D475" i="23" s="1"/>
  <c r="E475" i="23" s="1"/>
  <c r="D474" i="23" a="1"/>
  <c r="D474" i="23" s="1"/>
  <c r="E474" i="23" s="1"/>
  <c r="D473" i="23" a="1"/>
  <c r="D473" i="23" s="1"/>
  <c r="E473" i="23" s="1"/>
  <c r="D472" i="23"/>
  <c r="E472" i="23" s="1"/>
  <c r="D472" i="23" a="1"/>
  <c r="D471" i="23"/>
  <c r="E471" i="23" s="1"/>
  <c r="D471" i="23" a="1"/>
  <c r="D470" i="23" a="1"/>
  <c r="D470" i="23" s="1"/>
  <c r="E470" i="23" s="1"/>
  <c r="D469" i="23" a="1"/>
  <c r="D469" i="23" s="1"/>
  <c r="E469" i="23" s="1"/>
  <c r="D468" i="23"/>
  <c r="E468" i="23" s="1"/>
  <c r="D468" i="23" a="1"/>
  <c r="D467" i="23" a="1"/>
  <c r="D467" i="23" s="1"/>
  <c r="E467" i="23" s="1"/>
  <c r="D466" i="23" a="1"/>
  <c r="D466" i="23" s="1"/>
  <c r="E466" i="23" s="1"/>
  <c r="D465" i="23" a="1"/>
  <c r="D465" i="23" s="1"/>
  <c r="E465" i="23" s="1"/>
  <c r="D464" i="23" a="1"/>
  <c r="D464" i="23" s="1"/>
  <c r="E464" i="23" s="1"/>
  <c r="D463" i="23" a="1"/>
  <c r="D463" i="23" s="1"/>
  <c r="E463" i="23" s="1"/>
  <c r="D462" i="23" a="1"/>
  <c r="D462" i="23" s="1"/>
  <c r="E462" i="23" s="1"/>
  <c r="D461" i="23" a="1"/>
  <c r="D461" i="23" s="1"/>
  <c r="E461" i="23" s="1"/>
  <c r="D460" i="23" a="1"/>
  <c r="D460" i="23" s="1"/>
  <c r="E460" i="23" s="1"/>
  <c r="D459" i="23" a="1"/>
  <c r="D459" i="23" s="1"/>
  <c r="E459" i="23" s="1"/>
  <c r="D458" i="23"/>
  <c r="E458" i="23" s="1"/>
  <c r="D458" i="23" a="1"/>
  <c r="D457" i="23" a="1"/>
  <c r="D457" i="23" s="1"/>
  <c r="E457" i="23" s="1"/>
  <c r="D456" i="23"/>
  <c r="E456" i="23" s="1"/>
  <c r="D456" i="23" a="1"/>
  <c r="D455" i="23" a="1"/>
  <c r="D455" i="23" s="1"/>
  <c r="E455" i="23" s="1"/>
  <c r="D454" i="23" a="1"/>
  <c r="D454" i="23" s="1"/>
  <c r="E454" i="23" s="1"/>
  <c r="D453" i="23" a="1"/>
  <c r="D453" i="23" s="1"/>
  <c r="E453" i="23" s="1"/>
  <c r="D452" i="23"/>
  <c r="E452" i="23" s="1"/>
  <c r="D452" i="23" a="1"/>
  <c r="D451" i="23" a="1"/>
  <c r="D451" i="23" s="1"/>
  <c r="E451" i="23" s="1"/>
  <c r="D450" i="23" a="1"/>
  <c r="D450" i="23" s="1"/>
  <c r="E450" i="23" s="1"/>
  <c r="D449" i="23" a="1"/>
  <c r="D449" i="23" s="1"/>
  <c r="E449" i="23" s="1"/>
  <c r="D448" i="23" a="1"/>
  <c r="D448" i="23" s="1"/>
  <c r="E448" i="23" s="1"/>
  <c r="D447" i="23" a="1"/>
  <c r="D447" i="23" s="1"/>
  <c r="E447" i="23" s="1"/>
  <c r="D446" i="23" a="1"/>
  <c r="D446" i="23" s="1"/>
  <c r="E446" i="23" s="1"/>
  <c r="D445" i="23" a="1"/>
  <c r="D445" i="23" s="1"/>
  <c r="E445" i="23" s="1"/>
  <c r="D444" i="23" a="1"/>
  <c r="D444" i="23" s="1"/>
  <c r="E444" i="23" s="1"/>
  <c r="D443" i="23" a="1"/>
  <c r="D443" i="23" s="1"/>
  <c r="E443" i="23" s="1"/>
  <c r="D442" i="23" a="1"/>
  <c r="D442" i="23" s="1"/>
  <c r="E442" i="23" s="1"/>
  <c r="D441" i="23" a="1"/>
  <c r="D441" i="23" s="1"/>
  <c r="E441" i="23" s="1"/>
  <c r="D440" i="23" a="1"/>
  <c r="D440" i="23" s="1"/>
  <c r="E440" i="23" s="1"/>
  <c r="D439" i="23" a="1"/>
  <c r="D439" i="23" s="1"/>
  <c r="E439" i="23" s="1"/>
  <c r="D438" i="23" a="1"/>
  <c r="D438" i="23" s="1"/>
  <c r="E438" i="23" s="1"/>
  <c r="D437" i="23" a="1"/>
  <c r="D437" i="23" s="1"/>
  <c r="E437" i="23" s="1"/>
  <c r="D436" i="23"/>
  <c r="E436" i="23" s="1"/>
  <c r="D436" i="23" a="1"/>
  <c r="D435" i="23" a="1"/>
  <c r="D435" i="23" s="1"/>
  <c r="E435" i="23" s="1"/>
  <c r="D434" i="23" a="1"/>
  <c r="D434" i="23" s="1"/>
  <c r="E434" i="23" s="1"/>
  <c r="D433" i="23"/>
  <c r="E433" i="23" s="1"/>
  <c r="D433" i="23" a="1"/>
  <c r="D432" i="23"/>
  <c r="E432" i="23" s="1"/>
  <c r="D432" i="23" a="1"/>
  <c r="D431" i="23" a="1"/>
  <c r="D431" i="23" s="1"/>
  <c r="E431" i="23" s="1"/>
  <c r="D430" i="23" a="1"/>
  <c r="D430" i="23" s="1"/>
  <c r="E430" i="23" s="1"/>
  <c r="D429" i="23" a="1"/>
  <c r="D429" i="23" s="1"/>
  <c r="E429" i="23" s="1"/>
  <c r="D428" i="23" a="1"/>
  <c r="D428" i="23" s="1"/>
  <c r="E428" i="23" s="1"/>
  <c r="D427" i="23" a="1"/>
  <c r="D427" i="23" s="1"/>
  <c r="E427" i="23" s="1"/>
  <c r="E426" i="23"/>
  <c r="D426" i="23"/>
  <c r="D426" i="23" a="1"/>
  <c r="E425" i="23"/>
  <c r="D425" i="23" a="1"/>
  <c r="D425" i="23" s="1"/>
  <c r="E424" i="23"/>
  <c r="D424" i="23"/>
  <c r="D424" i="23" a="1"/>
  <c r="D423" i="23" a="1"/>
  <c r="D423" i="23" s="1"/>
  <c r="E423" i="23" s="1"/>
  <c r="D422" i="23" a="1"/>
  <c r="D422" i="23" s="1"/>
  <c r="E422" i="23" s="1"/>
  <c r="D421" i="23" a="1"/>
  <c r="D421" i="23" s="1"/>
  <c r="E421" i="23" s="1"/>
  <c r="D420" i="23"/>
  <c r="E420" i="23" s="1"/>
  <c r="D420" i="23" a="1"/>
  <c r="D419" i="23" a="1"/>
  <c r="D419" i="23" s="1"/>
  <c r="E419" i="23" s="1"/>
  <c r="D418" i="23" a="1"/>
  <c r="D418" i="23" s="1"/>
  <c r="E418" i="23" s="1"/>
  <c r="D417" i="23" a="1"/>
  <c r="D417" i="23" s="1"/>
  <c r="E417" i="23" s="1"/>
  <c r="D416" i="23" a="1"/>
  <c r="D416" i="23" s="1"/>
  <c r="E416" i="23" s="1"/>
  <c r="D415" i="23" a="1"/>
  <c r="D415" i="23" s="1"/>
  <c r="E415" i="23" s="1"/>
  <c r="D414" i="23" a="1"/>
  <c r="D414" i="23" s="1"/>
  <c r="E414" i="23" s="1"/>
  <c r="E413" i="23"/>
  <c r="D413" i="23" a="1"/>
  <c r="D413" i="23" s="1"/>
  <c r="D412" i="23" a="1"/>
  <c r="D412" i="23" s="1"/>
  <c r="E412" i="23" s="1"/>
  <c r="D411" i="23"/>
  <c r="E411" i="23" s="1"/>
  <c r="D411" i="23" a="1"/>
  <c r="D410" i="23"/>
  <c r="E410" i="23" s="1"/>
  <c r="D410" i="23" a="1"/>
  <c r="D409" i="23" a="1"/>
  <c r="D409" i="23" s="1"/>
  <c r="E409" i="23" s="1"/>
  <c r="E408" i="23"/>
  <c r="D408" i="23"/>
  <c r="D408" i="23" a="1"/>
  <c r="D407" i="23"/>
  <c r="E407" i="23" s="1"/>
  <c r="D407" i="23" a="1"/>
  <c r="D406" i="23" a="1"/>
  <c r="D406" i="23" s="1"/>
  <c r="E406" i="23" s="1"/>
  <c r="D405" i="23" a="1"/>
  <c r="D405" i="23" s="1"/>
  <c r="E405" i="23" s="1"/>
  <c r="D404" i="23"/>
  <c r="E404" i="23" s="1"/>
  <c r="D404" i="23" a="1"/>
  <c r="D403" i="23"/>
  <c r="E403" i="23" s="1"/>
  <c r="D403" i="23" a="1"/>
  <c r="D402" i="23" a="1"/>
  <c r="D402" i="23" s="1"/>
  <c r="E402" i="23" s="1"/>
  <c r="D401" i="23" a="1"/>
  <c r="D401" i="23" s="1"/>
  <c r="E401" i="23" s="1"/>
  <c r="D400" i="23" a="1"/>
  <c r="D400" i="23" s="1"/>
  <c r="E400" i="23" s="1"/>
  <c r="D399" i="23" a="1"/>
  <c r="D399" i="23" s="1"/>
  <c r="E399" i="23" s="1"/>
  <c r="D398" i="23" a="1"/>
  <c r="D398" i="23" s="1"/>
  <c r="E398" i="23" s="1"/>
  <c r="E397" i="23"/>
  <c r="D397" i="23" a="1"/>
  <c r="D397" i="23" s="1"/>
  <c r="D396" i="23" a="1"/>
  <c r="D396" i="23" s="1"/>
  <c r="E396" i="23" s="1"/>
  <c r="D395" i="23"/>
  <c r="E395" i="23" s="1"/>
  <c r="D395" i="23" a="1"/>
  <c r="D394" i="23"/>
  <c r="E394" i="23" s="1"/>
  <c r="D394" i="23" a="1"/>
  <c r="D393" i="23" a="1"/>
  <c r="D393" i="23" s="1"/>
  <c r="E393" i="23" s="1"/>
  <c r="D392" i="23" a="1"/>
  <c r="D392" i="23" s="1"/>
  <c r="E392" i="23" s="1"/>
  <c r="D391" i="23" a="1"/>
  <c r="D391" i="23" s="1"/>
  <c r="E391" i="23" s="1"/>
  <c r="D390" i="23" a="1"/>
  <c r="D390" i="23" s="1"/>
  <c r="E390" i="23" s="1"/>
  <c r="D389" i="23" a="1"/>
  <c r="D389" i="23" s="1"/>
  <c r="E389" i="23" s="1"/>
  <c r="D388" i="23"/>
  <c r="E388" i="23" s="1"/>
  <c r="D388" i="23" a="1"/>
  <c r="D387" i="23" a="1"/>
  <c r="D387" i="23" s="1"/>
  <c r="E387" i="23" s="1"/>
  <c r="D386" i="23" a="1"/>
  <c r="D386" i="23" s="1"/>
  <c r="E386" i="23" s="1"/>
  <c r="D385" i="23" a="1"/>
  <c r="D385" i="23" s="1"/>
  <c r="E385" i="23" s="1"/>
  <c r="D384" i="23" a="1"/>
  <c r="D384" i="23" s="1"/>
  <c r="E384" i="23" s="1"/>
  <c r="D383" i="23" a="1"/>
  <c r="D383" i="23" s="1"/>
  <c r="E383" i="23" s="1"/>
  <c r="D382" i="23" a="1"/>
  <c r="D382" i="23" s="1"/>
  <c r="E382" i="23" s="1"/>
  <c r="E381" i="23"/>
  <c r="D381" i="23" a="1"/>
  <c r="D381" i="23" s="1"/>
  <c r="D380" i="23" a="1"/>
  <c r="D380" i="23" s="1"/>
  <c r="E380" i="23" s="1"/>
  <c r="D379" i="23" a="1"/>
  <c r="D379" i="23" s="1"/>
  <c r="E379" i="23" s="1"/>
  <c r="D378" i="23" a="1"/>
  <c r="D378" i="23" s="1"/>
  <c r="E378" i="23" s="1"/>
  <c r="E377" i="23"/>
  <c r="D377" i="23" a="1"/>
  <c r="D377" i="23" s="1"/>
  <c r="D376" i="23"/>
  <c r="E376" i="23" s="1"/>
  <c r="D376" i="23" a="1"/>
  <c r="D375" i="23" a="1"/>
  <c r="D375" i="23" s="1"/>
  <c r="E375" i="23" s="1"/>
  <c r="D374" i="23" a="1"/>
  <c r="D374" i="23" s="1"/>
  <c r="E374" i="23" s="1"/>
  <c r="D373" i="23" a="1"/>
  <c r="D373" i="23" s="1"/>
  <c r="E373" i="23" s="1"/>
  <c r="D372" i="23"/>
  <c r="E372" i="23" s="1"/>
  <c r="D372" i="23" a="1"/>
  <c r="D371" i="23" a="1"/>
  <c r="D371" i="23" s="1"/>
  <c r="E371" i="23" s="1"/>
  <c r="D370" i="23" a="1"/>
  <c r="D370" i="23" s="1"/>
  <c r="E370" i="23" s="1"/>
  <c r="D369" i="23" a="1"/>
  <c r="D369" i="23" s="1"/>
  <c r="E369" i="23" s="1"/>
  <c r="D368" i="23" a="1"/>
  <c r="D368" i="23" s="1"/>
  <c r="E368" i="23" s="1"/>
  <c r="D367" i="23" a="1"/>
  <c r="D367" i="23" s="1"/>
  <c r="E367" i="23" s="1"/>
  <c r="D366" i="23" a="1"/>
  <c r="D366" i="23" s="1"/>
  <c r="E366" i="23" s="1"/>
  <c r="D365" i="23" a="1"/>
  <c r="D365" i="23" s="1"/>
  <c r="E365" i="23" s="1"/>
  <c r="D364" i="23" a="1"/>
  <c r="D364" i="23" s="1"/>
  <c r="E364" i="23" s="1"/>
  <c r="D363" i="23" a="1"/>
  <c r="D363" i="23" s="1"/>
  <c r="E363" i="23" s="1"/>
  <c r="E362" i="23"/>
  <c r="D362" i="23"/>
  <c r="D362" i="23" a="1"/>
  <c r="D361" i="23" a="1"/>
  <c r="D361" i="23" s="1"/>
  <c r="E361" i="23" s="1"/>
  <c r="D360" i="23" a="1"/>
  <c r="D360" i="23" s="1"/>
  <c r="E360" i="23" s="1"/>
  <c r="D359" i="23" a="1"/>
  <c r="D359" i="23" s="1"/>
  <c r="E359" i="23" s="1"/>
  <c r="D358" i="23" a="1"/>
  <c r="D358" i="23" s="1"/>
  <c r="E358" i="23" s="1"/>
  <c r="D357" i="23" a="1"/>
  <c r="D357" i="23" s="1"/>
  <c r="E357" i="23" s="1"/>
  <c r="D356" i="23"/>
  <c r="E356" i="23" s="1"/>
  <c r="D356" i="23" a="1"/>
  <c r="D355" i="23" a="1"/>
  <c r="D355" i="23" s="1"/>
  <c r="E355" i="23" s="1"/>
  <c r="D354" i="23" a="1"/>
  <c r="D354" i="23" s="1"/>
  <c r="E354" i="23" s="1"/>
  <c r="D353" i="23" a="1"/>
  <c r="D353" i="23" s="1"/>
  <c r="E353" i="23" s="1"/>
  <c r="D352" i="23" a="1"/>
  <c r="D352" i="23" s="1"/>
  <c r="E352" i="23" s="1"/>
  <c r="D351" i="23" a="1"/>
  <c r="D351" i="23" s="1"/>
  <c r="E351" i="23" s="1"/>
  <c r="D350" i="23" a="1"/>
  <c r="D350" i="23" s="1"/>
  <c r="E350" i="23" s="1"/>
  <c r="D349" i="23" a="1"/>
  <c r="D349" i="23" s="1"/>
  <c r="E349" i="23" s="1"/>
  <c r="D348" i="23" a="1"/>
  <c r="D348" i="23" s="1"/>
  <c r="E348" i="23" s="1"/>
  <c r="D347" i="23" a="1"/>
  <c r="D347" i="23" s="1"/>
  <c r="E347" i="23" s="1"/>
  <c r="D346" i="23"/>
  <c r="E346" i="23" s="1"/>
  <c r="D346" i="23" a="1"/>
  <c r="D345" i="23" a="1"/>
  <c r="D345" i="23" s="1"/>
  <c r="E345" i="23" s="1"/>
  <c r="D344" i="23" a="1"/>
  <c r="D344" i="23" s="1"/>
  <c r="E344" i="23" s="1"/>
  <c r="D343" i="23"/>
  <c r="E343" i="23" s="1"/>
  <c r="D343" i="23" a="1"/>
  <c r="D342" i="23" a="1"/>
  <c r="D342" i="23" s="1"/>
  <c r="E342" i="23" s="1"/>
  <c r="D341" i="23"/>
  <c r="E341" i="23" s="1"/>
  <c r="D341" i="23" a="1"/>
  <c r="D340" i="23"/>
  <c r="E340" i="23" s="1"/>
  <c r="D340" i="23" a="1"/>
  <c r="D339" i="23" a="1"/>
  <c r="D339" i="23" s="1"/>
  <c r="E339" i="23" s="1"/>
  <c r="D338" i="23" a="1"/>
  <c r="D338" i="23" s="1"/>
  <c r="E338" i="23" s="1"/>
  <c r="D337" i="23" a="1"/>
  <c r="D337" i="23" s="1"/>
  <c r="E337" i="23" s="1"/>
  <c r="E336" i="23"/>
  <c r="D336" i="23"/>
  <c r="D336" i="23" a="1"/>
  <c r="D335" i="23" a="1"/>
  <c r="D335" i="23" s="1"/>
  <c r="E335" i="23" s="1"/>
  <c r="D334" i="23" a="1"/>
  <c r="D334" i="23" s="1"/>
  <c r="E334" i="23" s="1"/>
  <c r="D333" i="23" a="1"/>
  <c r="D333" i="23" s="1"/>
  <c r="E333" i="23" s="1"/>
  <c r="E332" i="23"/>
  <c r="D332" i="23"/>
  <c r="D332" i="23" a="1"/>
  <c r="D331" i="23" a="1"/>
  <c r="D331" i="23" s="1"/>
  <c r="E331" i="23" s="1"/>
  <c r="D330" i="23" a="1"/>
  <c r="D330" i="23" s="1"/>
  <c r="E330" i="23" s="1"/>
  <c r="D329" i="23" a="1"/>
  <c r="D329" i="23" s="1"/>
  <c r="E329" i="23" s="1"/>
  <c r="D328" i="23" a="1"/>
  <c r="D328" i="23" s="1"/>
  <c r="E328" i="23" s="1"/>
  <c r="D327" i="23" a="1"/>
  <c r="D327" i="23" s="1"/>
  <c r="E327" i="23" s="1"/>
  <c r="D326" i="23" a="1"/>
  <c r="D326" i="23" s="1"/>
  <c r="E326" i="23" s="1"/>
  <c r="D325" i="23" a="1"/>
  <c r="D325" i="23" s="1"/>
  <c r="E325" i="23" s="1"/>
  <c r="D324" i="23" a="1"/>
  <c r="D324" i="23" s="1"/>
  <c r="E324" i="23" s="1"/>
  <c r="D323" i="23" a="1"/>
  <c r="D323" i="23" s="1"/>
  <c r="E323" i="23" s="1"/>
  <c r="D322" i="23" a="1"/>
  <c r="D322" i="23" s="1"/>
  <c r="E322" i="23" s="1"/>
  <c r="D321" i="23" a="1"/>
  <c r="D321" i="23" s="1"/>
  <c r="E321" i="23" s="1"/>
  <c r="D320" i="23"/>
  <c r="E320" i="23" s="1"/>
  <c r="D320" i="23" a="1"/>
  <c r="D319" i="23" a="1"/>
  <c r="D319" i="23" s="1"/>
  <c r="E319" i="23" s="1"/>
  <c r="D318" i="23" a="1"/>
  <c r="D318" i="23" s="1"/>
  <c r="E318" i="23" s="1"/>
  <c r="D317" i="23" a="1"/>
  <c r="D317" i="23" s="1"/>
  <c r="E317" i="23" s="1"/>
  <c r="D316" i="23" a="1"/>
  <c r="D316" i="23" s="1"/>
  <c r="E316" i="23" s="1"/>
  <c r="D315" i="23" a="1"/>
  <c r="D315" i="23" s="1"/>
  <c r="E315" i="23" s="1"/>
  <c r="D314" i="23" a="1"/>
  <c r="D314" i="23" s="1"/>
  <c r="E314" i="23" s="1"/>
  <c r="D313" i="23" a="1"/>
  <c r="D313" i="23" s="1"/>
  <c r="E313" i="23" s="1"/>
  <c r="D312" i="23" a="1"/>
  <c r="D312" i="23" s="1"/>
  <c r="E312" i="23" s="1"/>
  <c r="D311" i="23" a="1"/>
  <c r="D311" i="23" s="1"/>
  <c r="E311" i="23" s="1"/>
  <c r="D310" i="23" a="1"/>
  <c r="D310" i="23" s="1"/>
  <c r="E310" i="23" s="1"/>
  <c r="D309" i="23" a="1"/>
  <c r="D309" i="23" s="1"/>
  <c r="E309" i="23" s="1"/>
  <c r="D308" i="23" a="1"/>
  <c r="D308" i="23" s="1"/>
  <c r="E308" i="23" s="1"/>
  <c r="D307" i="23" a="1"/>
  <c r="D307" i="23" s="1"/>
  <c r="E307" i="23" s="1"/>
  <c r="D306" i="23" a="1"/>
  <c r="D306" i="23" s="1"/>
  <c r="E306" i="23" s="1"/>
  <c r="D305" i="23" a="1"/>
  <c r="D305" i="23" s="1"/>
  <c r="E305" i="23" s="1"/>
  <c r="D304" i="23" a="1"/>
  <c r="D304" i="23" s="1"/>
  <c r="E304" i="23" s="1"/>
  <c r="D303" i="23" a="1"/>
  <c r="D303" i="23" s="1"/>
  <c r="E303" i="23" s="1"/>
  <c r="D302" i="23"/>
  <c r="E302" i="23" s="1"/>
  <c r="D302" i="23" a="1"/>
  <c r="D301" i="23" a="1"/>
  <c r="D301" i="23" s="1"/>
  <c r="E301" i="23" s="1"/>
  <c r="D300" i="23" a="1"/>
  <c r="D300" i="23" s="1"/>
  <c r="E300" i="23" s="1"/>
  <c r="D299" i="23" a="1"/>
  <c r="D299" i="23" s="1"/>
  <c r="E299" i="23" s="1"/>
  <c r="D298" i="23" a="1"/>
  <c r="D298" i="23" s="1"/>
  <c r="E298" i="23" s="1"/>
  <c r="D297" i="23" a="1"/>
  <c r="D297" i="23" s="1"/>
  <c r="E297" i="23" s="1"/>
  <c r="D296" i="23" a="1"/>
  <c r="D296" i="23" s="1"/>
  <c r="E296" i="23" s="1"/>
  <c r="D295" i="23"/>
  <c r="E295" i="23" s="1"/>
  <c r="D295" i="23" a="1"/>
  <c r="D294" i="23" a="1"/>
  <c r="D294" i="23" s="1"/>
  <c r="E294" i="23" s="1"/>
  <c r="D293" i="23" a="1"/>
  <c r="D293" i="23" s="1"/>
  <c r="E293" i="23" s="1"/>
  <c r="D292" i="23" a="1"/>
  <c r="D292" i="23" s="1"/>
  <c r="E292" i="23" s="1"/>
  <c r="D291" i="23" a="1"/>
  <c r="D291" i="23" s="1"/>
  <c r="E291" i="23" s="1"/>
  <c r="D290" i="23" a="1"/>
  <c r="D290" i="23" s="1"/>
  <c r="E290" i="23" s="1"/>
  <c r="D289" i="23" a="1"/>
  <c r="D289" i="23" s="1"/>
  <c r="E289" i="23" s="1"/>
  <c r="D288" i="23"/>
  <c r="E288" i="23" s="1"/>
  <c r="D288" i="23" a="1"/>
  <c r="D287" i="23" a="1"/>
  <c r="D287" i="23" s="1"/>
  <c r="E287" i="23" s="1"/>
  <c r="D286" i="23"/>
  <c r="E286" i="23" s="1"/>
  <c r="D286" i="23" a="1"/>
  <c r="D285" i="23" a="1"/>
  <c r="D285" i="23" s="1"/>
  <c r="E285" i="23" s="1"/>
  <c r="D284" i="23" a="1"/>
  <c r="D284" i="23" s="1"/>
  <c r="E284" i="23" s="1"/>
  <c r="D283" i="23" a="1"/>
  <c r="D283" i="23" s="1"/>
  <c r="E283" i="23" s="1"/>
  <c r="D282" i="23" a="1"/>
  <c r="D282" i="23" s="1"/>
  <c r="E282" i="23" s="1"/>
  <c r="D281" i="23" a="1"/>
  <c r="D281" i="23" s="1"/>
  <c r="E281" i="23" s="1"/>
  <c r="D280" i="23" a="1"/>
  <c r="D280" i="23" s="1"/>
  <c r="E280" i="23" s="1"/>
  <c r="D279" i="23" a="1"/>
  <c r="D279" i="23" s="1"/>
  <c r="E279" i="23" s="1"/>
  <c r="D278" i="23" a="1"/>
  <c r="D278" i="23" s="1"/>
  <c r="E278" i="23" s="1"/>
  <c r="D277" i="23" a="1"/>
  <c r="D277" i="23" s="1"/>
  <c r="E277" i="23" s="1"/>
  <c r="D276" i="23" a="1"/>
  <c r="D276" i="23" s="1"/>
  <c r="E276" i="23" s="1"/>
  <c r="D275" i="23" a="1"/>
  <c r="D275" i="23" s="1"/>
  <c r="E275" i="23" s="1"/>
  <c r="D274" i="23" a="1"/>
  <c r="D274" i="23" s="1"/>
  <c r="E274" i="23" s="1"/>
  <c r="D273" i="23" a="1"/>
  <c r="D273" i="23" s="1"/>
  <c r="E273" i="23" s="1"/>
  <c r="D272" i="23" a="1"/>
  <c r="D272" i="23" s="1"/>
  <c r="E272" i="23" s="1"/>
  <c r="D271" i="23" a="1"/>
  <c r="D271" i="23" s="1"/>
  <c r="E271" i="23" s="1"/>
  <c r="D270" i="23"/>
  <c r="E270" i="23" s="1"/>
  <c r="D270" i="23" a="1"/>
  <c r="D269" i="23" a="1"/>
  <c r="D269" i="23" s="1"/>
  <c r="E269" i="23" s="1"/>
  <c r="D268" i="23" a="1"/>
  <c r="D268" i="23" s="1"/>
  <c r="E268" i="23" s="1"/>
  <c r="D267" i="23" a="1"/>
  <c r="D267" i="23" s="1"/>
  <c r="E267" i="23" s="1"/>
  <c r="D266" i="23" a="1"/>
  <c r="D266" i="23" s="1"/>
  <c r="E266" i="23" s="1"/>
  <c r="D265" i="23" a="1"/>
  <c r="D265" i="23" s="1"/>
  <c r="E265" i="23" s="1"/>
  <c r="D264" i="23" a="1"/>
  <c r="D264" i="23" s="1"/>
  <c r="E264" i="23" s="1"/>
  <c r="D263" i="23"/>
  <c r="E263" i="23" s="1"/>
  <c r="D263" i="23" a="1"/>
  <c r="D262" i="23" a="1"/>
  <c r="D262" i="23" s="1"/>
  <c r="E262" i="23" s="1"/>
  <c r="D261" i="23" a="1"/>
  <c r="D261" i="23" s="1"/>
  <c r="E261" i="23" s="1"/>
  <c r="D260" i="23" a="1"/>
  <c r="D260" i="23" s="1"/>
  <c r="E260" i="23" s="1"/>
  <c r="D259" i="23"/>
  <c r="E259" i="23" s="1"/>
  <c r="D259" i="23" a="1"/>
  <c r="D258" i="23" a="1"/>
  <c r="D258" i="23" s="1"/>
  <c r="E258" i="23" s="1"/>
  <c r="D257" i="23" a="1"/>
  <c r="D257" i="23" s="1"/>
  <c r="E257" i="23" s="1"/>
  <c r="D256" i="23"/>
  <c r="E256" i="23" s="1"/>
  <c r="D256" i="23" a="1"/>
  <c r="D255" i="23" a="1"/>
  <c r="D255" i="23" s="1"/>
  <c r="E255" i="23" s="1"/>
  <c r="D254" i="23"/>
  <c r="E254" i="23" s="1"/>
  <c r="D254" i="23" a="1"/>
  <c r="D253" i="23" a="1"/>
  <c r="D253" i="23" s="1"/>
  <c r="E253" i="23" s="1"/>
  <c r="D252" i="23" a="1"/>
  <c r="D252" i="23" s="1"/>
  <c r="E252" i="23" s="1"/>
  <c r="D251" i="23" a="1"/>
  <c r="D251" i="23" s="1"/>
  <c r="E251" i="23" s="1"/>
  <c r="D250" i="23" a="1"/>
  <c r="D250" i="23" s="1"/>
  <c r="E250" i="23" s="1"/>
  <c r="D249" i="23" a="1"/>
  <c r="D249" i="23" s="1"/>
  <c r="E249" i="23" s="1"/>
  <c r="D248" i="23" a="1"/>
  <c r="D248" i="23" s="1"/>
  <c r="E248" i="23" s="1"/>
  <c r="D247" i="23" a="1"/>
  <c r="D247" i="23" s="1"/>
  <c r="E247" i="23" s="1"/>
  <c r="D246" i="23" a="1"/>
  <c r="D246" i="23" s="1"/>
  <c r="E246" i="23" s="1"/>
  <c r="D245" i="23" a="1"/>
  <c r="D245" i="23" s="1"/>
  <c r="E245" i="23" s="1"/>
  <c r="D244" i="23" a="1"/>
  <c r="D244" i="23" s="1"/>
  <c r="E244" i="23" s="1"/>
  <c r="D243" i="23" a="1"/>
  <c r="D243" i="23" s="1"/>
  <c r="E243" i="23" s="1"/>
  <c r="D242" i="23" a="1"/>
  <c r="D242" i="23" s="1"/>
  <c r="E242" i="23" s="1"/>
  <c r="D241" i="23" a="1"/>
  <c r="D241" i="23" s="1"/>
  <c r="E241" i="23" s="1"/>
  <c r="D240" i="23" a="1"/>
  <c r="D240" i="23" s="1"/>
  <c r="E240" i="23" s="1"/>
  <c r="D239" i="23" a="1"/>
  <c r="D239" i="23" s="1"/>
  <c r="E239" i="23" s="1"/>
  <c r="D238" i="23" a="1"/>
  <c r="D238" i="23" s="1"/>
  <c r="E238" i="23" s="1"/>
  <c r="D237" i="23" a="1"/>
  <c r="D237" i="23" s="1"/>
  <c r="E237" i="23" s="1"/>
  <c r="D236" i="23" a="1"/>
  <c r="D236" i="23" s="1"/>
  <c r="E236" i="23" s="1"/>
  <c r="D235" i="23" a="1"/>
  <c r="D235" i="23" s="1"/>
  <c r="E235" i="23" s="1"/>
  <c r="D234" i="23" a="1"/>
  <c r="D234" i="23" s="1"/>
  <c r="E234" i="23" s="1"/>
  <c r="D233" i="23" a="1"/>
  <c r="D233" i="23" s="1"/>
  <c r="E233" i="23" s="1"/>
  <c r="D232" i="23" a="1"/>
  <c r="D232" i="23" s="1"/>
  <c r="E232" i="23" s="1"/>
  <c r="D231" i="23"/>
  <c r="E231" i="23" s="1"/>
  <c r="D231" i="23" a="1"/>
  <c r="D230" i="23"/>
  <c r="E230" i="23" s="1"/>
  <c r="D230" i="23" a="1"/>
  <c r="D229" i="23" a="1"/>
  <c r="D229" i="23" s="1"/>
  <c r="E229" i="23" s="1"/>
  <c r="D228" i="23" a="1"/>
  <c r="D228" i="23" s="1"/>
  <c r="E228" i="23" s="1"/>
  <c r="D227" i="23" a="1"/>
  <c r="D227" i="23" s="1"/>
  <c r="E227" i="23" s="1"/>
  <c r="D226" i="23" a="1"/>
  <c r="D226" i="23" s="1"/>
  <c r="E226" i="23" s="1"/>
  <c r="D225" i="23" a="1"/>
  <c r="D225" i="23" s="1"/>
  <c r="E225" i="23" s="1"/>
  <c r="D224" i="23"/>
  <c r="E224" i="23" s="1"/>
  <c r="D224" i="23" a="1"/>
  <c r="D223" i="23" a="1"/>
  <c r="D223" i="23" s="1"/>
  <c r="E223" i="23" s="1"/>
  <c r="D222" i="23" a="1"/>
  <c r="D222" i="23" s="1"/>
  <c r="E222" i="23" s="1"/>
  <c r="D221" i="23" a="1"/>
  <c r="D221" i="23" s="1"/>
  <c r="E221" i="23" s="1"/>
  <c r="D220" i="23" a="1"/>
  <c r="D220" i="23" s="1"/>
  <c r="E220" i="23" s="1"/>
  <c r="D219" i="23" a="1"/>
  <c r="D219" i="23" s="1"/>
  <c r="E219" i="23" s="1"/>
  <c r="D218" i="23" a="1"/>
  <c r="D218" i="23" s="1"/>
  <c r="E218" i="23" s="1"/>
  <c r="D217" i="23" a="1"/>
  <c r="D217" i="23" s="1"/>
  <c r="E217" i="23" s="1"/>
  <c r="D216" i="23" a="1"/>
  <c r="D216" i="23" s="1"/>
  <c r="E216" i="23" s="1"/>
  <c r="D215" i="23" a="1"/>
  <c r="D215" i="23" s="1"/>
  <c r="E215" i="23" s="1"/>
  <c r="E214" i="23"/>
  <c r="D214" i="23"/>
  <c r="D214" i="23" a="1"/>
  <c r="D213" i="23" a="1"/>
  <c r="D213" i="23" s="1"/>
  <c r="E213" i="23" s="1"/>
  <c r="D212" i="23" a="1"/>
  <c r="D212" i="23" s="1"/>
  <c r="E212" i="23" s="1"/>
  <c r="D211" i="23" a="1"/>
  <c r="D211" i="23" s="1"/>
  <c r="E211" i="23" s="1"/>
  <c r="D210" i="23" a="1"/>
  <c r="D210" i="23" s="1"/>
  <c r="E210" i="23" s="1"/>
  <c r="D209" i="23" a="1"/>
  <c r="D209" i="23" s="1"/>
  <c r="E209" i="23" s="1"/>
  <c r="D208" i="23"/>
  <c r="E208" i="23" s="1"/>
  <c r="D208" i="23" a="1"/>
  <c r="D207" i="23" a="1"/>
  <c r="D207" i="23" s="1"/>
  <c r="E207" i="23" s="1"/>
  <c r="D206" i="23"/>
  <c r="E206" i="23" s="1"/>
  <c r="D206" i="23" a="1"/>
  <c r="D205" i="23" a="1"/>
  <c r="D205" i="23" s="1"/>
  <c r="E205" i="23" s="1"/>
  <c r="D204" i="23" a="1"/>
  <c r="D204" i="23" s="1"/>
  <c r="E204" i="23" s="1"/>
  <c r="D203" i="23" a="1"/>
  <c r="D203" i="23" s="1"/>
  <c r="E203" i="23" s="1"/>
  <c r="D202" i="23" a="1"/>
  <c r="D202" i="23" s="1"/>
  <c r="E202" i="23" s="1"/>
  <c r="D201" i="23" a="1"/>
  <c r="D201" i="23" s="1"/>
  <c r="E201" i="23" s="1"/>
  <c r="D200" i="23" a="1"/>
  <c r="D200" i="23" s="1"/>
  <c r="E200" i="23" s="1"/>
  <c r="D199" i="23"/>
  <c r="E199" i="23" s="1"/>
  <c r="D199" i="23" a="1"/>
  <c r="D198" i="23" a="1"/>
  <c r="D198" i="23" s="1"/>
  <c r="E198" i="23" s="1"/>
  <c r="D197" i="23" a="1"/>
  <c r="D197" i="23" s="1"/>
  <c r="E197" i="23" s="1"/>
  <c r="D196" i="23" a="1"/>
  <c r="D196" i="23" s="1"/>
  <c r="E196" i="23" s="1"/>
  <c r="E195" i="23"/>
  <c r="D195" i="23"/>
  <c r="D195" i="23" a="1"/>
  <c r="D194" i="23" a="1"/>
  <c r="D194" i="23" s="1"/>
  <c r="E194" i="23" s="1"/>
  <c r="D193" i="23" a="1"/>
  <c r="D193" i="23" s="1"/>
  <c r="E193" i="23" s="1"/>
  <c r="D192" i="23" a="1"/>
  <c r="D192" i="23" s="1"/>
  <c r="E192" i="23" s="1"/>
  <c r="D191" i="23" a="1"/>
  <c r="D191" i="23" s="1"/>
  <c r="E191" i="23" s="1"/>
  <c r="D190" i="23" a="1"/>
  <c r="D190" i="23" s="1"/>
  <c r="E190" i="23" s="1"/>
  <c r="D189" i="23" a="1"/>
  <c r="D189" i="23" s="1"/>
  <c r="E189" i="23" s="1"/>
  <c r="D188" i="23" a="1"/>
  <c r="D188" i="23" s="1"/>
  <c r="E188" i="23" s="1"/>
  <c r="D187" i="23" a="1"/>
  <c r="D187" i="23" s="1"/>
  <c r="E187" i="23" s="1"/>
  <c r="D186" i="23" a="1"/>
  <c r="D186" i="23" s="1"/>
  <c r="E186" i="23" s="1"/>
  <c r="D185" i="23" a="1"/>
  <c r="D185" i="23" s="1"/>
  <c r="E185" i="23" s="1"/>
  <c r="D184" i="23" a="1"/>
  <c r="D184" i="23" s="1"/>
  <c r="E184" i="23" s="1"/>
  <c r="D183" i="23"/>
  <c r="E183" i="23" s="1"/>
  <c r="D183" i="23" a="1"/>
  <c r="D182" i="23" a="1"/>
  <c r="D182" i="23" s="1"/>
  <c r="E182" i="23" s="1"/>
  <c r="D181" i="23" a="1"/>
  <c r="D181" i="23" s="1"/>
  <c r="E181" i="23" s="1"/>
  <c r="D180" i="23" a="1"/>
  <c r="D180" i="23" s="1"/>
  <c r="E180" i="23" s="1"/>
  <c r="D179" i="23"/>
  <c r="E179" i="23" s="1"/>
  <c r="D179" i="23" a="1"/>
  <c r="D178" i="23" a="1"/>
  <c r="D178" i="23" s="1"/>
  <c r="E178" i="23" s="1"/>
  <c r="D177" i="23" a="1"/>
  <c r="D177" i="23" s="1"/>
  <c r="E177" i="23" s="1"/>
  <c r="D176" i="23" a="1"/>
  <c r="D176" i="23" s="1"/>
  <c r="E176" i="23" s="1"/>
  <c r="D175" i="23" a="1"/>
  <c r="D175" i="23" s="1"/>
  <c r="E175" i="23" s="1"/>
  <c r="D174" i="23" a="1"/>
  <c r="D174" i="23" s="1"/>
  <c r="E174" i="23" s="1"/>
  <c r="D173" i="23" a="1"/>
  <c r="D173" i="23" s="1"/>
  <c r="E173" i="23" s="1"/>
  <c r="D172" i="23" a="1"/>
  <c r="D172" i="23" s="1"/>
  <c r="E172" i="23" s="1"/>
  <c r="D171" i="23" a="1"/>
  <c r="D171" i="23" s="1"/>
  <c r="E171" i="23" s="1"/>
  <c r="D170" i="23" a="1"/>
  <c r="D170" i="23" s="1"/>
  <c r="E170" i="23" s="1"/>
  <c r="D169" i="23" a="1"/>
  <c r="D169" i="23" s="1"/>
  <c r="E169" i="23" s="1"/>
  <c r="D168" i="23" a="1"/>
  <c r="D168" i="23" s="1"/>
  <c r="E168" i="23" s="1"/>
  <c r="D167" i="23" a="1"/>
  <c r="D167" i="23" s="1"/>
  <c r="E167" i="23" s="1"/>
  <c r="D166" i="23" a="1"/>
  <c r="D166" i="23" s="1"/>
  <c r="E166" i="23" s="1"/>
  <c r="D165" i="23" a="1"/>
  <c r="D165" i="23" s="1"/>
  <c r="E165" i="23" s="1"/>
  <c r="D164" i="23" a="1"/>
  <c r="D164" i="23" s="1"/>
  <c r="E164" i="23" s="1"/>
  <c r="D163" i="23"/>
  <c r="E163" i="23" s="1"/>
  <c r="D163" i="23" a="1"/>
  <c r="D162" i="23" a="1"/>
  <c r="D162" i="23" s="1"/>
  <c r="E162" i="23" s="1"/>
  <c r="D161" i="23" a="1"/>
  <c r="D161" i="23" s="1"/>
  <c r="E161" i="23" s="1"/>
  <c r="D160" i="23" a="1"/>
  <c r="D160" i="23" s="1"/>
  <c r="E160" i="23" s="1"/>
  <c r="D159" i="23" a="1"/>
  <c r="D159" i="23" s="1"/>
  <c r="E159" i="23" s="1"/>
  <c r="D158" i="23" a="1"/>
  <c r="D158" i="23" s="1"/>
  <c r="E158" i="23" s="1"/>
  <c r="D157" i="23" a="1"/>
  <c r="D157" i="23" s="1"/>
  <c r="E157" i="23" s="1"/>
  <c r="D156" i="23" a="1"/>
  <c r="D156" i="23" s="1"/>
  <c r="E156" i="23" s="1"/>
  <c r="D155" i="23" a="1"/>
  <c r="D155" i="23" s="1"/>
  <c r="E155" i="23" s="1"/>
  <c r="D154" i="23" a="1"/>
  <c r="D154" i="23" s="1"/>
  <c r="E154" i="23" s="1"/>
  <c r="D153" i="23" a="1"/>
  <c r="D153" i="23" s="1"/>
  <c r="E153" i="23" s="1"/>
  <c r="D152" i="23" a="1"/>
  <c r="D152" i="23" s="1"/>
  <c r="E152" i="23" s="1"/>
  <c r="D151" i="23" a="1"/>
  <c r="D151" i="23" s="1"/>
  <c r="E151" i="23" s="1"/>
  <c r="D150" i="23" a="1"/>
  <c r="D150" i="23" s="1"/>
  <c r="E150" i="23" s="1"/>
  <c r="D149" i="23" a="1"/>
  <c r="D149" i="23" s="1"/>
  <c r="E149" i="23" s="1"/>
  <c r="D148" i="23" a="1"/>
  <c r="D148" i="23" s="1"/>
  <c r="E148" i="23" s="1"/>
  <c r="D147" i="23"/>
  <c r="E147" i="23" s="1"/>
  <c r="D147" i="23" a="1"/>
  <c r="D146" i="23" a="1"/>
  <c r="D146" i="23" s="1"/>
  <c r="E146" i="23" s="1"/>
  <c r="D145" i="23" a="1"/>
  <c r="D145" i="23" s="1"/>
  <c r="E145" i="23" s="1"/>
  <c r="D144" i="23" a="1"/>
  <c r="D144" i="23" s="1"/>
  <c r="E144" i="23" s="1"/>
  <c r="D143" i="23" a="1"/>
  <c r="D143" i="23" s="1"/>
  <c r="E143" i="23" s="1"/>
  <c r="D142" i="23"/>
  <c r="E142" i="23" s="1"/>
  <c r="D142" i="23" a="1"/>
  <c r="D141" i="23" a="1"/>
  <c r="D141" i="23" s="1"/>
  <c r="E141" i="23" s="1"/>
  <c r="D140" i="23" a="1"/>
  <c r="D140" i="23" s="1"/>
  <c r="E140" i="23" s="1"/>
  <c r="D139" i="23" a="1"/>
  <c r="D139" i="23" s="1"/>
  <c r="E139" i="23" s="1"/>
  <c r="D138" i="23" a="1"/>
  <c r="D138" i="23" s="1"/>
  <c r="E138" i="23" s="1"/>
  <c r="D137" i="23" a="1"/>
  <c r="D137" i="23" s="1"/>
  <c r="E137" i="23" s="1"/>
  <c r="D136" i="23" a="1"/>
  <c r="D136" i="23" s="1"/>
  <c r="E136" i="23" s="1"/>
  <c r="D135" i="23" a="1"/>
  <c r="D135" i="23" s="1"/>
  <c r="E135" i="23" s="1"/>
  <c r="D134" i="23" a="1"/>
  <c r="D134" i="23" s="1"/>
  <c r="E134" i="23" s="1"/>
  <c r="D133" i="23" a="1"/>
  <c r="D133" i="23" s="1"/>
  <c r="E133" i="23" s="1"/>
  <c r="D132" i="23" a="1"/>
  <c r="D132" i="23" s="1"/>
  <c r="E132" i="23" s="1"/>
  <c r="D131" i="23" a="1"/>
  <c r="D131" i="23" s="1"/>
  <c r="E131" i="23" s="1"/>
  <c r="D130" i="23" a="1"/>
  <c r="D130" i="23" s="1"/>
  <c r="E130" i="23" s="1"/>
  <c r="D129" i="23" a="1"/>
  <c r="D129" i="23" s="1"/>
  <c r="E129" i="23" s="1"/>
  <c r="D128" i="23"/>
  <c r="E128" i="23" s="1"/>
  <c r="D128" i="23" a="1"/>
  <c r="D127" i="23" a="1"/>
  <c r="D127" i="23" s="1"/>
  <c r="E127" i="23" s="1"/>
  <c r="D126" i="23" a="1"/>
  <c r="D126" i="23" s="1"/>
  <c r="E126" i="23" s="1"/>
  <c r="D125" i="23" a="1"/>
  <c r="D125" i="23" s="1"/>
  <c r="E125" i="23" s="1"/>
  <c r="D124" i="23" a="1"/>
  <c r="D124" i="23" s="1"/>
  <c r="E124" i="23" s="1"/>
  <c r="D123" i="23" a="1"/>
  <c r="D123" i="23" s="1"/>
  <c r="E123" i="23" s="1"/>
  <c r="D122" i="23" a="1"/>
  <c r="D122" i="23" s="1"/>
  <c r="E122" i="23" s="1"/>
  <c r="D121" i="23" a="1"/>
  <c r="D121" i="23" s="1"/>
  <c r="E121" i="23" s="1"/>
  <c r="D120" i="23" a="1"/>
  <c r="D120" i="23" s="1"/>
  <c r="E120" i="23" s="1"/>
  <c r="D119" i="23" a="1"/>
  <c r="D119" i="23" s="1"/>
  <c r="E119" i="23" s="1"/>
  <c r="D118" i="23" a="1"/>
  <c r="D118" i="23" s="1"/>
  <c r="E118" i="23" s="1"/>
  <c r="D117" i="23" a="1"/>
  <c r="D117" i="23" s="1"/>
  <c r="E117" i="23" s="1"/>
  <c r="D116" i="23" a="1"/>
  <c r="D116" i="23" s="1"/>
  <c r="E116" i="23" s="1"/>
  <c r="D115" i="23" a="1"/>
  <c r="D115" i="23" s="1"/>
  <c r="E115" i="23" s="1"/>
  <c r="D114" i="23" a="1"/>
  <c r="D114" i="23" s="1"/>
  <c r="E114" i="23" s="1"/>
  <c r="D113" i="23" a="1"/>
  <c r="D113" i="23" s="1"/>
  <c r="E113" i="23" s="1"/>
  <c r="D112" i="23" a="1"/>
  <c r="D112" i="23" s="1"/>
  <c r="E112" i="23" s="1"/>
  <c r="D111" i="23" a="1"/>
  <c r="D111" i="23" s="1"/>
  <c r="E111" i="23" s="1"/>
  <c r="D110" i="23"/>
  <c r="E110" i="23" s="1"/>
  <c r="D110" i="23" a="1"/>
  <c r="D109" i="23" a="1"/>
  <c r="D109" i="23" s="1"/>
  <c r="E109" i="23" s="1"/>
  <c r="D108" i="23" a="1"/>
  <c r="D108" i="23" s="1"/>
  <c r="E108" i="23" s="1"/>
  <c r="D107" i="23" a="1"/>
  <c r="D107" i="23" s="1"/>
  <c r="E107" i="23" s="1"/>
  <c r="D106" i="23" a="1"/>
  <c r="D106" i="23" s="1"/>
  <c r="E106" i="23" s="1"/>
  <c r="D105" i="23" a="1"/>
  <c r="D105" i="23" s="1"/>
  <c r="E105" i="23" s="1"/>
  <c r="D104" i="23" a="1"/>
  <c r="D104" i="23" s="1"/>
  <c r="E104" i="23" s="1"/>
  <c r="D103" i="23"/>
  <c r="E103" i="23" s="1"/>
  <c r="D103" i="23" a="1"/>
  <c r="D102" i="23" a="1"/>
  <c r="D102" i="23" s="1"/>
  <c r="E102" i="23" s="1"/>
  <c r="D101" i="23" a="1"/>
  <c r="D101" i="23" s="1"/>
  <c r="E101" i="23" s="1"/>
  <c r="D100" i="23" a="1"/>
  <c r="D100" i="23" s="1"/>
  <c r="E100" i="23" s="1"/>
  <c r="D99" i="23" a="1"/>
  <c r="D99" i="23" s="1"/>
  <c r="E99" i="23" s="1"/>
  <c r="D98" i="23" a="1"/>
  <c r="D98" i="23" s="1"/>
  <c r="E98" i="23" s="1"/>
  <c r="D97" i="23" a="1"/>
  <c r="D97" i="23" s="1"/>
  <c r="E97" i="23" s="1"/>
  <c r="D96" i="23"/>
  <c r="E96" i="23" s="1"/>
  <c r="D96" i="23" a="1"/>
  <c r="D95" i="23" a="1"/>
  <c r="D95" i="23" s="1"/>
  <c r="E95" i="23" s="1"/>
  <c r="D94" i="23"/>
  <c r="E94" i="23" s="1"/>
  <c r="D94" i="23" a="1"/>
  <c r="D93" i="23" a="1"/>
  <c r="D93" i="23" s="1"/>
  <c r="E93" i="23" s="1"/>
  <c r="D92" i="23" a="1"/>
  <c r="D92" i="23" s="1"/>
  <c r="E92" i="23" s="1"/>
  <c r="D91" i="23" a="1"/>
  <c r="D91" i="23" s="1"/>
  <c r="E91" i="23" s="1"/>
  <c r="D90" i="23" a="1"/>
  <c r="D90" i="23" s="1"/>
  <c r="E90" i="23" s="1"/>
  <c r="D89" i="23" a="1"/>
  <c r="D89" i="23" s="1"/>
  <c r="E89" i="23" s="1"/>
  <c r="D88" i="23" a="1"/>
  <c r="D88" i="23" s="1"/>
  <c r="E88" i="23" s="1"/>
  <c r="D87" i="23" a="1"/>
  <c r="D87" i="23" s="1"/>
  <c r="E87" i="23" s="1"/>
  <c r="D86" i="23" a="1"/>
  <c r="D86" i="23" s="1"/>
  <c r="E86" i="23" s="1"/>
  <c r="D85" i="23" a="1"/>
  <c r="D85" i="23" s="1"/>
  <c r="E85" i="23" s="1"/>
  <c r="D84" i="23" a="1"/>
  <c r="D84" i="23" s="1"/>
  <c r="E84" i="23" s="1"/>
  <c r="D83" i="23" a="1"/>
  <c r="D83" i="23" s="1"/>
  <c r="E83" i="23" s="1"/>
  <c r="D82" i="23" a="1"/>
  <c r="D82" i="23" s="1"/>
  <c r="E82" i="23" s="1"/>
  <c r="D81" i="23" a="1"/>
  <c r="D81" i="23" s="1"/>
  <c r="E81" i="23" s="1"/>
  <c r="D80" i="23" a="1"/>
  <c r="D80" i="23" s="1"/>
  <c r="E80" i="23" s="1"/>
  <c r="D79" i="23" a="1"/>
  <c r="D79" i="23" s="1"/>
  <c r="E79" i="23" s="1"/>
  <c r="D78" i="23" a="1"/>
  <c r="D78" i="23" s="1"/>
  <c r="E78" i="23" s="1"/>
  <c r="D77" i="23" a="1"/>
  <c r="D77" i="23" s="1"/>
  <c r="E77" i="23" s="1"/>
  <c r="D76" i="23" a="1"/>
  <c r="D76" i="23" s="1"/>
  <c r="E76" i="23" s="1"/>
  <c r="D75" i="23" a="1"/>
  <c r="D75" i="23" s="1"/>
  <c r="E75" i="23" s="1"/>
  <c r="D74" i="23" a="1"/>
  <c r="D74" i="23" s="1"/>
  <c r="E74" i="23" s="1"/>
  <c r="D73" i="23" a="1"/>
  <c r="D73" i="23" s="1"/>
  <c r="E73" i="23" s="1"/>
  <c r="D72" i="23" a="1"/>
  <c r="D72" i="23" s="1"/>
  <c r="E72" i="23" s="1"/>
  <c r="D71" i="23"/>
  <c r="E71" i="23" s="1"/>
  <c r="D71" i="23" a="1"/>
  <c r="D70" i="23" a="1"/>
  <c r="D70" i="23" s="1"/>
  <c r="E70" i="23" s="1"/>
  <c r="D69" i="23" a="1"/>
  <c r="D69" i="23" s="1"/>
  <c r="E69" i="23" s="1"/>
  <c r="D68" i="23" a="1"/>
  <c r="D68" i="23" s="1"/>
  <c r="E68" i="23" s="1"/>
  <c r="D67" i="23"/>
  <c r="E67" i="23" s="1"/>
  <c r="D67" i="23" a="1"/>
  <c r="D66" i="23" a="1"/>
  <c r="D66" i="23" s="1"/>
  <c r="E66" i="23" s="1"/>
  <c r="D65" i="23" a="1"/>
  <c r="D65" i="23" s="1"/>
  <c r="E65" i="23" s="1"/>
  <c r="D64" i="23" a="1"/>
  <c r="D64" i="23" s="1"/>
  <c r="E64" i="23" s="1"/>
  <c r="D63" i="23" a="1"/>
  <c r="D63" i="23" s="1"/>
  <c r="E63" i="23" s="1"/>
  <c r="D62" i="23" a="1"/>
  <c r="D62" i="23" s="1"/>
  <c r="E62" i="23" s="1"/>
  <c r="D61" i="23" a="1"/>
  <c r="D61" i="23" s="1"/>
  <c r="E61" i="23" s="1"/>
  <c r="D60" i="23" a="1"/>
  <c r="D60" i="23" s="1"/>
  <c r="E60" i="23" s="1"/>
  <c r="D59" i="23" a="1"/>
  <c r="D59" i="23" s="1"/>
  <c r="E59" i="23" s="1"/>
  <c r="D58" i="23" a="1"/>
  <c r="D58" i="23" s="1"/>
  <c r="E58" i="23" s="1"/>
  <c r="D57" i="23" a="1"/>
  <c r="D57" i="23" s="1"/>
  <c r="E57" i="23" s="1"/>
  <c r="D56" i="23" a="1"/>
  <c r="D56" i="23" s="1"/>
  <c r="E56" i="23" s="1"/>
  <c r="D55" i="23" a="1"/>
  <c r="D55" i="23" s="1"/>
  <c r="E55" i="23" s="1"/>
  <c r="D54" i="23" a="1"/>
  <c r="D54" i="23" s="1"/>
  <c r="E54" i="23" s="1"/>
  <c r="D53" i="23" a="1"/>
  <c r="D53" i="23" s="1"/>
  <c r="E53" i="23" s="1"/>
  <c r="D52" i="23" a="1"/>
  <c r="D52" i="23" s="1"/>
  <c r="E52" i="23" s="1"/>
  <c r="D51" i="23" a="1"/>
  <c r="D51" i="23" s="1"/>
  <c r="E51" i="23" s="1"/>
  <c r="D50" i="23" a="1"/>
  <c r="D50" i="23" s="1"/>
  <c r="E50" i="23" s="1"/>
  <c r="D49" i="23" a="1"/>
  <c r="D49" i="23" s="1"/>
  <c r="E49" i="23" s="1"/>
  <c r="D48" i="23" a="1"/>
  <c r="D48" i="23" s="1"/>
  <c r="E48" i="23" s="1"/>
  <c r="D47" i="23" a="1"/>
  <c r="D47" i="23" s="1"/>
  <c r="E47" i="23" s="1"/>
  <c r="D46" i="23" a="1"/>
  <c r="D46" i="23" s="1"/>
  <c r="E46" i="23" s="1"/>
  <c r="D45" i="23" a="1"/>
  <c r="D45" i="23" s="1"/>
  <c r="E45" i="23" s="1"/>
  <c r="D44" i="23" a="1"/>
  <c r="D44" i="23" s="1"/>
  <c r="E44" i="23" s="1"/>
  <c r="D43" i="23" a="1"/>
  <c r="D43" i="23" s="1"/>
  <c r="E43" i="23" s="1"/>
  <c r="D42" i="23" a="1"/>
  <c r="D42" i="23" s="1"/>
  <c r="E42" i="23" s="1"/>
  <c r="D41" i="23" a="1"/>
  <c r="D41" i="23" s="1"/>
  <c r="E41" i="23" s="1"/>
  <c r="D40" i="23" a="1"/>
  <c r="D40" i="23" s="1"/>
  <c r="E40" i="23" s="1"/>
  <c r="D39" i="23" a="1"/>
  <c r="D39" i="23" s="1"/>
  <c r="E39" i="23" s="1"/>
  <c r="D38" i="23" a="1"/>
  <c r="D38" i="23" s="1"/>
  <c r="E38" i="23" s="1"/>
  <c r="D37" i="23" a="1"/>
  <c r="D37" i="23" s="1"/>
  <c r="E37" i="23" s="1"/>
  <c r="D36" i="23" a="1"/>
  <c r="D36" i="23" s="1"/>
  <c r="E36" i="23" s="1"/>
  <c r="D35" i="23"/>
  <c r="E35" i="23" s="1"/>
  <c r="D35" i="23" a="1"/>
  <c r="D34" i="23" a="1"/>
  <c r="D34" i="23" s="1"/>
  <c r="E34" i="23" s="1"/>
  <c r="D33" i="23" a="1"/>
  <c r="D33" i="23" s="1"/>
  <c r="E33" i="23" s="1"/>
  <c r="D32" i="23"/>
  <c r="E32" i="23" s="1"/>
  <c r="D32" i="23" a="1"/>
  <c r="D31" i="23" a="1"/>
  <c r="D31" i="23" s="1"/>
  <c r="E31" i="23" s="1"/>
  <c r="D30" i="23" a="1"/>
  <c r="D30" i="23" s="1"/>
  <c r="E30" i="23" s="1"/>
  <c r="D29" i="23" a="1"/>
  <c r="D29" i="23" s="1"/>
  <c r="E29" i="23" s="1"/>
  <c r="D28" i="23" a="1"/>
  <c r="D28" i="23" s="1"/>
  <c r="E28" i="23" s="1"/>
  <c r="D27" i="23" a="1"/>
  <c r="D27" i="23" s="1"/>
  <c r="E27" i="23" s="1"/>
  <c r="D26" i="23" a="1"/>
  <c r="D26" i="23" s="1"/>
  <c r="E26" i="23" s="1"/>
  <c r="D25" i="23" a="1"/>
  <c r="D25" i="23" s="1"/>
  <c r="E25" i="23" s="1"/>
  <c r="D24" i="23" a="1"/>
  <c r="D24" i="23" s="1"/>
  <c r="E24" i="23" s="1"/>
  <c r="D23" i="23" a="1"/>
  <c r="D23" i="23" s="1"/>
  <c r="E23" i="23" s="1"/>
  <c r="D22" i="23" a="1"/>
  <c r="D22" i="23" s="1"/>
  <c r="E22" i="23" s="1"/>
  <c r="D21" i="23" a="1"/>
  <c r="D21" i="23" s="1"/>
  <c r="E21" i="23" s="1"/>
  <c r="D20" i="23" a="1"/>
  <c r="D20" i="23" s="1"/>
  <c r="E20" i="23" s="1"/>
  <c r="D19" i="23" a="1"/>
  <c r="D19" i="23" s="1"/>
  <c r="E19" i="23" s="1"/>
  <c r="D18" i="23" a="1"/>
  <c r="D18" i="23" s="1"/>
  <c r="E18" i="23" s="1"/>
  <c r="D17" i="23" a="1"/>
  <c r="D17" i="23" s="1"/>
  <c r="E17" i="23" s="1"/>
  <c r="D16" i="23" a="1"/>
  <c r="D16" i="23" s="1"/>
  <c r="E16" i="23" s="1"/>
  <c r="D15" i="23" a="1"/>
  <c r="D15" i="23" s="1"/>
  <c r="E15" i="23" s="1"/>
  <c r="D14" i="23" a="1"/>
  <c r="D14" i="23" s="1"/>
  <c r="E14" i="23" s="1"/>
  <c r="D13" i="23" a="1"/>
  <c r="D13" i="23" s="1"/>
  <c r="E13" i="23" s="1"/>
  <c r="D12" i="23" a="1"/>
  <c r="D12" i="23" s="1"/>
  <c r="E12" i="23" s="1"/>
  <c r="D11" i="23" a="1"/>
  <c r="D11" i="23" s="1"/>
  <c r="E11" i="23" s="1"/>
  <c r="D10" i="23" a="1"/>
  <c r="D10" i="23" s="1"/>
  <c r="E10" i="23" s="1"/>
  <c r="D9" i="23" a="1"/>
  <c r="D9" i="23" s="1"/>
  <c r="E9" i="23" s="1"/>
  <c r="D8" i="23" a="1"/>
  <c r="D8" i="23" s="1"/>
  <c r="E8" i="23" s="1"/>
  <c r="D7" i="23"/>
  <c r="E7" i="23" s="1"/>
  <c r="D7" i="23" a="1"/>
  <c r="D6" i="23" a="1"/>
  <c r="D6" i="23" s="1"/>
  <c r="E6" i="23" s="1"/>
  <c r="D5" i="23" a="1"/>
  <c r="D5" i="23" s="1"/>
  <c r="E5" i="23" s="1"/>
  <c r="D4" i="23" a="1"/>
  <c r="D4" i="23" s="1"/>
  <c r="E4" i="23" s="1"/>
  <c r="D3" i="23" a="1"/>
  <c r="D3" i="23" s="1"/>
  <c r="E3" i="23" s="1"/>
  <c r="D2" i="23" a="1"/>
  <c r="D2" i="23" s="1"/>
  <c r="E2" i="23" s="1"/>
  <c r="D6" i="20" a="1"/>
  <c r="D6" i="20" s="1"/>
  <c r="E6" i="20" s="1"/>
  <c r="D7" i="20" a="1"/>
  <c r="D7" i="20" s="1"/>
  <c r="E7" i="20" s="1"/>
  <c r="D12" i="20" a="1"/>
  <c r="D12" i="20"/>
  <c r="E12" i="20" s="1"/>
  <c r="D22" i="20" a="1"/>
  <c r="D22" i="20" s="1"/>
  <c r="E22" i="20" s="1"/>
  <c r="D23" i="20" a="1"/>
  <c r="D23" i="20" s="1"/>
  <c r="E23" i="20" s="1"/>
  <c r="D28" i="20" a="1"/>
  <c r="D28" i="20"/>
  <c r="E28" i="20" s="1"/>
  <c r="D38" i="20" a="1"/>
  <c r="D38" i="20" s="1"/>
  <c r="E38" i="20" s="1"/>
  <c r="D39" i="20" a="1"/>
  <c r="D39" i="20" s="1"/>
  <c r="E39" i="20" s="1"/>
  <c r="D44" i="20" a="1"/>
  <c r="D44" i="20"/>
  <c r="E44" i="20" s="1"/>
  <c r="D54" i="20" a="1"/>
  <c r="D54" i="20" s="1"/>
  <c r="E54" i="20" s="1"/>
  <c r="D55" i="20" a="1"/>
  <c r="D55" i="20" s="1"/>
  <c r="E55" i="20" s="1"/>
  <c r="D60" i="20" a="1"/>
  <c r="D60" i="20"/>
  <c r="E60" i="20" s="1"/>
  <c r="D70" i="20" a="1"/>
  <c r="D70" i="20" s="1"/>
  <c r="E70" i="20" s="1"/>
  <c r="D71" i="20" a="1"/>
  <c r="D71" i="20" s="1"/>
  <c r="E71" i="20" s="1"/>
  <c r="D76" i="20" a="1"/>
  <c r="D76" i="20"/>
  <c r="E76" i="20" s="1"/>
  <c r="D86" i="20" a="1"/>
  <c r="D86" i="20" s="1"/>
  <c r="E86" i="20" s="1"/>
  <c r="D87" i="20" a="1"/>
  <c r="D87" i="20" s="1"/>
  <c r="E87" i="20" s="1"/>
  <c r="D92" i="20" a="1"/>
  <c r="D92" i="20"/>
  <c r="E92" i="20" s="1"/>
  <c r="D102" i="20" a="1"/>
  <c r="D102" i="20" s="1"/>
  <c r="E102" i="20" s="1"/>
  <c r="D103" i="20" a="1"/>
  <c r="D103" i="20" s="1"/>
  <c r="E103" i="20" s="1"/>
  <c r="D108" i="20" a="1"/>
  <c r="D108" i="20"/>
  <c r="E108" i="20" s="1"/>
  <c r="D118" i="20" a="1"/>
  <c r="D118" i="20" s="1"/>
  <c r="E118" i="20" s="1"/>
  <c r="D119" i="20" a="1"/>
  <c r="D119" i="20" s="1"/>
  <c r="E119" i="20" s="1"/>
  <c r="D124" i="20" a="1"/>
  <c r="D124" i="20"/>
  <c r="E124" i="20" s="1"/>
  <c r="I3" i="20" a="1"/>
  <c r="I3" i="20" s="1"/>
  <c r="I4" i="20" a="1"/>
  <c r="I4" i="20" s="1"/>
  <c r="I5" i="20" a="1"/>
  <c r="I5" i="20" s="1"/>
  <c r="I6" i="20" a="1"/>
  <c r="I6" i="20" s="1"/>
  <c r="I7" i="20" a="1"/>
  <c r="I7" i="20" s="1"/>
  <c r="I8" i="20" a="1"/>
  <c r="I8" i="20" s="1"/>
  <c r="I9" i="20" a="1"/>
  <c r="I9" i="20" s="1"/>
  <c r="I10" i="20" a="1"/>
  <c r="I10" i="20" s="1"/>
  <c r="I11" i="20" a="1"/>
  <c r="I11" i="20" s="1"/>
  <c r="I12" i="20" a="1"/>
  <c r="I12" i="20" s="1"/>
  <c r="I13" i="20" a="1"/>
  <c r="I13" i="20" s="1"/>
  <c r="I14" i="20" a="1"/>
  <c r="I14" i="20" s="1"/>
  <c r="I15" i="20" a="1"/>
  <c r="I15" i="20" s="1"/>
  <c r="I16" i="20" a="1"/>
  <c r="I16" i="20" s="1"/>
  <c r="I17" i="20" a="1"/>
  <c r="I17" i="20" s="1"/>
  <c r="I2" i="20" s="1"/>
  <c r="I18" i="20" a="1"/>
  <c r="I18" i="20" s="1"/>
  <c r="I19" i="20" a="1"/>
  <c r="I19" i="20" s="1"/>
  <c r="I20" i="20" a="1"/>
  <c r="I20" i="20" s="1"/>
  <c r="I21" i="20" a="1"/>
  <c r="I21" i="20" s="1"/>
  <c r="I22" i="20" a="1"/>
  <c r="I22" i="20" s="1"/>
  <c r="I23" i="20" a="1"/>
  <c r="I23" i="20" s="1"/>
  <c r="I24" i="20" a="1"/>
  <c r="I24" i="20" s="1"/>
  <c r="I25" i="20" a="1"/>
  <c r="I25" i="20" s="1"/>
  <c r="I26" i="20" a="1"/>
  <c r="I26" i="20" s="1"/>
  <c r="I27" i="20" a="1"/>
  <c r="I27" i="20" s="1"/>
  <c r="I28" i="20" a="1"/>
  <c r="I28" i="20" s="1"/>
  <c r="I29" i="20" a="1"/>
  <c r="I29" i="20" s="1"/>
  <c r="I30" i="20" a="1"/>
  <c r="I30" i="20" s="1"/>
  <c r="I31" i="20" a="1"/>
  <c r="I31" i="20" s="1"/>
  <c r="I32" i="20" a="1"/>
  <c r="I32" i="20" s="1"/>
  <c r="I33" i="20" a="1"/>
  <c r="I33" i="20" s="1"/>
  <c r="H2" i="20"/>
  <c r="F2" i="16"/>
  <c r="H3" i="20"/>
  <c r="D34" i="20" s="1" a="1"/>
  <c r="D34" i="20" s="1"/>
  <c r="E34" i="20" s="1"/>
  <c r="H4" i="20"/>
  <c r="D66" i="20" s="1" a="1"/>
  <c r="D66" i="20" s="1"/>
  <c r="E66" i="20" s="1"/>
  <c r="H5" i="20"/>
  <c r="D82" i="20" s="1" a="1"/>
  <c r="D82" i="20" s="1"/>
  <c r="E82" i="20" s="1"/>
  <c r="H6" i="20"/>
  <c r="D98" i="20" s="1" a="1"/>
  <c r="D98" i="20" s="1"/>
  <c r="E98" i="20" s="1"/>
  <c r="H7" i="20"/>
  <c r="D114" i="20" s="1" a="1"/>
  <c r="D114" i="20" s="1"/>
  <c r="E114" i="20" s="1"/>
  <c r="H8" i="20"/>
  <c r="D134" i="20" s="1" a="1"/>
  <c r="D134" i="20" s="1"/>
  <c r="E134" i="20" s="1"/>
  <c r="H9" i="20"/>
  <c r="D163" i="20" s="1" a="1"/>
  <c r="D163" i="20" s="1"/>
  <c r="E163" i="20" s="1"/>
  <c r="H10" i="20"/>
  <c r="H11" i="20"/>
  <c r="H12" i="20"/>
  <c r="D223" i="20" s="1" a="1"/>
  <c r="D223" i="20" s="1"/>
  <c r="E223" i="20" s="1"/>
  <c r="H13" i="20"/>
  <c r="D238" i="20" s="1" a="1"/>
  <c r="D238" i="20" s="1"/>
  <c r="E238" i="20" s="1"/>
  <c r="H14" i="20"/>
  <c r="D327" i="20" s="1" a="1"/>
  <c r="D327" i="20" s="1"/>
  <c r="E327" i="20" s="1"/>
  <c r="H15" i="20"/>
  <c r="D357" i="20" s="1" a="1"/>
  <c r="D357" i="20" s="1"/>
  <c r="E357" i="20" s="1"/>
  <c r="H16" i="20"/>
  <c r="D372" i="20" s="1" a="1"/>
  <c r="D372" i="20" s="1"/>
  <c r="E372" i="20" s="1"/>
  <c r="H17" i="20"/>
  <c r="D388" i="20" s="1" a="1"/>
  <c r="D388" i="20" s="1"/>
  <c r="E388" i="20" s="1"/>
  <c r="H18" i="20"/>
  <c r="D432" i="20" s="1" a="1"/>
  <c r="D432" i="20" s="1"/>
  <c r="E432" i="20" s="1"/>
  <c r="H19" i="20"/>
  <c r="D447" i="20" s="1" a="1"/>
  <c r="D447" i="20" s="1"/>
  <c r="E447" i="20" s="1"/>
  <c r="H20" i="20"/>
  <c r="D477" i="20" s="1" a="1"/>
  <c r="D477" i="20" s="1"/>
  <c r="E477" i="20" s="1"/>
  <c r="H21" i="20"/>
  <c r="D507" i="20" s="1" a="1"/>
  <c r="D507" i="20" s="1"/>
  <c r="E507" i="20" s="1"/>
  <c r="H22" i="20"/>
  <c r="D581" i="20" s="1" a="1"/>
  <c r="D581" i="20" s="1"/>
  <c r="E581" i="20" s="1"/>
  <c r="H23" i="20"/>
  <c r="D642" i="20" s="1" a="1"/>
  <c r="D642" i="20" s="1"/>
  <c r="E642" i="20" s="1"/>
  <c r="H24" i="20"/>
  <c r="D723" i="20" s="1" a="1"/>
  <c r="D723" i="20" s="1"/>
  <c r="E723" i="20" s="1"/>
  <c r="H25" i="20"/>
  <c r="D748" i="20" s="1" a="1"/>
  <c r="D748" i="20" s="1"/>
  <c r="E748" i="20" s="1"/>
  <c r="H26" i="20"/>
  <c r="H27" i="20"/>
  <c r="D863" i="20" s="1" a="1"/>
  <c r="D863" i="20" s="1"/>
  <c r="E863" i="20" s="1"/>
  <c r="H28" i="20"/>
  <c r="D902" i="20" s="1" a="1"/>
  <c r="D902" i="20" s="1"/>
  <c r="E902" i="20" s="1"/>
  <c r="H29" i="20"/>
  <c r="D940" i="20" s="1" a="1"/>
  <c r="D940" i="20" s="1"/>
  <c r="E940" i="20" s="1"/>
  <c r="H30" i="20"/>
  <c r="D997" i="20" s="1" a="1"/>
  <c r="D997" i="20" s="1"/>
  <c r="E997" i="20" s="1"/>
  <c r="H31" i="20"/>
  <c r="H32" i="20"/>
  <c r="H33" i="20"/>
  <c r="E5" i="19"/>
  <c r="F17" i="19"/>
  <c r="F33" i="19"/>
  <c r="F49" i="19"/>
  <c r="F65" i="19"/>
  <c r="F81" i="19"/>
  <c r="F97" i="19"/>
  <c r="F113" i="19"/>
  <c r="F129" i="19"/>
  <c r="F145" i="19"/>
  <c r="F161" i="19"/>
  <c r="F177" i="19"/>
  <c r="F193" i="19"/>
  <c r="F209" i="19"/>
  <c r="F225" i="19"/>
  <c r="F241" i="19"/>
  <c r="F257" i="19"/>
  <c r="F273" i="19"/>
  <c r="F289" i="19"/>
  <c r="F305" i="19"/>
  <c r="F321" i="19"/>
  <c r="F337" i="19"/>
  <c r="F353" i="19"/>
  <c r="F369" i="19"/>
  <c r="F385" i="19"/>
  <c r="F401" i="19"/>
  <c r="F417" i="19"/>
  <c r="F433" i="19"/>
  <c r="F449" i="19"/>
  <c r="F465" i="19"/>
  <c r="F481" i="19"/>
  <c r="F497" i="19"/>
  <c r="F513" i="19"/>
  <c r="F529" i="19"/>
  <c r="F545" i="19"/>
  <c r="F561" i="19"/>
  <c r="F577" i="19"/>
  <c r="F593" i="19"/>
  <c r="F609" i="19"/>
  <c r="F625" i="19"/>
  <c r="F641" i="19"/>
  <c r="F657" i="19"/>
  <c r="F673" i="19"/>
  <c r="F689" i="19"/>
  <c r="F705" i="19"/>
  <c r="F721" i="19"/>
  <c r="F737" i="19"/>
  <c r="F753" i="19"/>
  <c r="F769" i="19"/>
  <c r="F785" i="19"/>
  <c r="F801" i="19"/>
  <c r="F817" i="19"/>
  <c r="F833" i="19"/>
  <c r="F849" i="19"/>
  <c r="F865" i="19"/>
  <c r="F881" i="19"/>
  <c r="F897" i="19"/>
  <c r="F913" i="19"/>
  <c r="F929" i="19"/>
  <c r="F945" i="19"/>
  <c r="F961" i="19"/>
  <c r="F977" i="19"/>
  <c r="F993" i="19"/>
  <c r="D1001" i="19"/>
  <c r="E1001" i="19" s="1"/>
  <c r="G1001" i="19" s="1"/>
  <c r="F1001" i="19" s="1"/>
  <c r="D1000" i="19"/>
  <c r="E1000" i="19" s="1"/>
  <c r="G1000" i="19" s="1"/>
  <c r="F1000" i="19" s="1"/>
  <c r="D999" i="19"/>
  <c r="E999" i="19" s="1"/>
  <c r="G999" i="19" s="1"/>
  <c r="F999" i="19" s="1"/>
  <c r="D998" i="19"/>
  <c r="E998" i="19" s="1"/>
  <c r="G998" i="19" s="1"/>
  <c r="F998" i="19" s="1"/>
  <c r="D997" i="19"/>
  <c r="E997" i="19" s="1"/>
  <c r="G997" i="19" s="1"/>
  <c r="F997" i="19" s="1"/>
  <c r="D996" i="19"/>
  <c r="E996" i="19" s="1"/>
  <c r="G996" i="19" s="1"/>
  <c r="F996" i="19" s="1"/>
  <c r="D995" i="19"/>
  <c r="E995" i="19" s="1"/>
  <c r="G995" i="19" s="1"/>
  <c r="F995" i="19" s="1"/>
  <c r="D994" i="19"/>
  <c r="E994" i="19" s="1"/>
  <c r="G994" i="19" s="1"/>
  <c r="F994" i="19" s="1"/>
  <c r="D993" i="19"/>
  <c r="E993" i="19" s="1"/>
  <c r="G993" i="19" s="1"/>
  <c r="D992" i="19"/>
  <c r="E992" i="19" s="1"/>
  <c r="G992" i="19" s="1"/>
  <c r="F992" i="19" s="1"/>
  <c r="D991" i="19"/>
  <c r="E991" i="19" s="1"/>
  <c r="G991" i="19" s="1"/>
  <c r="F991" i="19" s="1"/>
  <c r="D990" i="19"/>
  <c r="E990" i="19" s="1"/>
  <c r="G990" i="19" s="1"/>
  <c r="F990" i="19" s="1"/>
  <c r="D989" i="19"/>
  <c r="E989" i="19" s="1"/>
  <c r="G989" i="19" s="1"/>
  <c r="F989" i="19" s="1"/>
  <c r="D988" i="19"/>
  <c r="E988" i="19" s="1"/>
  <c r="G988" i="19" s="1"/>
  <c r="F988" i="19" s="1"/>
  <c r="D987" i="19"/>
  <c r="E987" i="19" s="1"/>
  <c r="G987" i="19" s="1"/>
  <c r="F987" i="19" s="1"/>
  <c r="D986" i="19"/>
  <c r="E986" i="19" s="1"/>
  <c r="G986" i="19" s="1"/>
  <c r="F986" i="19" s="1"/>
  <c r="D985" i="19"/>
  <c r="E985" i="19" s="1"/>
  <c r="G985" i="19" s="1"/>
  <c r="F985" i="19" s="1"/>
  <c r="D984" i="19"/>
  <c r="E984" i="19" s="1"/>
  <c r="G984" i="19" s="1"/>
  <c r="F984" i="19" s="1"/>
  <c r="D983" i="19"/>
  <c r="E983" i="19" s="1"/>
  <c r="G983" i="19" s="1"/>
  <c r="F983" i="19" s="1"/>
  <c r="D982" i="19"/>
  <c r="E982" i="19" s="1"/>
  <c r="G982" i="19" s="1"/>
  <c r="F982" i="19" s="1"/>
  <c r="D981" i="19"/>
  <c r="E981" i="19" s="1"/>
  <c r="G981" i="19" s="1"/>
  <c r="F981" i="19" s="1"/>
  <c r="D980" i="19"/>
  <c r="E980" i="19" s="1"/>
  <c r="G980" i="19" s="1"/>
  <c r="F980" i="19" s="1"/>
  <c r="D979" i="19"/>
  <c r="E979" i="19" s="1"/>
  <c r="G979" i="19" s="1"/>
  <c r="F979" i="19" s="1"/>
  <c r="D978" i="19"/>
  <c r="E978" i="19" s="1"/>
  <c r="G978" i="19" s="1"/>
  <c r="F978" i="19" s="1"/>
  <c r="D977" i="19"/>
  <c r="E977" i="19" s="1"/>
  <c r="G977" i="19" s="1"/>
  <c r="D976" i="19"/>
  <c r="E976" i="19" s="1"/>
  <c r="G976" i="19" s="1"/>
  <c r="F976" i="19" s="1"/>
  <c r="D975" i="19"/>
  <c r="E975" i="19" s="1"/>
  <c r="G975" i="19" s="1"/>
  <c r="F975" i="19" s="1"/>
  <c r="D974" i="19"/>
  <c r="E974" i="19" s="1"/>
  <c r="G974" i="19" s="1"/>
  <c r="F974" i="19" s="1"/>
  <c r="D973" i="19"/>
  <c r="E973" i="19" s="1"/>
  <c r="G973" i="19" s="1"/>
  <c r="F973" i="19" s="1"/>
  <c r="D972" i="19"/>
  <c r="E972" i="19" s="1"/>
  <c r="G972" i="19" s="1"/>
  <c r="F972" i="19" s="1"/>
  <c r="D971" i="19"/>
  <c r="E971" i="19" s="1"/>
  <c r="G971" i="19" s="1"/>
  <c r="F971" i="19" s="1"/>
  <c r="D970" i="19"/>
  <c r="E970" i="19" s="1"/>
  <c r="G970" i="19" s="1"/>
  <c r="F970" i="19" s="1"/>
  <c r="D969" i="19"/>
  <c r="E969" i="19" s="1"/>
  <c r="G969" i="19" s="1"/>
  <c r="F969" i="19" s="1"/>
  <c r="D968" i="19"/>
  <c r="E968" i="19" s="1"/>
  <c r="G968" i="19" s="1"/>
  <c r="F968" i="19" s="1"/>
  <c r="D967" i="19"/>
  <c r="E967" i="19" s="1"/>
  <c r="G967" i="19" s="1"/>
  <c r="F967" i="19" s="1"/>
  <c r="D966" i="19"/>
  <c r="E966" i="19" s="1"/>
  <c r="G966" i="19" s="1"/>
  <c r="F966" i="19" s="1"/>
  <c r="D965" i="19"/>
  <c r="E965" i="19" s="1"/>
  <c r="G965" i="19" s="1"/>
  <c r="F965" i="19" s="1"/>
  <c r="D964" i="19"/>
  <c r="E964" i="19" s="1"/>
  <c r="G964" i="19" s="1"/>
  <c r="F964" i="19" s="1"/>
  <c r="D963" i="19"/>
  <c r="E963" i="19" s="1"/>
  <c r="G963" i="19" s="1"/>
  <c r="F963" i="19" s="1"/>
  <c r="D962" i="19"/>
  <c r="E962" i="19" s="1"/>
  <c r="G962" i="19" s="1"/>
  <c r="F962" i="19" s="1"/>
  <c r="D961" i="19"/>
  <c r="E961" i="19" s="1"/>
  <c r="G961" i="19" s="1"/>
  <c r="D960" i="19"/>
  <c r="E960" i="19" s="1"/>
  <c r="G960" i="19" s="1"/>
  <c r="F960" i="19" s="1"/>
  <c r="D959" i="19"/>
  <c r="E959" i="19" s="1"/>
  <c r="G959" i="19" s="1"/>
  <c r="F959" i="19" s="1"/>
  <c r="D958" i="19"/>
  <c r="E958" i="19" s="1"/>
  <c r="G958" i="19" s="1"/>
  <c r="F958" i="19" s="1"/>
  <c r="D957" i="19"/>
  <c r="E957" i="19" s="1"/>
  <c r="G957" i="19" s="1"/>
  <c r="F957" i="19" s="1"/>
  <c r="D956" i="19"/>
  <c r="E956" i="19" s="1"/>
  <c r="G956" i="19" s="1"/>
  <c r="F956" i="19" s="1"/>
  <c r="D955" i="19"/>
  <c r="E955" i="19" s="1"/>
  <c r="G955" i="19" s="1"/>
  <c r="F955" i="19" s="1"/>
  <c r="D954" i="19"/>
  <c r="E954" i="19" s="1"/>
  <c r="G954" i="19" s="1"/>
  <c r="F954" i="19" s="1"/>
  <c r="D953" i="19"/>
  <c r="E953" i="19" s="1"/>
  <c r="G953" i="19" s="1"/>
  <c r="F953" i="19" s="1"/>
  <c r="D952" i="19"/>
  <c r="E952" i="19" s="1"/>
  <c r="G952" i="19" s="1"/>
  <c r="F952" i="19" s="1"/>
  <c r="D951" i="19"/>
  <c r="E951" i="19" s="1"/>
  <c r="G951" i="19" s="1"/>
  <c r="F951" i="19" s="1"/>
  <c r="D950" i="19"/>
  <c r="E950" i="19" s="1"/>
  <c r="G950" i="19" s="1"/>
  <c r="F950" i="19" s="1"/>
  <c r="D949" i="19"/>
  <c r="E949" i="19" s="1"/>
  <c r="G949" i="19" s="1"/>
  <c r="F949" i="19" s="1"/>
  <c r="D948" i="19"/>
  <c r="E948" i="19" s="1"/>
  <c r="G948" i="19" s="1"/>
  <c r="F948" i="19" s="1"/>
  <c r="D947" i="19"/>
  <c r="E947" i="19" s="1"/>
  <c r="G947" i="19" s="1"/>
  <c r="F947" i="19" s="1"/>
  <c r="D946" i="19"/>
  <c r="E946" i="19" s="1"/>
  <c r="G946" i="19" s="1"/>
  <c r="F946" i="19" s="1"/>
  <c r="D945" i="19"/>
  <c r="E945" i="19" s="1"/>
  <c r="G945" i="19" s="1"/>
  <c r="D944" i="19"/>
  <c r="E944" i="19" s="1"/>
  <c r="G944" i="19" s="1"/>
  <c r="F944" i="19" s="1"/>
  <c r="D943" i="19"/>
  <c r="E943" i="19" s="1"/>
  <c r="G943" i="19" s="1"/>
  <c r="F943" i="19" s="1"/>
  <c r="D942" i="19"/>
  <c r="E942" i="19" s="1"/>
  <c r="G942" i="19" s="1"/>
  <c r="F942" i="19" s="1"/>
  <c r="D941" i="19"/>
  <c r="E941" i="19" s="1"/>
  <c r="G941" i="19" s="1"/>
  <c r="F941" i="19" s="1"/>
  <c r="D940" i="19"/>
  <c r="E940" i="19" s="1"/>
  <c r="G940" i="19" s="1"/>
  <c r="F940" i="19" s="1"/>
  <c r="D939" i="19"/>
  <c r="E939" i="19" s="1"/>
  <c r="G939" i="19" s="1"/>
  <c r="F939" i="19" s="1"/>
  <c r="D938" i="19"/>
  <c r="E938" i="19" s="1"/>
  <c r="G938" i="19" s="1"/>
  <c r="F938" i="19" s="1"/>
  <c r="D937" i="19"/>
  <c r="E937" i="19" s="1"/>
  <c r="G937" i="19" s="1"/>
  <c r="F937" i="19" s="1"/>
  <c r="D936" i="19"/>
  <c r="E936" i="19" s="1"/>
  <c r="G936" i="19" s="1"/>
  <c r="F936" i="19" s="1"/>
  <c r="D935" i="19"/>
  <c r="E935" i="19" s="1"/>
  <c r="G935" i="19" s="1"/>
  <c r="F935" i="19" s="1"/>
  <c r="D934" i="19"/>
  <c r="E934" i="19" s="1"/>
  <c r="G934" i="19" s="1"/>
  <c r="F934" i="19" s="1"/>
  <c r="D933" i="19"/>
  <c r="E933" i="19" s="1"/>
  <c r="G933" i="19" s="1"/>
  <c r="F933" i="19" s="1"/>
  <c r="D932" i="19"/>
  <c r="E932" i="19" s="1"/>
  <c r="G932" i="19" s="1"/>
  <c r="F932" i="19" s="1"/>
  <c r="D931" i="19"/>
  <c r="E931" i="19" s="1"/>
  <c r="G931" i="19" s="1"/>
  <c r="F931" i="19" s="1"/>
  <c r="D930" i="19"/>
  <c r="E930" i="19" s="1"/>
  <c r="G930" i="19" s="1"/>
  <c r="F930" i="19" s="1"/>
  <c r="D929" i="19"/>
  <c r="E929" i="19" s="1"/>
  <c r="G929" i="19" s="1"/>
  <c r="D928" i="19"/>
  <c r="E928" i="19" s="1"/>
  <c r="G928" i="19" s="1"/>
  <c r="F928" i="19" s="1"/>
  <c r="D927" i="19"/>
  <c r="E927" i="19" s="1"/>
  <c r="G927" i="19" s="1"/>
  <c r="F927" i="19" s="1"/>
  <c r="D926" i="19"/>
  <c r="E926" i="19" s="1"/>
  <c r="G926" i="19" s="1"/>
  <c r="F926" i="19" s="1"/>
  <c r="D925" i="19"/>
  <c r="E925" i="19" s="1"/>
  <c r="G925" i="19" s="1"/>
  <c r="F925" i="19" s="1"/>
  <c r="D924" i="19"/>
  <c r="E924" i="19" s="1"/>
  <c r="G924" i="19" s="1"/>
  <c r="F924" i="19" s="1"/>
  <c r="D923" i="19"/>
  <c r="E923" i="19" s="1"/>
  <c r="G923" i="19" s="1"/>
  <c r="F923" i="19" s="1"/>
  <c r="D922" i="19"/>
  <c r="E922" i="19" s="1"/>
  <c r="G922" i="19" s="1"/>
  <c r="F922" i="19" s="1"/>
  <c r="D921" i="19"/>
  <c r="E921" i="19" s="1"/>
  <c r="G921" i="19" s="1"/>
  <c r="F921" i="19" s="1"/>
  <c r="D920" i="19"/>
  <c r="E920" i="19" s="1"/>
  <c r="G920" i="19" s="1"/>
  <c r="F920" i="19" s="1"/>
  <c r="D919" i="19"/>
  <c r="E919" i="19" s="1"/>
  <c r="G919" i="19" s="1"/>
  <c r="F919" i="19" s="1"/>
  <c r="D918" i="19"/>
  <c r="E918" i="19" s="1"/>
  <c r="G918" i="19" s="1"/>
  <c r="F918" i="19" s="1"/>
  <c r="D917" i="19"/>
  <c r="E917" i="19" s="1"/>
  <c r="G917" i="19" s="1"/>
  <c r="F917" i="19" s="1"/>
  <c r="D916" i="19"/>
  <c r="E916" i="19" s="1"/>
  <c r="G916" i="19" s="1"/>
  <c r="F916" i="19" s="1"/>
  <c r="D915" i="19"/>
  <c r="E915" i="19" s="1"/>
  <c r="G915" i="19" s="1"/>
  <c r="F915" i="19" s="1"/>
  <c r="D914" i="19"/>
  <c r="E914" i="19" s="1"/>
  <c r="G914" i="19" s="1"/>
  <c r="F914" i="19" s="1"/>
  <c r="D913" i="19"/>
  <c r="E913" i="19" s="1"/>
  <c r="G913" i="19" s="1"/>
  <c r="D912" i="19"/>
  <c r="E912" i="19" s="1"/>
  <c r="G912" i="19" s="1"/>
  <c r="F912" i="19" s="1"/>
  <c r="D911" i="19"/>
  <c r="E911" i="19" s="1"/>
  <c r="G911" i="19" s="1"/>
  <c r="F911" i="19" s="1"/>
  <c r="D910" i="19"/>
  <c r="E910" i="19" s="1"/>
  <c r="G910" i="19" s="1"/>
  <c r="F910" i="19" s="1"/>
  <c r="D909" i="19"/>
  <c r="E909" i="19" s="1"/>
  <c r="G909" i="19" s="1"/>
  <c r="F909" i="19" s="1"/>
  <c r="D908" i="19"/>
  <c r="E908" i="19" s="1"/>
  <c r="G908" i="19" s="1"/>
  <c r="F908" i="19" s="1"/>
  <c r="D907" i="19"/>
  <c r="E907" i="19" s="1"/>
  <c r="G907" i="19" s="1"/>
  <c r="F907" i="19" s="1"/>
  <c r="D906" i="19"/>
  <c r="E906" i="19" s="1"/>
  <c r="G906" i="19" s="1"/>
  <c r="F906" i="19" s="1"/>
  <c r="D905" i="19"/>
  <c r="E905" i="19" s="1"/>
  <c r="G905" i="19" s="1"/>
  <c r="F905" i="19" s="1"/>
  <c r="D904" i="19"/>
  <c r="E904" i="19" s="1"/>
  <c r="G904" i="19" s="1"/>
  <c r="F904" i="19" s="1"/>
  <c r="D903" i="19"/>
  <c r="E903" i="19" s="1"/>
  <c r="G903" i="19" s="1"/>
  <c r="F903" i="19" s="1"/>
  <c r="D902" i="19"/>
  <c r="E902" i="19" s="1"/>
  <c r="G902" i="19" s="1"/>
  <c r="F902" i="19" s="1"/>
  <c r="D901" i="19"/>
  <c r="E901" i="19" s="1"/>
  <c r="G901" i="19" s="1"/>
  <c r="F901" i="19" s="1"/>
  <c r="D900" i="19"/>
  <c r="E900" i="19" s="1"/>
  <c r="G900" i="19" s="1"/>
  <c r="F900" i="19" s="1"/>
  <c r="D899" i="19"/>
  <c r="E899" i="19" s="1"/>
  <c r="G899" i="19" s="1"/>
  <c r="F899" i="19" s="1"/>
  <c r="D898" i="19"/>
  <c r="E898" i="19" s="1"/>
  <c r="G898" i="19" s="1"/>
  <c r="F898" i="19" s="1"/>
  <c r="D897" i="19"/>
  <c r="E897" i="19" s="1"/>
  <c r="G897" i="19" s="1"/>
  <c r="D896" i="19"/>
  <c r="E896" i="19" s="1"/>
  <c r="G896" i="19" s="1"/>
  <c r="F896" i="19" s="1"/>
  <c r="D895" i="19"/>
  <c r="E895" i="19" s="1"/>
  <c r="G895" i="19" s="1"/>
  <c r="F895" i="19" s="1"/>
  <c r="D894" i="19"/>
  <c r="E894" i="19" s="1"/>
  <c r="G894" i="19" s="1"/>
  <c r="F894" i="19" s="1"/>
  <c r="D893" i="19"/>
  <c r="E893" i="19" s="1"/>
  <c r="G893" i="19" s="1"/>
  <c r="F893" i="19" s="1"/>
  <c r="D892" i="19"/>
  <c r="E892" i="19" s="1"/>
  <c r="G892" i="19" s="1"/>
  <c r="F892" i="19" s="1"/>
  <c r="D891" i="19"/>
  <c r="E891" i="19" s="1"/>
  <c r="G891" i="19" s="1"/>
  <c r="F891" i="19" s="1"/>
  <c r="D890" i="19"/>
  <c r="E890" i="19" s="1"/>
  <c r="G890" i="19" s="1"/>
  <c r="F890" i="19" s="1"/>
  <c r="D889" i="19"/>
  <c r="E889" i="19" s="1"/>
  <c r="G889" i="19" s="1"/>
  <c r="F889" i="19" s="1"/>
  <c r="D888" i="19"/>
  <c r="E888" i="19" s="1"/>
  <c r="G888" i="19" s="1"/>
  <c r="F888" i="19" s="1"/>
  <c r="D887" i="19"/>
  <c r="E887" i="19" s="1"/>
  <c r="G887" i="19" s="1"/>
  <c r="F887" i="19" s="1"/>
  <c r="D886" i="19"/>
  <c r="E886" i="19" s="1"/>
  <c r="G886" i="19" s="1"/>
  <c r="F886" i="19" s="1"/>
  <c r="D885" i="19"/>
  <c r="E885" i="19" s="1"/>
  <c r="G885" i="19" s="1"/>
  <c r="F885" i="19" s="1"/>
  <c r="D884" i="19"/>
  <c r="E884" i="19" s="1"/>
  <c r="G884" i="19" s="1"/>
  <c r="F884" i="19" s="1"/>
  <c r="D883" i="19"/>
  <c r="E883" i="19" s="1"/>
  <c r="G883" i="19" s="1"/>
  <c r="F883" i="19" s="1"/>
  <c r="D882" i="19"/>
  <c r="E882" i="19" s="1"/>
  <c r="G882" i="19" s="1"/>
  <c r="F882" i="19" s="1"/>
  <c r="D881" i="19"/>
  <c r="E881" i="19" s="1"/>
  <c r="G881" i="19" s="1"/>
  <c r="D880" i="19"/>
  <c r="E880" i="19" s="1"/>
  <c r="G880" i="19" s="1"/>
  <c r="F880" i="19" s="1"/>
  <c r="D879" i="19"/>
  <c r="E879" i="19" s="1"/>
  <c r="G879" i="19" s="1"/>
  <c r="F879" i="19" s="1"/>
  <c r="D878" i="19"/>
  <c r="E878" i="19" s="1"/>
  <c r="G878" i="19" s="1"/>
  <c r="F878" i="19" s="1"/>
  <c r="D877" i="19"/>
  <c r="E877" i="19" s="1"/>
  <c r="G877" i="19" s="1"/>
  <c r="F877" i="19" s="1"/>
  <c r="D876" i="19"/>
  <c r="E876" i="19" s="1"/>
  <c r="G876" i="19" s="1"/>
  <c r="F876" i="19" s="1"/>
  <c r="D875" i="19"/>
  <c r="E875" i="19" s="1"/>
  <c r="G875" i="19" s="1"/>
  <c r="F875" i="19" s="1"/>
  <c r="D874" i="19"/>
  <c r="E874" i="19" s="1"/>
  <c r="G874" i="19" s="1"/>
  <c r="F874" i="19" s="1"/>
  <c r="D873" i="19"/>
  <c r="E873" i="19" s="1"/>
  <c r="G873" i="19" s="1"/>
  <c r="F873" i="19" s="1"/>
  <c r="D872" i="19"/>
  <c r="E872" i="19" s="1"/>
  <c r="G872" i="19" s="1"/>
  <c r="F872" i="19" s="1"/>
  <c r="D871" i="19"/>
  <c r="E871" i="19" s="1"/>
  <c r="G871" i="19" s="1"/>
  <c r="F871" i="19" s="1"/>
  <c r="D870" i="19"/>
  <c r="E870" i="19" s="1"/>
  <c r="G870" i="19" s="1"/>
  <c r="F870" i="19" s="1"/>
  <c r="D869" i="19"/>
  <c r="E869" i="19" s="1"/>
  <c r="G869" i="19" s="1"/>
  <c r="F869" i="19" s="1"/>
  <c r="D868" i="19"/>
  <c r="E868" i="19" s="1"/>
  <c r="G868" i="19" s="1"/>
  <c r="F868" i="19" s="1"/>
  <c r="D867" i="19"/>
  <c r="E867" i="19" s="1"/>
  <c r="G867" i="19" s="1"/>
  <c r="F867" i="19" s="1"/>
  <c r="D866" i="19"/>
  <c r="E866" i="19" s="1"/>
  <c r="G866" i="19" s="1"/>
  <c r="F866" i="19" s="1"/>
  <c r="D865" i="19"/>
  <c r="E865" i="19" s="1"/>
  <c r="G865" i="19" s="1"/>
  <c r="D864" i="19"/>
  <c r="E864" i="19" s="1"/>
  <c r="G864" i="19" s="1"/>
  <c r="F864" i="19" s="1"/>
  <c r="D863" i="19"/>
  <c r="E863" i="19" s="1"/>
  <c r="G863" i="19" s="1"/>
  <c r="F863" i="19" s="1"/>
  <c r="D862" i="19"/>
  <c r="E862" i="19" s="1"/>
  <c r="G862" i="19" s="1"/>
  <c r="F862" i="19" s="1"/>
  <c r="D861" i="19"/>
  <c r="E861" i="19" s="1"/>
  <c r="G861" i="19" s="1"/>
  <c r="F861" i="19" s="1"/>
  <c r="D860" i="19"/>
  <c r="E860" i="19" s="1"/>
  <c r="G860" i="19" s="1"/>
  <c r="F860" i="19" s="1"/>
  <c r="D859" i="19"/>
  <c r="E859" i="19" s="1"/>
  <c r="G859" i="19" s="1"/>
  <c r="F859" i="19" s="1"/>
  <c r="D858" i="19"/>
  <c r="E858" i="19" s="1"/>
  <c r="G858" i="19" s="1"/>
  <c r="F858" i="19" s="1"/>
  <c r="D857" i="19"/>
  <c r="E857" i="19" s="1"/>
  <c r="G857" i="19" s="1"/>
  <c r="F857" i="19" s="1"/>
  <c r="D856" i="19"/>
  <c r="E856" i="19" s="1"/>
  <c r="G856" i="19" s="1"/>
  <c r="F856" i="19" s="1"/>
  <c r="D855" i="19"/>
  <c r="E855" i="19" s="1"/>
  <c r="G855" i="19" s="1"/>
  <c r="F855" i="19" s="1"/>
  <c r="D854" i="19"/>
  <c r="E854" i="19" s="1"/>
  <c r="G854" i="19" s="1"/>
  <c r="F854" i="19" s="1"/>
  <c r="D853" i="19"/>
  <c r="E853" i="19" s="1"/>
  <c r="G853" i="19" s="1"/>
  <c r="F853" i="19" s="1"/>
  <c r="D852" i="19"/>
  <c r="E852" i="19" s="1"/>
  <c r="G852" i="19" s="1"/>
  <c r="F852" i="19" s="1"/>
  <c r="D851" i="19"/>
  <c r="E851" i="19" s="1"/>
  <c r="G851" i="19" s="1"/>
  <c r="F851" i="19" s="1"/>
  <c r="D850" i="19"/>
  <c r="E850" i="19" s="1"/>
  <c r="G850" i="19" s="1"/>
  <c r="F850" i="19" s="1"/>
  <c r="D849" i="19"/>
  <c r="E849" i="19" s="1"/>
  <c r="G849" i="19" s="1"/>
  <c r="D848" i="19"/>
  <c r="E848" i="19" s="1"/>
  <c r="G848" i="19" s="1"/>
  <c r="F848" i="19" s="1"/>
  <c r="D847" i="19"/>
  <c r="E847" i="19" s="1"/>
  <c r="G847" i="19" s="1"/>
  <c r="F847" i="19" s="1"/>
  <c r="D846" i="19"/>
  <c r="E846" i="19" s="1"/>
  <c r="G846" i="19" s="1"/>
  <c r="F846" i="19" s="1"/>
  <c r="D845" i="19"/>
  <c r="E845" i="19" s="1"/>
  <c r="G845" i="19" s="1"/>
  <c r="F845" i="19" s="1"/>
  <c r="D844" i="19"/>
  <c r="E844" i="19" s="1"/>
  <c r="G844" i="19" s="1"/>
  <c r="F844" i="19" s="1"/>
  <c r="D843" i="19"/>
  <c r="E843" i="19" s="1"/>
  <c r="G843" i="19" s="1"/>
  <c r="F843" i="19" s="1"/>
  <c r="D842" i="19"/>
  <c r="E842" i="19" s="1"/>
  <c r="G842" i="19" s="1"/>
  <c r="F842" i="19" s="1"/>
  <c r="D841" i="19"/>
  <c r="E841" i="19" s="1"/>
  <c r="G841" i="19" s="1"/>
  <c r="F841" i="19" s="1"/>
  <c r="D840" i="19"/>
  <c r="E840" i="19" s="1"/>
  <c r="G840" i="19" s="1"/>
  <c r="F840" i="19" s="1"/>
  <c r="D839" i="19"/>
  <c r="E839" i="19" s="1"/>
  <c r="G839" i="19" s="1"/>
  <c r="F839" i="19" s="1"/>
  <c r="D838" i="19"/>
  <c r="E838" i="19" s="1"/>
  <c r="G838" i="19" s="1"/>
  <c r="F838" i="19" s="1"/>
  <c r="D837" i="19"/>
  <c r="E837" i="19" s="1"/>
  <c r="G837" i="19" s="1"/>
  <c r="F837" i="19" s="1"/>
  <c r="D836" i="19"/>
  <c r="E836" i="19" s="1"/>
  <c r="G836" i="19" s="1"/>
  <c r="F836" i="19" s="1"/>
  <c r="D835" i="19"/>
  <c r="E835" i="19" s="1"/>
  <c r="G835" i="19" s="1"/>
  <c r="F835" i="19" s="1"/>
  <c r="D834" i="19"/>
  <c r="E834" i="19" s="1"/>
  <c r="G834" i="19" s="1"/>
  <c r="F834" i="19" s="1"/>
  <c r="D833" i="19"/>
  <c r="E833" i="19" s="1"/>
  <c r="G833" i="19" s="1"/>
  <c r="D832" i="19"/>
  <c r="E832" i="19" s="1"/>
  <c r="G832" i="19" s="1"/>
  <c r="F832" i="19" s="1"/>
  <c r="D831" i="19"/>
  <c r="E831" i="19" s="1"/>
  <c r="G831" i="19" s="1"/>
  <c r="F831" i="19" s="1"/>
  <c r="D830" i="19"/>
  <c r="E830" i="19" s="1"/>
  <c r="G830" i="19" s="1"/>
  <c r="F830" i="19" s="1"/>
  <c r="D829" i="19"/>
  <c r="E829" i="19" s="1"/>
  <c r="G829" i="19" s="1"/>
  <c r="F829" i="19" s="1"/>
  <c r="D828" i="19"/>
  <c r="E828" i="19" s="1"/>
  <c r="G828" i="19" s="1"/>
  <c r="F828" i="19" s="1"/>
  <c r="D827" i="19"/>
  <c r="E827" i="19" s="1"/>
  <c r="G827" i="19" s="1"/>
  <c r="F827" i="19" s="1"/>
  <c r="D826" i="19"/>
  <c r="E826" i="19" s="1"/>
  <c r="G826" i="19" s="1"/>
  <c r="F826" i="19" s="1"/>
  <c r="D825" i="19"/>
  <c r="E825" i="19" s="1"/>
  <c r="G825" i="19" s="1"/>
  <c r="F825" i="19" s="1"/>
  <c r="D824" i="19"/>
  <c r="E824" i="19" s="1"/>
  <c r="G824" i="19" s="1"/>
  <c r="F824" i="19" s="1"/>
  <c r="D823" i="19"/>
  <c r="E823" i="19" s="1"/>
  <c r="G823" i="19" s="1"/>
  <c r="F823" i="19" s="1"/>
  <c r="D822" i="19"/>
  <c r="E822" i="19" s="1"/>
  <c r="G822" i="19" s="1"/>
  <c r="F822" i="19" s="1"/>
  <c r="D821" i="19"/>
  <c r="E821" i="19" s="1"/>
  <c r="G821" i="19" s="1"/>
  <c r="F821" i="19" s="1"/>
  <c r="D820" i="19"/>
  <c r="E820" i="19" s="1"/>
  <c r="G820" i="19" s="1"/>
  <c r="F820" i="19" s="1"/>
  <c r="D819" i="19"/>
  <c r="E819" i="19" s="1"/>
  <c r="G819" i="19" s="1"/>
  <c r="F819" i="19" s="1"/>
  <c r="D818" i="19"/>
  <c r="E818" i="19" s="1"/>
  <c r="G818" i="19" s="1"/>
  <c r="F818" i="19" s="1"/>
  <c r="D817" i="19"/>
  <c r="E817" i="19" s="1"/>
  <c r="G817" i="19" s="1"/>
  <c r="D816" i="19"/>
  <c r="E816" i="19" s="1"/>
  <c r="G816" i="19" s="1"/>
  <c r="F816" i="19" s="1"/>
  <c r="D815" i="19"/>
  <c r="E815" i="19" s="1"/>
  <c r="G815" i="19" s="1"/>
  <c r="F815" i="19" s="1"/>
  <c r="D814" i="19"/>
  <c r="E814" i="19" s="1"/>
  <c r="G814" i="19" s="1"/>
  <c r="F814" i="19" s="1"/>
  <c r="D813" i="19"/>
  <c r="E813" i="19" s="1"/>
  <c r="G813" i="19" s="1"/>
  <c r="F813" i="19" s="1"/>
  <c r="D812" i="19"/>
  <c r="E812" i="19" s="1"/>
  <c r="G812" i="19" s="1"/>
  <c r="F812" i="19" s="1"/>
  <c r="D811" i="19"/>
  <c r="E811" i="19" s="1"/>
  <c r="G811" i="19" s="1"/>
  <c r="F811" i="19" s="1"/>
  <c r="D810" i="19"/>
  <c r="E810" i="19" s="1"/>
  <c r="G810" i="19" s="1"/>
  <c r="F810" i="19" s="1"/>
  <c r="D809" i="19"/>
  <c r="E809" i="19" s="1"/>
  <c r="G809" i="19" s="1"/>
  <c r="F809" i="19" s="1"/>
  <c r="D808" i="19"/>
  <c r="E808" i="19" s="1"/>
  <c r="G808" i="19" s="1"/>
  <c r="F808" i="19" s="1"/>
  <c r="D807" i="19"/>
  <c r="E807" i="19" s="1"/>
  <c r="G807" i="19" s="1"/>
  <c r="F807" i="19" s="1"/>
  <c r="D806" i="19"/>
  <c r="E806" i="19" s="1"/>
  <c r="G806" i="19" s="1"/>
  <c r="F806" i="19" s="1"/>
  <c r="D805" i="19"/>
  <c r="E805" i="19" s="1"/>
  <c r="G805" i="19" s="1"/>
  <c r="F805" i="19" s="1"/>
  <c r="D804" i="19"/>
  <c r="E804" i="19" s="1"/>
  <c r="G804" i="19" s="1"/>
  <c r="F804" i="19" s="1"/>
  <c r="D803" i="19"/>
  <c r="E803" i="19" s="1"/>
  <c r="G803" i="19" s="1"/>
  <c r="F803" i="19" s="1"/>
  <c r="D802" i="19"/>
  <c r="E802" i="19" s="1"/>
  <c r="G802" i="19" s="1"/>
  <c r="F802" i="19" s="1"/>
  <c r="D801" i="19"/>
  <c r="E801" i="19" s="1"/>
  <c r="G801" i="19" s="1"/>
  <c r="D800" i="19"/>
  <c r="E800" i="19" s="1"/>
  <c r="G800" i="19" s="1"/>
  <c r="F800" i="19" s="1"/>
  <c r="D799" i="19"/>
  <c r="E799" i="19" s="1"/>
  <c r="G799" i="19" s="1"/>
  <c r="F799" i="19" s="1"/>
  <c r="D798" i="19"/>
  <c r="E798" i="19" s="1"/>
  <c r="G798" i="19" s="1"/>
  <c r="F798" i="19" s="1"/>
  <c r="D797" i="19"/>
  <c r="E797" i="19" s="1"/>
  <c r="G797" i="19" s="1"/>
  <c r="F797" i="19" s="1"/>
  <c r="D796" i="19"/>
  <c r="E796" i="19" s="1"/>
  <c r="G796" i="19" s="1"/>
  <c r="F796" i="19" s="1"/>
  <c r="D795" i="19"/>
  <c r="E795" i="19" s="1"/>
  <c r="G795" i="19" s="1"/>
  <c r="F795" i="19" s="1"/>
  <c r="D794" i="19"/>
  <c r="E794" i="19" s="1"/>
  <c r="G794" i="19" s="1"/>
  <c r="F794" i="19" s="1"/>
  <c r="D793" i="19"/>
  <c r="E793" i="19" s="1"/>
  <c r="G793" i="19" s="1"/>
  <c r="F793" i="19" s="1"/>
  <c r="D792" i="19"/>
  <c r="E792" i="19" s="1"/>
  <c r="G792" i="19" s="1"/>
  <c r="F792" i="19" s="1"/>
  <c r="D791" i="19"/>
  <c r="E791" i="19" s="1"/>
  <c r="G791" i="19" s="1"/>
  <c r="F791" i="19" s="1"/>
  <c r="D790" i="19"/>
  <c r="E790" i="19" s="1"/>
  <c r="G790" i="19" s="1"/>
  <c r="F790" i="19" s="1"/>
  <c r="D789" i="19"/>
  <c r="E789" i="19" s="1"/>
  <c r="G789" i="19" s="1"/>
  <c r="F789" i="19" s="1"/>
  <c r="D788" i="19"/>
  <c r="E788" i="19" s="1"/>
  <c r="G788" i="19" s="1"/>
  <c r="F788" i="19" s="1"/>
  <c r="D787" i="19"/>
  <c r="E787" i="19" s="1"/>
  <c r="G787" i="19" s="1"/>
  <c r="F787" i="19" s="1"/>
  <c r="D786" i="19"/>
  <c r="E786" i="19" s="1"/>
  <c r="G786" i="19" s="1"/>
  <c r="F786" i="19" s="1"/>
  <c r="D785" i="19"/>
  <c r="E785" i="19" s="1"/>
  <c r="G785" i="19" s="1"/>
  <c r="D784" i="19"/>
  <c r="E784" i="19" s="1"/>
  <c r="G784" i="19" s="1"/>
  <c r="F784" i="19" s="1"/>
  <c r="D783" i="19"/>
  <c r="E783" i="19" s="1"/>
  <c r="G783" i="19" s="1"/>
  <c r="F783" i="19" s="1"/>
  <c r="D782" i="19"/>
  <c r="E782" i="19" s="1"/>
  <c r="G782" i="19" s="1"/>
  <c r="F782" i="19" s="1"/>
  <c r="D781" i="19"/>
  <c r="E781" i="19" s="1"/>
  <c r="G781" i="19" s="1"/>
  <c r="F781" i="19" s="1"/>
  <c r="D780" i="19"/>
  <c r="E780" i="19" s="1"/>
  <c r="G780" i="19" s="1"/>
  <c r="F780" i="19" s="1"/>
  <c r="D779" i="19"/>
  <c r="E779" i="19" s="1"/>
  <c r="G779" i="19" s="1"/>
  <c r="F779" i="19" s="1"/>
  <c r="D778" i="19"/>
  <c r="E778" i="19" s="1"/>
  <c r="G778" i="19" s="1"/>
  <c r="F778" i="19" s="1"/>
  <c r="D777" i="19"/>
  <c r="E777" i="19" s="1"/>
  <c r="G777" i="19" s="1"/>
  <c r="F777" i="19" s="1"/>
  <c r="D776" i="19"/>
  <c r="E776" i="19" s="1"/>
  <c r="G776" i="19" s="1"/>
  <c r="F776" i="19" s="1"/>
  <c r="D775" i="19"/>
  <c r="E775" i="19" s="1"/>
  <c r="G775" i="19" s="1"/>
  <c r="F775" i="19" s="1"/>
  <c r="D774" i="19"/>
  <c r="E774" i="19" s="1"/>
  <c r="G774" i="19" s="1"/>
  <c r="F774" i="19" s="1"/>
  <c r="D773" i="19"/>
  <c r="E773" i="19" s="1"/>
  <c r="G773" i="19" s="1"/>
  <c r="F773" i="19" s="1"/>
  <c r="D772" i="19"/>
  <c r="E772" i="19" s="1"/>
  <c r="G772" i="19" s="1"/>
  <c r="F772" i="19" s="1"/>
  <c r="D771" i="19"/>
  <c r="E771" i="19" s="1"/>
  <c r="G771" i="19" s="1"/>
  <c r="F771" i="19" s="1"/>
  <c r="D770" i="19"/>
  <c r="E770" i="19" s="1"/>
  <c r="G770" i="19" s="1"/>
  <c r="F770" i="19" s="1"/>
  <c r="D769" i="19"/>
  <c r="E769" i="19" s="1"/>
  <c r="G769" i="19" s="1"/>
  <c r="D768" i="19"/>
  <c r="E768" i="19" s="1"/>
  <c r="G768" i="19" s="1"/>
  <c r="F768" i="19" s="1"/>
  <c r="D767" i="19"/>
  <c r="E767" i="19" s="1"/>
  <c r="G767" i="19" s="1"/>
  <c r="F767" i="19" s="1"/>
  <c r="D766" i="19"/>
  <c r="E766" i="19" s="1"/>
  <c r="G766" i="19" s="1"/>
  <c r="F766" i="19" s="1"/>
  <c r="D765" i="19"/>
  <c r="E765" i="19" s="1"/>
  <c r="G765" i="19" s="1"/>
  <c r="F765" i="19" s="1"/>
  <c r="D764" i="19"/>
  <c r="E764" i="19" s="1"/>
  <c r="G764" i="19" s="1"/>
  <c r="F764" i="19" s="1"/>
  <c r="D763" i="19"/>
  <c r="E763" i="19" s="1"/>
  <c r="G763" i="19" s="1"/>
  <c r="F763" i="19" s="1"/>
  <c r="D762" i="19"/>
  <c r="E762" i="19" s="1"/>
  <c r="G762" i="19" s="1"/>
  <c r="F762" i="19" s="1"/>
  <c r="D761" i="19"/>
  <c r="E761" i="19" s="1"/>
  <c r="G761" i="19" s="1"/>
  <c r="F761" i="19" s="1"/>
  <c r="D760" i="19"/>
  <c r="E760" i="19" s="1"/>
  <c r="G760" i="19" s="1"/>
  <c r="F760" i="19" s="1"/>
  <c r="D759" i="19"/>
  <c r="E759" i="19" s="1"/>
  <c r="G759" i="19" s="1"/>
  <c r="F759" i="19" s="1"/>
  <c r="D758" i="19"/>
  <c r="E758" i="19" s="1"/>
  <c r="G758" i="19" s="1"/>
  <c r="F758" i="19" s="1"/>
  <c r="D757" i="19"/>
  <c r="E757" i="19" s="1"/>
  <c r="G757" i="19" s="1"/>
  <c r="F757" i="19" s="1"/>
  <c r="D756" i="19"/>
  <c r="E756" i="19" s="1"/>
  <c r="G756" i="19" s="1"/>
  <c r="F756" i="19" s="1"/>
  <c r="D755" i="19"/>
  <c r="E755" i="19" s="1"/>
  <c r="G755" i="19" s="1"/>
  <c r="F755" i="19" s="1"/>
  <c r="D754" i="19"/>
  <c r="E754" i="19" s="1"/>
  <c r="G754" i="19" s="1"/>
  <c r="F754" i="19" s="1"/>
  <c r="D753" i="19"/>
  <c r="E753" i="19" s="1"/>
  <c r="G753" i="19" s="1"/>
  <c r="D752" i="19"/>
  <c r="E752" i="19" s="1"/>
  <c r="G752" i="19" s="1"/>
  <c r="F752" i="19" s="1"/>
  <c r="D751" i="19"/>
  <c r="E751" i="19" s="1"/>
  <c r="G751" i="19" s="1"/>
  <c r="F751" i="19" s="1"/>
  <c r="D750" i="19"/>
  <c r="E750" i="19" s="1"/>
  <c r="G750" i="19" s="1"/>
  <c r="F750" i="19" s="1"/>
  <c r="D749" i="19"/>
  <c r="E749" i="19" s="1"/>
  <c r="G749" i="19" s="1"/>
  <c r="F749" i="19" s="1"/>
  <c r="D748" i="19"/>
  <c r="E748" i="19" s="1"/>
  <c r="G748" i="19" s="1"/>
  <c r="F748" i="19" s="1"/>
  <c r="D747" i="19"/>
  <c r="E747" i="19" s="1"/>
  <c r="G747" i="19" s="1"/>
  <c r="F747" i="19" s="1"/>
  <c r="D746" i="19"/>
  <c r="E746" i="19" s="1"/>
  <c r="G746" i="19" s="1"/>
  <c r="F746" i="19" s="1"/>
  <c r="D745" i="19"/>
  <c r="E745" i="19" s="1"/>
  <c r="G745" i="19" s="1"/>
  <c r="F745" i="19" s="1"/>
  <c r="D744" i="19"/>
  <c r="E744" i="19" s="1"/>
  <c r="G744" i="19" s="1"/>
  <c r="F744" i="19" s="1"/>
  <c r="D743" i="19"/>
  <c r="E743" i="19" s="1"/>
  <c r="G743" i="19" s="1"/>
  <c r="F743" i="19" s="1"/>
  <c r="D742" i="19"/>
  <c r="E742" i="19" s="1"/>
  <c r="G742" i="19" s="1"/>
  <c r="F742" i="19" s="1"/>
  <c r="D741" i="19"/>
  <c r="E741" i="19" s="1"/>
  <c r="G741" i="19" s="1"/>
  <c r="F741" i="19" s="1"/>
  <c r="D740" i="19"/>
  <c r="E740" i="19" s="1"/>
  <c r="G740" i="19" s="1"/>
  <c r="F740" i="19" s="1"/>
  <c r="D739" i="19"/>
  <c r="E739" i="19" s="1"/>
  <c r="G739" i="19" s="1"/>
  <c r="F739" i="19" s="1"/>
  <c r="D738" i="19"/>
  <c r="E738" i="19" s="1"/>
  <c r="G738" i="19" s="1"/>
  <c r="F738" i="19" s="1"/>
  <c r="D737" i="19"/>
  <c r="E737" i="19" s="1"/>
  <c r="G737" i="19" s="1"/>
  <c r="D736" i="19"/>
  <c r="E736" i="19" s="1"/>
  <c r="G736" i="19" s="1"/>
  <c r="F736" i="19" s="1"/>
  <c r="D735" i="19"/>
  <c r="E735" i="19" s="1"/>
  <c r="G735" i="19" s="1"/>
  <c r="F735" i="19" s="1"/>
  <c r="D734" i="19"/>
  <c r="E734" i="19" s="1"/>
  <c r="G734" i="19" s="1"/>
  <c r="F734" i="19" s="1"/>
  <c r="D733" i="19"/>
  <c r="E733" i="19" s="1"/>
  <c r="G733" i="19" s="1"/>
  <c r="F733" i="19" s="1"/>
  <c r="D732" i="19"/>
  <c r="E732" i="19" s="1"/>
  <c r="G732" i="19" s="1"/>
  <c r="F732" i="19" s="1"/>
  <c r="D731" i="19"/>
  <c r="E731" i="19" s="1"/>
  <c r="G731" i="19" s="1"/>
  <c r="F731" i="19" s="1"/>
  <c r="D730" i="19"/>
  <c r="E730" i="19" s="1"/>
  <c r="G730" i="19" s="1"/>
  <c r="F730" i="19" s="1"/>
  <c r="D729" i="19"/>
  <c r="E729" i="19" s="1"/>
  <c r="G729" i="19" s="1"/>
  <c r="F729" i="19" s="1"/>
  <c r="D728" i="19"/>
  <c r="E728" i="19" s="1"/>
  <c r="G728" i="19" s="1"/>
  <c r="F728" i="19" s="1"/>
  <c r="D727" i="19"/>
  <c r="E727" i="19" s="1"/>
  <c r="G727" i="19" s="1"/>
  <c r="F727" i="19" s="1"/>
  <c r="D726" i="19"/>
  <c r="E726" i="19" s="1"/>
  <c r="G726" i="19" s="1"/>
  <c r="F726" i="19" s="1"/>
  <c r="D725" i="19"/>
  <c r="E725" i="19" s="1"/>
  <c r="G725" i="19" s="1"/>
  <c r="F725" i="19" s="1"/>
  <c r="D724" i="19"/>
  <c r="E724" i="19" s="1"/>
  <c r="G724" i="19" s="1"/>
  <c r="F724" i="19" s="1"/>
  <c r="D723" i="19"/>
  <c r="E723" i="19" s="1"/>
  <c r="G723" i="19" s="1"/>
  <c r="F723" i="19" s="1"/>
  <c r="D722" i="19"/>
  <c r="E722" i="19" s="1"/>
  <c r="G722" i="19" s="1"/>
  <c r="F722" i="19" s="1"/>
  <c r="D721" i="19"/>
  <c r="E721" i="19" s="1"/>
  <c r="G721" i="19" s="1"/>
  <c r="D720" i="19"/>
  <c r="E720" i="19" s="1"/>
  <c r="G720" i="19" s="1"/>
  <c r="F720" i="19" s="1"/>
  <c r="D719" i="19"/>
  <c r="E719" i="19" s="1"/>
  <c r="G719" i="19" s="1"/>
  <c r="F719" i="19" s="1"/>
  <c r="D718" i="19"/>
  <c r="E718" i="19" s="1"/>
  <c r="G718" i="19" s="1"/>
  <c r="F718" i="19" s="1"/>
  <c r="D717" i="19"/>
  <c r="E717" i="19" s="1"/>
  <c r="G717" i="19" s="1"/>
  <c r="F717" i="19" s="1"/>
  <c r="D716" i="19"/>
  <c r="E716" i="19" s="1"/>
  <c r="G716" i="19" s="1"/>
  <c r="F716" i="19" s="1"/>
  <c r="D715" i="19"/>
  <c r="E715" i="19" s="1"/>
  <c r="G715" i="19" s="1"/>
  <c r="F715" i="19" s="1"/>
  <c r="D714" i="19"/>
  <c r="E714" i="19" s="1"/>
  <c r="G714" i="19" s="1"/>
  <c r="F714" i="19" s="1"/>
  <c r="D713" i="19"/>
  <c r="E713" i="19" s="1"/>
  <c r="G713" i="19" s="1"/>
  <c r="F713" i="19" s="1"/>
  <c r="D712" i="19"/>
  <c r="E712" i="19" s="1"/>
  <c r="G712" i="19" s="1"/>
  <c r="F712" i="19" s="1"/>
  <c r="D711" i="19"/>
  <c r="E711" i="19" s="1"/>
  <c r="G711" i="19" s="1"/>
  <c r="F711" i="19" s="1"/>
  <c r="D710" i="19"/>
  <c r="E710" i="19" s="1"/>
  <c r="G710" i="19" s="1"/>
  <c r="F710" i="19" s="1"/>
  <c r="D709" i="19"/>
  <c r="E709" i="19" s="1"/>
  <c r="G709" i="19" s="1"/>
  <c r="F709" i="19" s="1"/>
  <c r="D708" i="19"/>
  <c r="E708" i="19" s="1"/>
  <c r="G708" i="19" s="1"/>
  <c r="F708" i="19" s="1"/>
  <c r="D707" i="19"/>
  <c r="E707" i="19" s="1"/>
  <c r="G707" i="19" s="1"/>
  <c r="F707" i="19" s="1"/>
  <c r="D706" i="19"/>
  <c r="E706" i="19" s="1"/>
  <c r="G706" i="19" s="1"/>
  <c r="F706" i="19" s="1"/>
  <c r="D705" i="19"/>
  <c r="E705" i="19" s="1"/>
  <c r="G705" i="19" s="1"/>
  <c r="D704" i="19"/>
  <c r="E704" i="19" s="1"/>
  <c r="G704" i="19" s="1"/>
  <c r="F704" i="19" s="1"/>
  <c r="D703" i="19"/>
  <c r="E703" i="19" s="1"/>
  <c r="G703" i="19" s="1"/>
  <c r="F703" i="19" s="1"/>
  <c r="D702" i="19"/>
  <c r="E702" i="19" s="1"/>
  <c r="G702" i="19" s="1"/>
  <c r="F702" i="19" s="1"/>
  <c r="D701" i="19"/>
  <c r="E701" i="19" s="1"/>
  <c r="G701" i="19" s="1"/>
  <c r="F701" i="19" s="1"/>
  <c r="D700" i="19"/>
  <c r="E700" i="19" s="1"/>
  <c r="G700" i="19" s="1"/>
  <c r="F700" i="19" s="1"/>
  <c r="D699" i="19"/>
  <c r="E699" i="19" s="1"/>
  <c r="G699" i="19" s="1"/>
  <c r="F699" i="19" s="1"/>
  <c r="D698" i="19"/>
  <c r="E698" i="19" s="1"/>
  <c r="G698" i="19" s="1"/>
  <c r="F698" i="19" s="1"/>
  <c r="D697" i="19"/>
  <c r="E697" i="19" s="1"/>
  <c r="G697" i="19" s="1"/>
  <c r="F697" i="19" s="1"/>
  <c r="D696" i="19"/>
  <c r="E696" i="19" s="1"/>
  <c r="G696" i="19" s="1"/>
  <c r="F696" i="19" s="1"/>
  <c r="D695" i="19"/>
  <c r="E695" i="19" s="1"/>
  <c r="G695" i="19" s="1"/>
  <c r="F695" i="19" s="1"/>
  <c r="D694" i="19"/>
  <c r="E694" i="19" s="1"/>
  <c r="G694" i="19" s="1"/>
  <c r="F694" i="19" s="1"/>
  <c r="D693" i="19"/>
  <c r="E693" i="19" s="1"/>
  <c r="G693" i="19" s="1"/>
  <c r="F693" i="19" s="1"/>
  <c r="D692" i="19"/>
  <c r="E692" i="19" s="1"/>
  <c r="G692" i="19" s="1"/>
  <c r="F692" i="19" s="1"/>
  <c r="D691" i="19"/>
  <c r="E691" i="19" s="1"/>
  <c r="G691" i="19" s="1"/>
  <c r="F691" i="19" s="1"/>
  <c r="D690" i="19"/>
  <c r="E690" i="19" s="1"/>
  <c r="G690" i="19" s="1"/>
  <c r="F690" i="19" s="1"/>
  <c r="D689" i="19"/>
  <c r="E689" i="19" s="1"/>
  <c r="G689" i="19" s="1"/>
  <c r="D688" i="19"/>
  <c r="E688" i="19" s="1"/>
  <c r="G688" i="19" s="1"/>
  <c r="F688" i="19" s="1"/>
  <c r="D687" i="19"/>
  <c r="E687" i="19" s="1"/>
  <c r="G687" i="19" s="1"/>
  <c r="F687" i="19" s="1"/>
  <c r="D686" i="19"/>
  <c r="E686" i="19" s="1"/>
  <c r="G686" i="19" s="1"/>
  <c r="F686" i="19" s="1"/>
  <c r="D685" i="19"/>
  <c r="E685" i="19" s="1"/>
  <c r="G685" i="19" s="1"/>
  <c r="F685" i="19" s="1"/>
  <c r="D684" i="19"/>
  <c r="E684" i="19" s="1"/>
  <c r="G684" i="19" s="1"/>
  <c r="F684" i="19" s="1"/>
  <c r="D683" i="19"/>
  <c r="E683" i="19" s="1"/>
  <c r="G683" i="19" s="1"/>
  <c r="F683" i="19" s="1"/>
  <c r="D682" i="19"/>
  <c r="E682" i="19" s="1"/>
  <c r="G682" i="19" s="1"/>
  <c r="F682" i="19" s="1"/>
  <c r="D681" i="19"/>
  <c r="E681" i="19" s="1"/>
  <c r="G681" i="19" s="1"/>
  <c r="F681" i="19" s="1"/>
  <c r="D680" i="19"/>
  <c r="E680" i="19" s="1"/>
  <c r="G680" i="19" s="1"/>
  <c r="F680" i="19" s="1"/>
  <c r="D679" i="19"/>
  <c r="E679" i="19" s="1"/>
  <c r="G679" i="19" s="1"/>
  <c r="F679" i="19" s="1"/>
  <c r="D678" i="19"/>
  <c r="E678" i="19" s="1"/>
  <c r="G678" i="19" s="1"/>
  <c r="F678" i="19" s="1"/>
  <c r="D677" i="19"/>
  <c r="E677" i="19" s="1"/>
  <c r="G677" i="19" s="1"/>
  <c r="F677" i="19" s="1"/>
  <c r="D676" i="19"/>
  <c r="E676" i="19" s="1"/>
  <c r="G676" i="19" s="1"/>
  <c r="F676" i="19" s="1"/>
  <c r="D675" i="19"/>
  <c r="E675" i="19" s="1"/>
  <c r="G675" i="19" s="1"/>
  <c r="F675" i="19" s="1"/>
  <c r="D674" i="19"/>
  <c r="E674" i="19" s="1"/>
  <c r="G674" i="19" s="1"/>
  <c r="F674" i="19" s="1"/>
  <c r="D673" i="19"/>
  <c r="E673" i="19" s="1"/>
  <c r="G673" i="19" s="1"/>
  <c r="D672" i="19"/>
  <c r="E672" i="19" s="1"/>
  <c r="G672" i="19" s="1"/>
  <c r="F672" i="19" s="1"/>
  <c r="D671" i="19"/>
  <c r="E671" i="19" s="1"/>
  <c r="G671" i="19" s="1"/>
  <c r="F671" i="19" s="1"/>
  <c r="D670" i="19"/>
  <c r="E670" i="19" s="1"/>
  <c r="G670" i="19" s="1"/>
  <c r="F670" i="19" s="1"/>
  <c r="D669" i="19"/>
  <c r="E669" i="19" s="1"/>
  <c r="G669" i="19" s="1"/>
  <c r="F669" i="19" s="1"/>
  <c r="D668" i="19"/>
  <c r="E668" i="19" s="1"/>
  <c r="G668" i="19" s="1"/>
  <c r="F668" i="19" s="1"/>
  <c r="D667" i="19"/>
  <c r="E667" i="19" s="1"/>
  <c r="G667" i="19" s="1"/>
  <c r="F667" i="19" s="1"/>
  <c r="D666" i="19"/>
  <c r="E666" i="19" s="1"/>
  <c r="G666" i="19" s="1"/>
  <c r="F666" i="19" s="1"/>
  <c r="D665" i="19"/>
  <c r="E665" i="19" s="1"/>
  <c r="G665" i="19" s="1"/>
  <c r="F665" i="19" s="1"/>
  <c r="D664" i="19"/>
  <c r="E664" i="19" s="1"/>
  <c r="G664" i="19" s="1"/>
  <c r="F664" i="19" s="1"/>
  <c r="D663" i="19"/>
  <c r="E663" i="19" s="1"/>
  <c r="G663" i="19" s="1"/>
  <c r="F663" i="19" s="1"/>
  <c r="D662" i="19"/>
  <c r="E662" i="19" s="1"/>
  <c r="G662" i="19" s="1"/>
  <c r="F662" i="19" s="1"/>
  <c r="D661" i="19"/>
  <c r="E661" i="19" s="1"/>
  <c r="G661" i="19" s="1"/>
  <c r="F661" i="19" s="1"/>
  <c r="D660" i="19"/>
  <c r="E660" i="19" s="1"/>
  <c r="G660" i="19" s="1"/>
  <c r="F660" i="19" s="1"/>
  <c r="D659" i="19"/>
  <c r="E659" i="19" s="1"/>
  <c r="G659" i="19" s="1"/>
  <c r="F659" i="19" s="1"/>
  <c r="D658" i="19"/>
  <c r="E658" i="19" s="1"/>
  <c r="G658" i="19" s="1"/>
  <c r="F658" i="19" s="1"/>
  <c r="D657" i="19"/>
  <c r="E657" i="19" s="1"/>
  <c r="G657" i="19" s="1"/>
  <c r="D656" i="19"/>
  <c r="E656" i="19" s="1"/>
  <c r="G656" i="19" s="1"/>
  <c r="F656" i="19" s="1"/>
  <c r="D655" i="19"/>
  <c r="E655" i="19" s="1"/>
  <c r="G655" i="19" s="1"/>
  <c r="F655" i="19" s="1"/>
  <c r="D654" i="19"/>
  <c r="E654" i="19" s="1"/>
  <c r="G654" i="19" s="1"/>
  <c r="F654" i="19" s="1"/>
  <c r="D653" i="19"/>
  <c r="E653" i="19" s="1"/>
  <c r="G653" i="19" s="1"/>
  <c r="F653" i="19" s="1"/>
  <c r="D652" i="19"/>
  <c r="E652" i="19" s="1"/>
  <c r="G652" i="19" s="1"/>
  <c r="F652" i="19" s="1"/>
  <c r="D651" i="19"/>
  <c r="E651" i="19" s="1"/>
  <c r="G651" i="19" s="1"/>
  <c r="F651" i="19" s="1"/>
  <c r="D650" i="19"/>
  <c r="E650" i="19" s="1"/>
  <c r="G650" i="19" s="1"/>
  <c r="F650" i="19" s="1"/>
  <c r="D649" i="19"/>
  <c r="E649" i="19" s="1"/>
  <c r="G649" i="19" s="1"/>
  <c r="F649" i="19" s="1"/>
  <c r="D648" i="19"/>
  <c r="E648" i="19" s="1"/>
  <c r="G648" i="19" s="1"/>
  <c r="F648" i="19" s="1"/>
  <c r="D647" i="19"/>
  <c r="E647" i="19" s="1"/>
  <c r="G647" i="19" s="1"/>
  <c r="F647" i="19" s="1"/>
  <c r="D646" i="19"/>
  <c r="E646" i="19" s="1"/>
  <c r="G646" i="19" s="1"/>
  <c r="F646" i="19" s="1"/>
  <c r="D645" i="19"/>
  <c r="E645" i="19" s="1"/>
  <c r="G645" i="19" s="1"/>
  <c r="F645" i="19" s="1"/>
  <c r="D644" i="19"/>
  <c r="E644" i="19" s="1"/>
  <c r="G644" i="19" s="1"/>
  <c r="F644" i="19" s="1"/>
  <c r="D643" i="19"/>
  <c r="E643" i="19" s="1"/>
  <c r="G643" i="19" s="1"/>
  <c r="F643" i="19" s="1"/>
  <c r="D642" i="19"/>
  <c r="E642" i="19" s="1"/>
  <c r="G642" i="19" s="1"/>
  <c r="F642" i="19" s="1"/>
  <c r="D641" i="19"/>
  <c r="E641" i="19" s="1"/>
  <c r="G641" i="19" s="1"/>
  <c r="D640" i="19"/>
  <c r="E640" i="19" s="1"/>
  <c r="G640" i="19" s="1"/>
  <c r="F640" i="19" s="1"/>
  <c r="D639" i="19"/>
  <c r="E639" i="19" s="1"/>
  <c r="G639" i="19" s="1"/>
  <c r="F639" i="19" s="1"/>
  <c r="D638" i="19"/>
  <c r="E638" i="19" s="1"/>
  <c r="G638" i="19" s="1"/>
  <c r="F638" i="19" s="1"/>
  <c r="D637" i="19"/>
  <c r="E637" i="19" s="1"/>
  <c r="G637" i="19" s="1"/>
  <c r="F637" i="19" s="1"/>
  <c r="D636" i="19"/>
  <c r="E636" i="19" s="1"/>
  <c r="G636" i="19" s="1"/>
  <c r="F636" i="19" s="1"/>
  <c r="D635" i="19"/>
  <c r="E635" i="19" s="1"/>
  <c r="G635" i="19" s="1"/>
  <c r="F635" i="19" s="1"/>
  <c r="D634" i="19"/>
  <c r="E634" i="19" s="1"/>
  <c r="G634" i="19" s="1"/>
  <c r="F634" i="19" s="1"/>
  <c r="D633" i="19"/>
  <c r="E633" i="19" s="1"/>
  <c r="G633" i="19" s="1"/>
  <c r="F633" i="19" s="1"/>
  <c r="D632" i="19"/>
  <c r="E632" i="19" s="1"/>
  <c r="G632" i="19" s="1"/>
  <c r="F632" i="19" s="1"/>
  <c r="D631" i="19"/>
  <c r="E631" i="19" s="1"/>
  <c r="G631" i="19" s="1"/>
  <c r="F631" i="19" s="1"/>
  <c r="D630" i="19"/>
  <c r="E630" i="19" s="1"/>
  <c r="G630" i="19" s="1"/>
  <c r="F630" i="19" s="1"/>
  <c r="D629" i="19"/>
  <c r="E629" i="19" s="1"/>
  <c r="G629" i="19" s="1"/>
  <c r="F629" i="19" s="1"/>
  <c r="D628" i="19"/>
  <c r="E628" i="19" s="1"/>
  <c r="G628" i="19" s="1"/>
  <c r="F628" i="19" s="1"/>
  <c r="D627" i="19"/>
  <c r="E627" i="19" s="1"/>
  <c r="G627" i="19" s="1"/>
  <c r="F627" i="19" s="1"/>
  <c r="D626" i="19"/>
  <c r="E626" i="19" s="1"/>
  <c r="G626" i="19" s="1"/>
  <c r="F626" i="19" s="1"/>
  <c r="D625" i="19"/>
  <c r="E625" i="19" s="1"/>
  <c r="G625" i="19" s="1"/>
  <c r="D624" i="19"/>
  <c r="E624" i="19" s="1"/>
  <c r="G624" i="19" s="1"/>
  <c r="F624" i="19" s="1"/>
  <c r="D623" i="19"/>
  <c r="E623" i="19" s="1"/>
  <c r="G623" i="19" s="1"/>
  <c r="F623" i="19" s="1"/>
  <c r="D622" i="19"/>
  <c r="E622" i="19" s="1"/>
  <c r="G622" i="19" s="1"/>
  <c r="F622" i="19" s="1"/>
  <c r="D621" i="19"/>
  <c r="E621" i="19" s="1"/>
  <c r="G621" i="19" s="1"/>
  <c r="F621" i="19" s="1"/>
  <c r="D620" i="19"/>
  <c r="E620" i="19" s="1"/>
  <c r="G620" i="19" s="1"/>
  <c r="F620" i="19" s="1"/>
  <c r="D619" i="19"/>
  <c r="E619" i="19" s="1"/>
  <c r="G619" i="19" s="1"/>
  <c r="F619" i="19" s="1"/>
  <c r="D618" i="19"/>
  <c r="E618" i="19" s="1"/>
  <c r="G618" i="19" s="1"/>
  <c r="F618" i="19" s="1"/>
  <c r="D617" i="19"/>
  <c r="E617" i="19" s="1"/>
  <c r="G617" i="19" s="1"/>
  <c r="F617" i="19" s="1"/>
  <c r="D616" i="19"/>
  <c r="E616" i="19" s="1"/>
  <c r="G616" i="19" s="1"/>
  <c r="F616" i="19" s="1"/>
  <c r="D615" i="19"/>
  <c r="E615" i="19" s="1"/>
  <c r="G615" i="19" s="1"/>
  <c r="F615" i="19" s="1"/>
  <c r="D614" i="19"/>
  <c r="E614" i="19" s="1"/>
  <c r="G614" i="19" s="1"/>
  <c r="F614" i="19" s="1"/>
  <c r="D613" i="19"/>
  <c r="E613" i="19" s="1"/>
  <c r="G613" i="19" s="1"/>
  <c r="F613" i="19" s="1"/>
  <c r="D612" i="19"/>
  <c r="E612" i="19" s="1"/>
  <c r="G612" i="19" s="1"/>
  <c r="F612" i="19" s="1"/>
  <c r="D611" i="19"/>
  <c r="E611" i="19" s="1"/>
  <c r="G611" i="19" s="1"/>
  <c r="F611" i="19" s="1"/>
  <c r="D610" i="19"/>
  <c r="E610" i="19" s="1"/>
  <c r="G610" i="19" s="1"/>
  <c r="F610" i="19" s="1"/>
  <c r="D609" i="19"/>
  <c r="E609" i="19" s="1"/>
  <c r="G609" i="19" s="1"/>
  <c r="D608" i="19"/>
  <c r="E608" i="19" s="1"/>
  <c r="G608" i="19" s="1"/>
  <c r="F608" i="19" s="1"/>
  <c r="D607" i="19"/>
  <c r="E607" i="19" s="1"/>
  <c r="G607" i="19" s="1"/>
  <c r="F607" i="19" s="1"/>
  <c r="D606" i="19"/>
  <c r="E606" i="19" s="1"/>
  <c r="G606" i="19" s="1"/>
  <c r="F606" i="19" s="1"/>
  <c r="D605" i="19"/>
  <c r="E605" i="19" s="1"/>
  <c r="G605" i="19" s="1"/>
  <c r="F605" i="19" s="1"/>
  <c r="D604" i="19"/>
  <c r="E604" i="19" s="1"/>
  <c r="G604" i="19" s="1"/>
  <c r="F604" i="19" s="1"/>
  <c r="D603" i="19"/>
  <c r="E603" i="19" s="1"/>
  <c r="G603" i="19" s="1"/>
  <c r="F603" i="19" s="1"/>
  <c r="D602" i="19"/>
  <c r="E602" i="19" s="1"/>
  <c r="G602" i="19" s="1"/>
  <c r="F602" i="19" s="1"/>
  <c r="D601" i="19"/>
  <c r="E601" i="19" s="1"/>
  <c r="G601" i="19" s="1"/>
  <c r="F601" i="19" s="1"/>
  <c r="D600" i="19"/>
  <c r="E600" i="19" s="1"/>
  <c r="G600" i="19" s="1"/>
  <c r="F600" i="19" s="1"/>
  <c r="D599" i="19"/>
  <c r="E599" i="19" s="1"/>
  <c r="G599" i="19" s="1"/>
  <c r="F599" i="19" s="1"/>
  <c r="D598" i="19"/>
  <c r="E598" i="19" s="1"/>
  <c r="G598" i="19" s="1"/>
  <c r="F598" i="19" s="1"/>
  <c r="D597" i="19"/>
  <c r="E597" i="19" s="1"/>
  <c r="G597" i="19" s="1"/>
  <c r="F597" i="19" s="1"/>
  <c r="D596" i="19"/>
  <c r="E596" i="19" s="1"/>
  <c r="G596" i="19" s="1"/>
  <c r="F596" i="19" s="1"/>
  <c r="D595" i="19"/>
  <c r="E595" i="19" s="1"/>
  <c r="G595" i="19" s="1"/>
  <c r="F595" i="19" s="1"/>
  <c r="D594" i="19"/>
  <c r="E594" i="19" s="1"/>
  <c r="G594" i="19" s="1"/>
  <c r="F594" i="19" s="1"/>
  <c r="D593" i="19"/>
  <c r="E593" i="19" s="1"/>
  <c r="G593" i="19" s="1"/>
  <c r="D592" i="19"/>
  <c r="E592" i="19" s="1"/>
  <c r="G592" i="19" s="1"/>
  <c r="F592" i="19" s="1"/>
  <c r="D591" i="19"/>
  <c r="E591" i="19" s="1"/>
  <c r="G591" i="19" s="1"/>
  <c r="F591" i="19" s="1"/>
  <c r="D590" i="19"/>
  <c r="E590" i="19" s="1"/>
  <c r="G590" i="19" s="1"/>
  <c r="F590" i="19" s="1"/>
  <c r="D589" i="19"/>
  <c r="E589" i="19" s="1"/>
  <c r="G589" i="19" s="1"/>
  <c r="F589" i="19" s="1"/>
  <c r="D588" i="19"/>
  <c r="E588" i="19" s="1"/>
  <c r="G588" i="19" s="1"/>
  <c r="F588" i="19" s="1"/>
  <c r="D587" i="19"/>
  <c r="E587" i="19" s="1"/>
  <c r="G587" i="19" s="1"/>
  <c r="F587" i="19" s="1"/>
  <c r="D586" i="19"/>
  <c r="E586" i="19" s="1"/>
  <c r="G586" i="19" s="1"/>
  <c r="F586" i="19" s="1"/>
  <c r="D585" i="19"/>
  <c r="E585" i="19" s="1"/>
  <c r="G585" i="19" s="1"/>
  <c r="F585" i="19" s="1"/>
  <c r="D584" i="19"/>
  <c r="E584" i="19" s="1"/>
  <c r="G584" i="19" s="1"/>
  <c r="F584" i="19" s="1"/>
  <c r="D583" i="19"/>
  <c r="E583" i="19" s="1"/>
  <c r="G583" i="19" s="1"/>
  <c r="F583" i="19" s="1"/>
  <c r="D582" i="19"/>
  <c r="E582" i="19" s="1"/>
  <c r="G582" i="19" s="1"/>
  <c r="F582" i="19" s="1"/>
  <c r="D581" i="19"/>
  <c r="E581" i="19" s="1"/>
  <c r="G581" i="19" s="1"/>
  <c r="F581" i="19" s="1"/>
  <c r="D580" i="19"/>
  <c r="E580" i="19" s="1"/>
  <c r="G580" i="19" s="1"/>
  <c r="F580" i="19" s="1"/>
  <c r="D579" i="19"/>
  <c r="E579" i="19" s="1"/>
  <c r="G579" i="19" s="1"/>
  <c r="F579" i="19" s="1"/>
  <c r="D578" i="19"/>
  <c r="E578" i="19" s="1"/>
  <c r="G578" i="19" s="1"/>
  <c r="F578" i="19" s="1"/>
  <c r="D577" i="19"/>
  <c r="E577" i="19" s="1"/>
  <c r="G577" i="19" s="1"/>
  <c r="D576" i="19"/>
  <c r="E576" i="19" s="1"/>
  <c r="G576" i="19" s="1"/>
  <c r="F576" i="19" s="1"/>
  <c r="D575" i="19"/>
  <c r="E575" i="19" s="1"/>
  <c r="G575" i="19" s="1"/>
  <c r="F575" i="19" s="1"/>
  <c r="D574" i="19"/>
  <c r="E574" i="19" s="1"/>
  <c r="G574" i="19" s="1"/>
  <c r="F574" i="19" s="1"/>
  <c r="D573" i="19"/>
  <c r="E573" i="19" s="1"/>
  <c r="G573" i="19" s="1"/>
  <c r="F573" i="19" s="1"/>
  <c r="D572" i="19"/>
  <c r="E572" i="19" s="1"/>
  <c r="G572" i="19" s="1"/>
  <c r="F572" i="19" s="1"/>
  <c r="D571" i="19"/>
  <c r="E571" i="19" s="1"/>
  <c r="G571" i="19" s="1"/>
  <c r="F571" i="19" s="1"/>
  <c r="D570" i="19"/>
  <c r="E570" i="19" s="1"/>
  <c r="G570" i="19" s="1"/>
  <c r="F570" i="19" s="1"/>
  <c r="D569" i="19"/>
  <c r="E569" i="19" s="1"/>
  <c r="G569" i="19" s="1"/>
  <c r="F569" i="19" s="1"/>
  <c r="D568" i="19"/>
  <c r="E568" i="19" s="1"/>
  <c r="G568" i="19" s="1"/>
  <c r="F568" i="19" s="1"/>
  <c r="D567" i="19"/>
  <c r="E567" i="19" s="1"/>
  <c r="G567" i="19" s="1"/>
  <c r="F567" i="19" s="1"/>
  <c r="D566" i="19"/>
  <c r="E566" i="19" s="1"/>
  <c r="G566" i="19" s="1"/>
  <c r="F566" i="19" s="1"/>
  <c r="D565" i="19"/>
  <c r="E565" i="19" s="1"/>
  <c r="G565" i="19" s="1"/>
  <c r="F565" i="19" s="1"/>
  <c r="D564" i="19"/>
  <c r="E564" i="19" s="1"/>
  <c r="G564" i="19" s="1"/>
  <c r="F564" i="19" s="1"/>
  <c r="D563" i="19"/>
  <c r="E563" i="19" s="1"/>
  <c r="G563" i="19" s="1"/>
  <c r="F563" i="19" s="1"/>
  <c r="D562" i="19"/>
  <c r="E562" i="19" s="1"/>
  <c r="G562" i="19" s="1"/>
  <c r="F562" i="19" s="1"/>
  <c r="D561" i="19"/>
  <c r="E561" i="19" s="1"/>
  <c r="G561" i="19" s="1"/>
  <c r="D560" i="19"/>
  <c r="E560" i="19" s="1"/>
  <c r="G560" i="19" s="1"/>
  <c r="F560" i="19" s="1"/>
  <c r="D559" i="19"/>
  <c r="E559" i="19" s="1"/>
  <c r="G559" i="19" s="1"/>
  <c r="F559" i="19" s="1"/>
  <c r="D558" i="19"/>
  <c r="E558" i="19" s="1"/>
  <c r="G558" i="19" s="1"/>
  <c r="F558" i="19" s="1"/>
  <c r="D557" i="19"/>
  <c r="E557" i="19" s="1"/>
  <c r="G557" i="19" s="1"/>
  <c r="F557" i="19" s="1"/>
  <c r="D556" i="19"/>
  <c r="E556" i="19" s="1"/>
  <c r="G556" i="19" s="1"/>
  <c r="F556" i="19" s="1"/>
  <c r="D555" i="19"/>
  <c r="E555" i="19" s="1"/>
  <c r="G555" i="19" s="1"/>
  <c r="F555" i="19" s="1"/>
  <c r="D554" i="19"/>
  <c r="E554" i="19" s="1"/>
  <c r="G554" i="19" s="1"/>
  <c r="F554" i="19" s="1"/>
  <c r="D553" i="19"/>
  <c r="E553" i="19" s="1"/>
  <c r="G553" i="19" s="1"/>
  <c r="F553" i="19" s="1"/>
  <c r="D552" i="19"/>
  <c r="E552" i="19" s="1"/>
  <c r="G552" i="19" s="1"/>
  <c r="F552" i="19" s="1"/>
  <c r="D551" i="19"/>
  <c r="E551" i="19" s="1"/>
  <c r="G551" i="19" s="1"/>
  <c r="F551" i="19" s="1"/>
  <c r="D550" i="19"/>
  <c r="E550" i="19" s="1"/>
  <c r="G550" i="19" s="1"/>
  <c r="F550" i="19" s="1"/>
  <c r="D549" i="19"/>
  <c r="E549" i="19" s="1"/>
  <c r="G549" i="19" s="1"/>
  <c r="F549" i="19" s="1"/>
  <c r="D548" i="19"/>
  <c r="E548" i="19" s="1"/>
  <c r="G548" i="19" s="1"/>
  <c r="F548" i="19" s="1"/>
  <c r="D547" i="19"/>
  <c r="E547" i="19" s="1"/>
  <c r="G547" i="19" s="1"/>
  <c r="F547" i="19" s="1"/>
  <c r="D546" i="19"/>
  <c r="E546" i="19" s="1"/>
  <c r="G546" i="19" s="1"/>
  <c r="F546" i="19" s="1"/>
  <c r="D545" i="19"/>
  <c r="E545" i="19" s="1"/>
  <c r="G545" i="19" s="1"/>
  <c r="D544" i="19"/>
  <c r="E544" i="19" s="1"/>
  <c r="G544" i="19" s="1"/>
  <c r="F544" i="19" s="1"/>
  <c r="D543" i="19"/>
  <c r="E543" i="19" s="1"/>
  <c r="G543" i="19" s="1"/>
  <c r="F543" i="19" s="1"/>
  <c r="D542" i="19"/>
  <c r="E542" i="19" s="1"/>
  <c r="G542" i="19" s="1"/>
  <c r="F542" i="19" s="1"/>
  <c r="D541" i="19"/>
  <c r="E541" i="19" s="1"/>
  <c r="G541" i="19" s="1"/>
  <c r="F541" i="19" s="1"/>
  <c r="D540" i="19"/>
  <c r="E540" i="19" s="1"/>
  <c r="G540" i="19" s="1"/>
  <c r="F540" i="19" s="1"/>
  <c r="D539" i="19"/>
  <c r="E539" i="19" s="1"/>
  <c r="G539" i="19" s="1"/>
  <c r="F539" i="19" s="1"/>
  <c r="D538" i="19"/>
  <c r="E538" i="19" s="1"/>
  <c r="G538" i="19" s="1"/>
  <c r="F538" i="19" s="1"/>
  <c r="D537" i="19"/>
  <c r="E537" i="19" s="1"/>
  <c r="G537" i="19" s="1"/>
  <c r="F537" i="19" s="1"/>
  <c r="D536" i="19"/>
  <c r="E536" i="19" s="1"/>
  <c r="G536" i="19" s="1"/>
  <c r="F536" i="19" s="1"/>
  <c r="D535" i="19"/>
  <c r="E535" i="19" s="1"/>
  <c r="G535" i="19" s="1"/>
  <c r="F535" i="19" s="1"/>
  <c r="D534" i="19"/>
  <c r="E534" i="19" s="1"/>
  <c r="G534" i="19" s="1"/>
  <c r="F534" i="19" s="1"/>
  <c r="D533" i="19"/>
  <c r="E533" i="19" s="1"/>
  <c r="G533" i="19" s="1"/>
  <c r="F533" i="19" s="1"/>
  <c r="D532" i="19"/>
  <c r="E532" i="19" s="1"/>
  <c r="G532" i="19" s="1"/>
  <c r="F532" i="19" s="1"/>
  <c r="D531" i="19"/>
  <c r="E531" i="19" s="1"/>
  <c r="G531" i="19" s="1"/>
  <c r="F531" i="19" s="1"/>
  <c r="D530" i="19"/>
  <c r="E530" i="19" s="1"/>
  <c r="G530" i="19" s="1"/>
  <c r="F530" i="19" s="1"/>
  <c r="D529" i="19"/>
  <c r="E529" i="19" s="1"/>
  <c r="G529" i="19" s="1"/>
  <c r="D528" i="19"/>
  <c r="E528" i="19" s="1"/>
  <c r="G528" i="19" s="1"/>
  <c r="F528" i="19" s="1"/>
  <c r="D527" i="19"/>
  <c r="E527" i="19" s="1"/>
  <c r="G527" i="19" s="1"/>
  <c r="F527" i="19" s="1"/>
  <c r="D526" i="19"/>
  <c r="E526" i="19" s="1"/>
  <c r="G526" i="19" s="1"/>
  <c r="F526" i="19" s="1"/>
  <c r="D525" i="19"/>
  <c r="E525" i="19" s="1"/>
  <c r="G525" i="19" s="1"/>
  <c r="F525" i="19" s="1"/>
  <c r="D524" i="19"/>
  <c r="E524" i="19" s="1"/>
  <c r="G524" i="19" s="1"/>
  <c r="F524" i="19" s="1"/>
  <c r="D523" i="19"/>
  <c r="E523" i="19" s="1"/>
  <c r="G523" i="19" s="1"/>
  <c r="F523" i="19" s="1"/>
  <c r="D522" i="19"/>
  <c r="E522" i="19" s="1"/>
  <c r="G522" i="19" s="1"/>
  <c r="F522" i="19" s="1"/>
  <c r="D521" i="19"/>
  <c r="E521" i="19" s="1"/>
  <c r="G521" i="19" s="1"/>
  <c r="F521" i="19" s="1"/>
  <c r="D520" i="19"/>
  <c r="E520" i="19" s="1"/>
  <c r="G520" i="19" s="1"/>
  <c r="F520" i="19" s="1"/>
  <c r="D519" i="19"/>
  <c r="E519" i="19" s="1"/>
  <c r="G519" i="19" s="1"/>
  <c r="F519" i="19" s="1"/>
  <c r="D518" i="19"/>
  <c r="E518" i="19" s="1"/>
  <c r="G518" i="19" s="1"/>
  <c r="F518" i="19" s="1"/>
  <c r="D517" i="19"/>
  <c r="E517" i="19" s="1"/>
  <c r="G517" i="19" s="1"/>
  <c r="F517" i="19" s="1"/>
  <c r="D516" i="19"/>
  <c r="E516" i="19" s="1"/>
  <c r="G516" i="19" s="1"/>
  <c r="F516" i="19" s="1"/>
  <c r="D515" i="19"/>
  <c r="E515" i="19" s="1"/>
  <c r="G515" i="19" s="1"/>
  <c r="F515" i="19" s="1"/>
  <c r="D514" i="19"/>
  <c r="E514" i="19" s="1"/>
  <c r="G514" i="19" s="1"/>
  <c r="F514" i="19" s="1"/>
  <c r="D513" i="19"/>
  <c r="E513" i="19" s="1"/>
  <c r="G513" i="19" s="1"/>
  <c r="D512" i="19"/>
  <c r="E512" i="19" s="1"/>
  <c r="G512" i="19" s="1"/>
  <c r="F512" i="19" s="1"/>
  <c r="D511" i="19"/>
  <c r="E511" i="19" s="1"/>
  <c r="G511" i="19" s="1"/>
  <c r="F511" i="19" s="1"/>
  <c r="D510" i="19"/>
  <c r="E510" i="19" s="1"/>
  <c r="G510" i="19" s="1"/>
  <c r="F510" i="19" s="1"/>
  <c r="D509" i="19"/>
  <c r="E509" i="19" s="1"/>
  <c r="G509" i="19" s="1"/>
  <c r="F509" i="19" s="1"/>
  <c r="D508" i="19"/>
  <c r="E508" i="19" s="1"/>
  <c r="G508" i="19" s="1"/>
  <c r="F508" i="19" s="1"/>
  <c r="D507" i="19"/>
  <c r="E507" i="19" s="1"/>
  <c r="G507" i="19" s="1"/>
  <c r="F507" i="19" s="1"/>
  <c r="D506" i="19"/>
  <c r="E506" i="19" s="1"/>
  <c r="G506" i="19" s="1"/>
  <c r="F506" i="19" s="1"/>
  <c r="D505" i="19"/>
  <c r="E505" i="19" s="1"/>
  <c r="G505" i="19" s="1"/>
  <c r="F505" i="19" s="1"/>
  <c r="D504" i="19"/>
  <c r="E504" i="19" s="1"/>
  <c r="G504" i="19" s="1"/>
  <c r="F504" i="19" s="1"/>
  <c r="D503" i="19"/>
  <c r="E503" i="19" s="1"/>
  <c r="G503" i="19" s="1"/>
  <c r="F503" i="19" s="1"/>
  <c r="D502" i="19"/>
  <c r="E502" i="19" s="1"/>
  <c r="G502" i="19" s="1"/>
  <c r="F502" i="19" s="1"/>
  <c r="D501" i="19"/>
  <c r="E501" i="19" s="1"/>
  <c r="G501" i="19" s="1"/>
  <c r="F501" i="19" s="1"/>
  <c r="D500" i="19"/>
  <c r="E500" i="19" s="1"/>
  <c r="G500" i="19" s="1"/>
  <c r="F500" i="19" s="1"/>
  <c r="D499" i="19"/>
  <c r="E499" i="19" s="1"/>
  <c r="G499" i="19" s="1"/>
  <c r="F499" i="19" s="1"/>
  <c r="D498" i="19"/>
  <c r="E498" i="19" s="1"/>
  <c r="G498" i="19" s="1"/>
  <c r="F498" i="19" s="1"/>
  <c r="D497" i="19"/>
  <c r="E497" i="19" s="1"/>
  <c r="G497" i="19" s="1"/>
  <c r="D496" i="19"/>
  <c r="E496" i="19" s="1"/>
  <c r="G496" i="19" s="1"/>
  <c r="F496" i="19" s="1"/>
  <c r="D495" i="19"/>
  <c r="E495" i="19" s="1"/>
  <c r="G495" i="19" s="1"/>
  <c r="F495" i="19" s="1"/>
  <c r="D494" i="19"/>
  <c r="E494" i="19" s="1"/>
  <c r="G494" i="19" s="1"/>
  <c r="F494" i="19" s="1"/>
  <c r="D493" i="19"/>
  <c r="E493" i="19" s="1"/>
  <c r="G493" i="19" s="1"/>
  <c r="F493" i="19" s="1"/>
  <c r="D492" i="19"/>
  <c r="E492" i="19" s="1"/>
  <c r="G492" i="19" s="1"/>
  <c r="F492" i="19" s="1"/>
  <c r="D491" i="19"/>
  <c r="E491" i="19" s="1"/>
  <c r="G491" i="19" s="1"/>
  <c r="F491" i="19" s="1"/>
  <c r="D490" i="19"/>
  <c r="E490" i="19" s="1"/>
  <c r="G490" i="19" s="1"/>
  <c r="F490" i="19" s="1"/>
  <c r="D489" i="19"/>
  <c r="E489" i="19" s="1"/>
  <c r="G489" i="19" s="1"/>
  <c r="F489" i="19" s="1"/>
  <c r="D488" i="19"/>
  <c r="E488" i="19" s="1"/>
  <c r="G488" i="19" s="1"/>
  <c r="F488" i="19" s="1"/>
  <c r="D487" i="19"/>
  <c r="E487" i="19" s="1"/>
  <c r="G487" i="19" s="1"/>
  <c r="F487" i="19" s="1"/>
  <c r="D486" i="19"/>
  <c r="E486" i="19" s="1"/>
  <c r="G486" i="19" s="1"/>
  <c r="F486" i="19" s="1"/>
  <c r="D485" i="19"/>
  <c r="E485" i="19" s="1"/>
  <c r="G485" i="19" s="1"/>
  <c r="F485" i="19" s="1"/>
  <c r="D484" i="19"/>
  <c r="E484" i="19" s="1"/>
  <c r="G484" i="19" s="1"/>
  <c r="F484" i="19" s="1"/>
  <c r="D483" i="19"/>
  <c r="E483" i="19" s="1"/>
  <c r="G483" i="19" s="1"/>
  <c r="F483" i="19" s="1"/>
  <c r="D482" i="19"/>
  <c r="E482" i="19" s="1"/>
  <c r="G482" i="19" s="1"/>
  <c r="F482" i="19" s="1"/>
  <c r="D481" i="19"/>
  <c r="E481" i="19" s="1"/>
  <c r="G481" i="19" s="1"/>
  <c r="D480" i="19"/>
  <c r="E480" i="19" s="1"/>
  <c r="G480" i="19" s="1"/>
  <c r="F480" i="19" s="1"/>
  <c r="D479" i="19"/>
  <c r="E479" i="19" s="1"/>
  <c r="G479" i="19" s="1"/>
  <c r="F479" i="19" s="1"/>
  <c r="D478" i="19"/>
  <c r="E478" i="19" s="1"/>
  <c r="G478" i="19" s="1"/>
  <c r="F478" i="19" s="1"/>
  <c r="D477" i="19"/>
  <c r="E477" i="19" s="1"/>
  <c r="G477" i="19" s="1"/>
  <c r="F477" i="19" s="1"/>
  <c r="D476" i="19"/>
  <c r="E476" i="19" s="1"/>
  <c r="G476" i="19" s="1"/>
  <c r="F476" i="19" s="1"/>
  <c r="D475" i="19"/>
  <c r="E475" i="19" s="1"/>
  <c r="G475" i="19" s="1"/>
  <c r="F475" i="19" s="1"/>
  <c r="D474" i="19"/>
  <c r="E474" i="19" s="1"/>
  <c r="G474" i="19" s="1"/>
  <c r="F474" i="19" s="1"/>
  <c r="D473" i="19"/>
  <c r="E473" i="19" s="1"/>
  <c r="G473" i="19" s="1"/>
  <c r="F473" i="19" s="1"/>
  <c r="D472" i="19"/>
  <c r="E472" i="19" s="1"/>
  <c r="G472" i="19" s="1"/>
  <c r="F472" i="19" s="1"/>
  <c r="D471" i="19"/>
  <c r="E471" i="19" s="1"/>
  <c r="G471" i="19" s="1"/>
  <c r="F471" i="19" s="1"/>
  <c r="D470" i="19"/>
  <c r="E470" i="19" s="1"/>
  <c r="G470" i="19" s="1"/>
  <c r="F470" i="19" s="1"/>
  <c r="D469" i="19"/>
  <c r="E469" i="19" s="1"/>
  <c r="G469" i="19" s="1"/>
  <c r="F469" i="19" s="1"/>
  <c r="D468" i="19"/>
  <c r="E468" i="19" s="1"/>
  <c r="G468" i="19" s="1"/>
  <c r="F468" i="19" s="1"/>
  <c r="D467" i="19"/>
  <c r="E467" i="19" s="1"/>
  <c r="G467" i="19" s="1"/>
  <c r="F467" i="19" s="1"/>
  <c r="D466" i="19"/>
  <c r="E466" i="19" s="1"/>
  <c r="G466" i="19" s="1"/>
  <c r="F466" i="19" s="1"/>
  <c r="D465" i="19"/>
  <c r="E465" i="19" s="1"/>
  <c r="G465" i="19" s="1"/>
  <c r="D464" i="19"/>
  <c r="E464" i="19" s="1"/>
  <c r="G464" i="19" s="1"/>
  <c r="F464" i="19" s="1"/>
  <c r="D463" i="19"/>
  <c r="E463" i="19" s="1"/>
  <c r="G463" i="19" s="1"/>
  <c r="F463" i="19" s="1"/>
  <c r="D462" i="19"/>
  <c r="E462" i="19" s="1"/>
  <c r="G462" i="19" s="1"/>
  <c r="F462" i="19" s="1"/>
  <c r="D461" i="19"/>
  <c r="E461" i="19" s="1"/>
  <c r="G461" i="19" s="1"/>
  <c r="F461" i="19" s="1"/>
  <c r="D460" i="19"/>
  <c r="E460" i="19" s="1"/>
  <c r="G460" i="19" s="1"/>
  <c r="F460" i="19" s="1"/>
  <c r="D459" i="19"/>
  <c r="E459" i="19" s="1"/>
  <c r="G459" i="19" s="1"/>
  <c r="F459" i="19" s="1"/>
  <c r="D458" i="19"/>
  <c r="E458" i="19" s="1"/>
  <c r="G458" i="19" s="1"/>
  <c r="F458" i="19" s="1"/>
  <c r="D457" i="19"/>
  <c r="E457" i="19" s="1"/>
  <c r="G457" i="19" s="1"/>
  <c r="F457" i="19" s="1"/>
  <c r="D456" i="19"/>
  <c r="E456" i="19" s="1"/>
  <c r="G456" i="19" s="1"/>
  <c r="F456" i="19" s="1"/>
  <c r="D455" i="19"/>
  <c r="E455" i="19" s="1"/>
  <c r="G455" i="19" s="1"/>
  <c r="F455" i="19" s="1"/>
  <c r="D454" i="19"/>
  <c r="E454" i="19" s="1"/>
  <c r="G454" i="19" s="1"/>
  <c r="F454" i="19" s="1"/>
  <c r="D453" i="19"/>
  <c r="E453" i="19" s="1"/>
  <c r="G453" i="19" s="1"/>
  <c r="F453" i="19" s="1"/>
  <c r="D452" i="19"/>
  <c r="E452" i="19" s="1"/>
  <c r="G452" i="19" s="1"/>
  <c r="F452" i="19" s="1"/>
  <c r="D451" i="19"/>
  <c r="E451" i="19" s="1"/>
  <c r="G451" i="19" s="1"/>
  <c r="F451" i="19" s="1"/>
  <c r="D450" i="19"/>
  <c r="E450" i="19" s="1"/>
  <c r="G450" i="19" s="1"/>
  <c r="F450" i="19" s="1"/>
  <c r="D449" i="19"/>
  <c r="E449" i="19" s="1"/>
  <c r="G449" i="19" s="1"/>
  <c r="D448" i="19"/>
  <c r="E448" i="19" s="1"/>
  <c r="G448" i="19" s="1"/>
  <c r="F448" i="19" s="1"/>
  <c r="D447" i="19"/>
  <c r="E447" i="19" s="1"/>
  <c r="G447" i="19" s="1"/>
  <c r="F447" i="19" s="1"/>
  <c r="D446" i="19"/>
  <c r="E446" i="19" s="1"/>
  <c r="G446" i="19" s="1"/>
  <c r="F446" i="19" s="1"/>
  <c r="D445" i="19"/>
  <c r="E445" i="19" s="1"/>
  <c r="G445" i="19" s="1"/>
  <c r="F445" i="19" s="1"/>
  <c r="D444" i="19"/>
  <c r="E444" i="19" s="1"/>
  <c r="G444" i="19" s="1"/>
  <c r="F444" i="19" s="1"/>
  <c r="D443" i="19"/>
  <c r="E443" i="19" s="1"/>
  <c r="G443" i="19" s="1"/>
  <c r="F443" i="19" s="1"/>
  <c r="D442" i="19"/>
  <c r="E442" i="19" s="1"/>
  <c r="G442" i="19" s="1"/>
  <c r="F442" i="19" s="1"/>
  <c r="D441" i="19"/>
  <c r="E441" i="19" s="1"/>
  <c r="G441" i="19" s="1"/>
  <c r="F441" i="19" s="1"/>
  <c r="D440" i="19"/>
  <c r="E440" i="19" s="1"/>
  <c r="G440" i="19" s="1"/>
  <c r="F440" i="19" s="1"/>
  <c r="D439" i="19"/>
  <c r="E439" i="19" s="1"/>
  <c r="G439" i="19" s="1"/>
  <c r="F439" i="19" s="1"/>
  <c r="D438" i="19"/>
  <c r="E438" i="19" s="1"/>
  <c r="G438" i="19" s="1"/>
  <c r="F438" i="19" s="1"/>
  <c r="D437" i="19"/>
  <c r="E437" i="19" s="1"/>
  <c r="G437" i="19" s="1"/>
  <c r="F437" i="19" s="1"/>
  <c r="D436" i="19"/>
  <c r="E436" i="19" s="1"/>
  <c r="G436" i="19" s="1"/>
  <c r="F436" i="19" s="1"/>
  <c r="D435" i="19"/>
  <c r="E435" i="19" s="1"/>
  <c r="G435" i="19" s="1"/>
  <c r="F435" i="19" s="1"/>
  <c r="D434" i="19"/>
  <c r="E434" i="19" s="1"/>
  <c r="G434" i="19" s="1"/>
  <c r="F434" i="19" s="1"/>
  <c r="D433" i="19"/>
  <c r="E433" i="19" s="1"/>
  <c r="G433" i="19" s="1"/>
  <c r="D432" i="19"/>
  <c r="E432" i="19" s="1"/>
  <c r="G432" i="19" s="1"/>
  <c r="F432" i="19" s="1"/>
  <c r="D431" i="19"/>
  <c r="E431" i="19" s="1"/>
  <c r="G431" i="19" s="1"/>
  <c r="F431" i="19" s="1"/>
  <c r="D430" i="19"/>
  <c r="E430" i="19" s="1"/>
  <c r="G430" i="19" s="1"/>
  <c r="F430" i="19" s="1"/>
  <c r="D429" i="19"/>
  <c r="E429" i="19" s="1"/>
  <c r="G429" i="19" s="1"/>
  <c r="F429" i="19" s="1"/>
  <c r="D428" i="19"/>
  <c r="E428" i="19" s="1"/>
  <c r="G428" i="19" s="1"/>
  <c r="F428" i="19" s="1"/>
  <c r="D427" i="19"/>
  <c r="E427" i="19" s="1"/>
  <c r="G427" i="19" s="1"/>
  <c r="F427" i="19" s="1"/>
  <c r="D426" i="19"/>
  <c r="E426" i="19" s="1"/>
  <c r="G426" i="19" s="1"/>
  <c r="F426" i="19" s="1"/>
  <c r="D425" i="19"/>
  <c r="E425" i="19" s="1"/>
  <c r="G425" i="19" s="1"/>
  <c r="F425" i="19" s="1"/>
  <c r="D424" i="19"/>
  <c r="E424" i="19" s="1"/>
  <c r="G424" i="19" s="1"/>
  <c r="F424" i="19" s="1"/>
  <c r="D423" i="19"/>
  <c r="E423" i="19" s="1"/>
  <c r="G423" i="19" s="1"/>
  <c r="F423" i="19" s="1"/>
  <c r="D422" i="19"/>
  <c r="E422" i="19" s="1"/>
  <c r="G422" i="19" s="1"/>
  <c r="F422" i="19" s="1"/>
  <c r="D421" i="19"/>
  <c r="E421" i="19" s="1"/>
  <c r="G421" i="19" s="1"/>
  <c r="F421" i="19" s="1"/>
  <c r="D420" i="19"/>
  <c r="E420" i="19" s="1"/>
  <c r="G420" i="19" s="1"/>
  <c r="F420" i="19" s="1"/>
  <c r="D419" i="19"/>
  <c r="E419" i="19" s="1"/>
  <c r="G419" i="19" s="1"/>
  <c r="F419" i="19" s="1"/>
  <c r="D418" i="19"/>
  <c r="E418" i="19" s="1"/>
  <c r="G418" i="19" s="1"/>
  <c r="F418" i="19" s="1"/>
  <c r="D417" i="19"/>
  <c r="E417" i="19" s="1"/>
  <c r="G417" i="19" s="1"/>
  <c r="D416" i="19"/>
  <c r="E416" i="19" s="1"/>
  <c r="G416" i="19" s="1"/>
  <c r="F416" i="19" s="1"/>
  <c r="D415" i="19"/>
  <c r="E415" i="19" s="1"/>
  <c r="G415" i="19" s="1"/>
  <c r="F415" i="19" s="1"/>
  <c r="D414" i="19"/>
  <c r="E414" i="19" s="1"/>
  <c r="G414" i="19" s="1"/>
  <c r="F414" i="19" s="1"/>
  <c r="D413" i="19"/>
  <c r="E413" i="19" s="1"/>
  <c r="G413" i="19" s="1"/>
  <c r="F413" i="19" s="1"/>
  <c r="D412" i="19"/>
  <c r="E412" i="19" s="1"/>
  <c r="G412" i="19" s="1"/>
  <c r="F412" i="19" s="1"/>
  <c r="D411" i="19"/>
  <c r="E411" i="19" s="1"/>
  <c r="G411" i="19" s="1"/>
  <c r="F411" i="19" s="1"/>
  <c r="D410" i="19"/>
  <c r="E410" i="19" s="1"/>
  <c r="G410" i="19" s="1"/>
  <c r="F410" i="19" s="1"/>
  <c r="D409" i="19"/>
  <c r="E409" i="19" s="1"/>
  <c r="G409" i="19" s="1"/>
  <c r="F409" i="19" s="1"/>
  <c r="D408" i="19"/>
  <c r="E408" i="19" s="1"/>
  <c r="G408" i="19" s="1"/>
  <c r="F408" i="19" s="1"/>
  <c r="D407" i="19"/>
  <c r="E407" i="19" s="1"/>
  <c r="G407" i="19" s="1"/>
  <c r="F407" i="19" s="1"/>
  <c r="D406" i="19"/>
  <c r="E406" i="19" s="1"/>
  <c r="G406" i="19" s="1"/>
  <c r="F406" i="19" s="1"/>
  <c r="D405" i="19"/>
  <c r="E405" i="19" s="1"/>
  <c r="G405" i="19" s="1"/>
  <c r="F405" i="19" s="1"/>
  <c r="D404" i="19"/>
  <c r="E404" i="19" s="1"/>
  <c r="G404" i="19" s="1"/>
  <c r="F404" i="19" s="1"/>
  <c r="D403" i="19"/>
  <c r="E403" i="19" s="1"/>
  <c r="G403" i="19" s="1"/>
  <c r="F403" i="19" s="1"/>
  <c r="D402" i="19"/>
  <c r="E402" i="19" s="1"/>
  <c r="G402" i="19" s="1"/>
  <c r="F402" i="19" s="1"/>
  <c r="D401" i="19"/>
  <c r="E401" i="19" s="1"/>
  <c r="G401" i="19" s="1"/>
  <c r="D400" i="19"/>
  <c r="E400" i="19" s="1"/>
  <c r="G400" i="19" s="1"/>
  <c r="F400" i="19" s="1"/>
  <c r="D399" i="19"/>
  <c r="E399" i="19" s="1"/>
  <c r="G399" i="19" s="1"/>
  <c r="F399" i="19" s="1"/>
  <c r="D398" i="19"/>
  <c r="E398" i="19" s="1"/>
  <c r="G398" i="19" s="1"/>
  <c r="F398" i="19" s="1"/>
  <c r="D397" i="19"/>
  <c r="E397" i="19" s="1"/>
  <c r="G397" i="19" s="1"/>
  <c r="F397" i="19" s="1"/>
  <c r="D396" i="19"/>
  <c r="E396" i="19" s="1"/>
  <c r="G396" i="19" s="1"/>
  <c r="F396" i="19" s="1"/>
  <c r="D395" i="19"/>
  <c r="E395" i="19" s="1"/>
  <c r="G395" i="19" s="1"/>
  <c r="F395" i="19" s="1"/>
  <c r="D394" i="19"/>
  <c r="E394" i="19" s="1"/>
  <c r="G394" i="19" s="1"/>
  <c r="F394" i="19" s="1"/>
  <c r="D393" i="19"/>
  <c r="E393" i="19" s="1"/>
  <c r="G393" i="19" s="1"/>
  <c r="F393" i="19" s="1"/>
  <c r="D392" i="19"/>
  <c r="E392" i="19" s="1"/>
  <c r="G392" i="19" s="1"/>
  <c r="F392" i="19" s="1"/>
  <c r="D391" i="19"/>
  <c r="E391" i="19" s="1"/>
  <c r="G391" i="19" s="1"/>
  <c r="F391" i="19" s="1"/>
  <c r="D390" i="19"/>
  <c r="E390" i="19" s="1"/>
  <c r="G390" i="19" s="1"/>
  <c r="F390" i="19" s="1"/>
  <c r="D389" i="19"/>
  <c r="E389" i="19" s="1"/>
  <c r="G389" i="19" s="1"/>
  <c r="F389" i="19" s="1"/>
  <c r="D388" i="19"/>
  <c r="E388" i="19" s="1"/>
  <c r="G388" i="19" s="1"/>
  <c r="F388" i="19" s="1"/>
  <c r="D387" i="19"/>
  <c r="E387" i="19" s="1"/>
  <c r="G387" i="19" s="1"/>
  <c r="F387" i="19" s="1"/>
  <c r="D386" i="19"/>
  <c r="E386" i="19" s="1"/>
  <c r="G386" i="19" s="1"/>
  <c r="F386" i="19" s="1"/>
  <c r="D385" i="19"/>
  <c r="E385" i="19" s="1"/>
  <c r="G385" i="19" s="1"/>
  <c r="D384" i="19"/>
  <c r="E384" i="19" s="1"/>
  <c r="G384" i="19" s="1"/>
  <c r="F384" i="19" s="1"/>
  <c r="D383" i="19"/>
  <c r="E383" i="19" s="1"/>
  <c r="G383" i="19" s="1"/>
  <c r="F383" i="19" s="1"/>
  <c r="D382" i="19"/>
  <c r="E382" i="19" s="1"/>
  <c r="G382" i="19" s="1"/>
  <c r="F382" i="19" s="1"/>
  <c r="D381" i="19"/>
  <c r="E381" i="19" s="1"/>
  <c r="G381" i="19" s="1"/>
  <c r="F381" i="19" s="1"/>
  <c r="D380" i="19"/>
  <c r="E380" i="19" s="1"/>
  <c r="G380" i="19" s="1"/>
  <c r="F380" i="19" s="1"/>
  <c r="D379" i="19"/>
  <c r="E379" i="19" s="1"/>
  <c r="G379" i="19" s="1"/>
  <c r="F379" i="19" s="1"/>
  <c r="D378" i="19"/>
  <c r="E378" i="19" s="1"/>
  <c r="G378" i="19" s="1"/>
  <c r="F378" i="19" s="1"/>
  <c r="D377" i="19"/>
  <c r="E377" i="19" s="1"/>
  <c r="G377" i="19" s="1"/>
  <c r="F377" i="19" s="1"/>
  <c r="D376" i="19"/>
  <c r="E376" i="19" s="1"/>
  <c r="G376" i="19" s="1"/>
  <c r="F376" i="19" s="1"/>
  <c r="D375" i="19"/>
  <c r="E375" i="19" s="1"/>
  <c r="G375" i="19" s="1"/>
  <c r="F375" i="19" s="1"/>
  <c r="D374" i="19"/>
  <c r="E374" i="19" s="1"/>
  <c r="G374" i="19" s="1"/>
  <c r="F374" i="19" s="1"/>
  <c r="D373" i="19"/>
  <c r="E373" i="19" s="1"/>
  <c r="G373" i="19" s="1"/>
  <c r="F373" i="19" s="1"/>
  <c r="D372" i="19"/>
  <c r="E372" i="19" s="1"/>
  <c r="G372" i="19" s="1"/>
  <c r="F372" i="19" s="1"/>
  <c r="D371" i="19"/>
  <c r="E371" i="19" s="1"/>
  <c r="G371" i="19" s="1"/>
  <c r="F371" i="19" s="1"/>
  <c r="D370" i="19"/>
  <c r="E370" i="19" s="1"/>
  <c r="G370" i="19" s="1"/>
  <c r="F370" i="19" s="1"/>
  <c r="D369" i="19"/>
  <c r="E369" i="19" s="1"/>
  <c r="G369" i="19" s="1"/>
  <c r="D368" i="19"/>
  <c r="E368" i="19" s="1"/>
  <c r="G368" i="19" s="1"/>
  <c r="F368" i="19" s="1"/>
  <c r="D367" i="19"/>
  <c r="E367" i="19" s="1"/>
  <c r="G367" i="19" s="1"/>
  <c r="F367" i="19" s="1"/>
  <c r="D366" i="19"/>
  <c r="E366" i="19" s="1"/>
  <c r="G366" i="19" s="1"/>
  <c r="F366" i="19" s="1"/>
  <c r="D365" i="19"/>
  <c r="E365" i="19" s="1"/>
  <c r="G365" i="19" s="1"/>
  <c r="F365" i="19" s="1"/>
  <c r="D364" i="19"/>
  <c r="E364" i="19" s="1"/>
  <c r="G364" i="19" s="1"/>
  <c r="F364" i="19" s="1"/>
  <c r="D363" i="19"/>
  <c r="E363" i="19" s="1"/>
  <c r="G363" i="19" s="1"/>
  <c r="F363" i="19" s="1"/>
  <c r="D362" i="19"/>
  <c r="E362" i="19" s="1"/>
  <c r="G362" i="19" s="1"/>
  <c r="F362" i="19" s="1"/>
  <c r="D361" i="19"/>
  <c r="E361" i="19" s="1"/>
  <c r="G361" i="19" s="1"/>
  <c r="F361" i="19" s="1"/>
  <c r="D360" i="19"/>
  <c r="E360" i="19" s="1"/>
  <c r="G360" i="19" s="1"/>
  <c r="F360" i="19" s="1"/>
  <c r="D359" i="19"/>
  <c r="E359" i="19" s="1"/>
  <c r="G359" i="19" s="1"/>
  <c r="F359" i="19" s="1"/>
  <c r="D358" i="19"/>
  <c r="E358" i="19" s="1"/>
  <c r="G358" i="19" s="1"/>
  <c r="F358" i="19" s="1"/>
  <c r="D357" i="19"/>
  <c r="E357" i="19" s="1"/>
  <c r="G357" i="19" s="1"/>
  <c r="F357" i="19" s="1"/>
  <c r="D356" i="19"/>
  <c r="E356" i="19" s="1"/>
  <c r="G356" i="19" s="1"/>
  <c r="F356" i="19" s="1"/>
  <c r="D355" i="19"/>
  <c r="E355" i="19" s="1"/>
  <c r="G355" i="19" s="1"/>
  <c r="F355" i="19" s="1"/>
  <c r="D354" i="19"/>
  <c r="E354" i="19" s="1"/>
  <c r="G354" i="19" s="1"/>
  <c r="F354" i="19" s="1"/>
  <c r="D353" i="19"/>
  <c r="E353" i="19" s="1"/>
  <c r="G353" i="19" s="1"/>
  <c r="D352" i="19"/>
  <c r="E352" i="19" s="1"/>
  <c r="G352" i="19" s="1"/>
  <c r="F352" i="19" s="1"/>
  <c r="D351" i="19"/>
  <c r="E351" i="19" s="1"/>
  <c r="G351" i="19" s="1"/>
  <c r="F351" i="19" s="1"/>
  <c r="D350" i="19"/>
  <c r="E350" i="19" s="1"/>
  <c r="G350" i="19" s="1"/>
  <c r="F350" i="19" s="1"/>
  <c r="D349" i="19"/>
  <c r="E349" i="19" s="1"/>
  <c r="G349" i="19" s="1"/>
  <c r="F349" i="19" s="1"/>
  <c r="D348" i="19"/>
  <c r="E348" i="19" s="1"/>
  <c r="G348" i="19" s="1"/>
  <c r="F348" i="19" s="1"/>
  <c r="D347" i="19"/>
  <c r="E347" i="19" s="1"/>
  <c r="G347" i="19" s="1"/>
  <c r="F347" i="19" s="1"/>
  <c r="D346" i="19"/>
  <c r="E346" i="19" s="1"/>
  <c r="G346" i="19" s="1"/>
  <c r="F346" i="19" s="1"/>
  <c r="D345" i="19"/>
  <c r="E345" i="19" s="1"/>
  <c r="G345" i="19" s="1"/>
  <c r="F345" i="19" s="1"/>
  <c r="D344" i="19"/>
  <c r="E344" i="19" s="1"/>
  <c r="G344" i="19" s="1"/>
  <c r="F344" i="19" s="1"/>
  <c r="D343" i="19"/>
  <c r="E343" i="19" s="1"/>
  <c r="G343" i="19" s="1"/>
  <c r="F343" i="19" s="1"/>
  <c r="D342" i="19"/>
  <c r="E342" i="19" s="1"/>
  <c r="G342" i="19" s="1"/>
  <c r="F342" i="19" s="1"/>
  <c r="D341" i="19"/>
  <c r="E341" i="19" s="1"/>
  <c r="G341" i="19" s="1"/>
  <c r="F341" i="19" s="1"/>
  <c r="D340" i="19"/>
  <c r="E340" i="19" s="1"/>
  <c r="G340" i="19" s="1"/>
  <c r="F340" i="19" s="1"/>
  <c r="D339" i="19"/>
  <c r="E339" i="19" s="1"/>
  <c r="G339" i="19" s="1"/>
  <c r="F339" i="19" s="1"/>
  <c r="D338" i="19"/>
  <c r="E338" i="19" s="1"/>
  <c r="G338" i="19" s="1"/>
  <c r="F338" i="19" s="1"/>
  <c r="D337" i="19"/>
  <c r="E337" i="19" s="1"/>
  <c r="G337" i="19" s="1"/>
  <c r="D336" i="19"/>
  <c r="E336" i="19" s="1"/>
  <c r="G336" i="19" s="1"/>
  <c r="F336" i="19" s="1"/>
  <c r="D335" i="19"/>
  <c r="E335" i="19" s="1"/>
  <c r="G335" i="19" s="1"/>
  <c r="F335" i="19" s="1"/>
  <c r="D334" i="19"/>
  <c r="E334" i="19" s="1"/>
  <c r="G334" i="19" s="1"/>
  <c r="F334" i="19" s="1"/>
  <c r="D333" i="19"/>
  <c r="E333" i="19" s="1"/>
  <c r="G333" i="19" s="1"/>
  <c r="F333" i="19" s="1"/>
  <c r="D332" i="19"/>
  <c r="E332" i="19" s="1"/>
  <c r="G332" i="19" s="1"/>
  <c r="F332" i="19" s="1"/>
  <c r="D331" i="19"/>
  <c r="E331" i="19" s="1"/>
  <c r="G331" i="19" s="1"/>
  <c r="F331" i="19" s="1"/>
  <c r="D330" i="19"/>
  <c r="E330" i="19" s="1"/>
  <c r="G330" i="19" s="1"/>
  <c r="F330" i="19" s="1"/>
  <c r="D329" i="19"/>
  <c r="E329" i="19" s="1"/>
  <c r="G329" i="19" s="1"/>
  <c r="F329" i="19" s="1"/>
  <c r="D328" i="19"/>
  <c r="E328" i="19" s="1"/>
  <c r="G328" i="19" s="1"/>
  <c r="F328" i="19" s="1"/>
  <c r="D327" i="19"/>
  <c r="E327" i="19" s="1"/>
  <c r="G327" i="19" s="1"/>
  <c r="F327" i="19" s="1"/>
  <c r="D326" i="19"/>
  <c r="E326" i="19" s="1"/>
  <c r="G326" i="19" s="1"/>
  <c r="F326" i="19" s="1"/>
  <c r="D325" i="19"/>
  <c r="E325" i="19" s="1"/>
  <c r="G325" i="19" s="1"/>
  <c r="F325" i="19" s="1"/>
  <c r="D324" i="19"/>
  <c r="E324" i="19" s="1"/>
  <c r="G324" i="19" s="1"/>
  <c r="F324" i="19" s="1"/>
  <c r="D323" i="19"/>
  <c r="E323" i="19" s="1"/>
  <c r="G323" i="19" s="1"/>
  <c r="F323" i="19" s="1"/>
  <c r="D322" i="19"/>
  <c r="E322" i="19" s="1"/>
  <c r="G322" i="19" s="1"/>
  <c r="F322" i="19" s="1"/>
  <c r="D321" i="19"/>
  <c r="E321" i="19" s="1"/>
  <c r="G321" i="19" s="1"/>
  <c r="D320" i="19"/>
  <c r="E320" i="19" s="1"/>
  <c r="G320" i="19" s="1"/>
  <c r="F320" i="19" s="1"/>
  <c r="D319" i="19"/>
  <c r="E319" i="19" s="1"/>
  <c r="G319" i="19" s="1"/>
  <c r="F319" i="19" s="1"/>
  <c r="D318" i="19"/>
  <c r="E318" i="19" s="1"/>
  <c r="G318" i="19" s="1"/>
  <c r="F318" i="19" s="1"/>
  <c r="D317" i="19"/>
  <c r="E317" i="19" s="1"/>
  <c r="G317" i="19" s="1"/>
  <c r="F317" i="19" s="1"/>
  <c r="D316" i="19"/>
  <c r="E316" i="19" s="1"/>
  <c r="G316" i="19" s="1"/>
  <c r="F316" i="19" s="1"/>
  <c r="D315" i="19"/>
  <c r="E315" i="19" s="1"/>
  <c r="G315" i="19" s="1"/>
  <c r="F315" i="19" s="1"/>
  <c r="D314" i="19"/>
  <c r="E314" i="19" s="1"/>
  <c r="G314" i="19" s="1"/>
  <c r="F314" i="19" s="1"/>
  <c r="D313" i="19"/>
  <c r="E313" i="19" s="1"/>
  <c r="G313" i="19" s="1"/>
  <c r="F313" i="19" s="1"/>
  <c r="D312" i="19"/>
  <c r="E312" i="19" s="1"/>
  <c r="G312" i="19" s="1"/>
  <c r="F312" i="19" s="1"/>
  <c r="D311" i="19"/>
  <c r="E311" i="19" s="1"/>
  <c r="G311" i="19" s="1"/>
  <c r="F311" i="19" s="1"/>
  <c r="D310" i="19"/>
  <c r="E310" i="19" s="1"/>
  <c r="G310" i="19" s="1"/>
  <c r="F310" i="19" s="1"/>
  <c r="D309" i="19"/>
  <c r="E309" i="19" s="1"/>
  <c r="G309" i="19" s="1"/>
  <c r="F309" i="19" s="1"/>
  <c r="D308" i="19"/>
  <c r="E308" i="19" s="1"/>
  <c r="G308" i="19" s="1"/>
  <c r="F308" i="19" s="1"/>
  <c r="D307" i="19"/>
  <c r="E307" i="19" s="1"/>
  <c r="G307" i="19" s="1"/>
  <c r="F307" i="19" s="1"/>
  <c r="D306" i="19"/>
  <c r="E306" i="19" s="1"/>
  <c r="G306" i="19" s="1"/>
  <c r="F306" i="19" s="1"/>
  <c r="D305" i="19"/>
  <c r="E305" i="19" s="1"/>
  <c r="G305" i="19" s="1"/>
  <c r="D304" i="19"/>
  <c r="E304" i="19" s="1"/>
  <c r="G304" i="19" s="1"/>
  <c r="F304" i="19" s="1"/>
  <c r="D303" i="19"/>
  <c r="E303" i="19" s="1"/>
  <c r="G303" i="19" s="1"/>
  <c r="F303" i="19" s="1"/>
  <c r="D302" i="19"/>
  <c r="E302" i="19" s="1"/>
  <c r="G302" i="19" s="1"/>
  <c r="F302" i="19" s="1"/>
  <c r="D301" i="19"/>
  <c r="E301" i="19" s="1"/>
  <c r="G301" i="19" s="1"/>
  <c r="F301" i="19" s="1"/>
  <c r="D300" i="19"/>
  <c r="E300" i="19" s="1"/>
  <c r="G300" i="19" s="1"/>
  <c r="F300" i="19" s="1"/>
  <c r="D299" i="19"/>
  <c r="E299" i="19" s="1"/>
  <c r="G299" i="19" s="1"/>
  <c r="F299" i="19" s="1"/>
  <c r="D298" i="19"/>
  <c r="E298" i="19" s="1"/>
  <c r="G298" i="19" s="1"/>
  <c r="F298" i="19" s="1"/>
  <c r="D297" i="19"/>
  <c r="E297" i="19" s="1"/>
  <c r="G297" i="19" s="1"/>
  <c r="F297" i="19" s="1"/>
  <c r="D296" i="19"/>
  <c r="E296" i="19" s="1"/>
  <c r="G296" i="19" s="1"/>
  <c r="F296" i="19" s="1"/>
  <c r="D295" i="19"/>
  <c r="E295" i="19" s="1"/>
  <c r="G295" i="19" s="1"/>
  <c r="F295" i="19" s="1"/>
  <c r="D294" i="19"/>
  <c r="E294" i="19" s="1"/>
  <c r="G294" i="19" s="1"/>
  <c r="F294" i="19" s="1"/>
  <c r="D293" i="19"/>
  <c r="E293" i="19" s="1"/>
  <c r="G293" i="19" s="1"/>
  <c r="F293" i="19" s="1"/>
  <c r="D292" i="19"/>
  <c r="E292" i="19" s="1"/>
  <c r="G292" i="19" s="1"/>
  <c r="F292" i="19" s="1"/>
  <c r="D291" i="19"/>
  <c r="E291" i="19" s="1"/>
  <c r="G291" i="19" s="1"/>
  <c r="F291" i="19" s="1"/>
  <c r="D290" i="19"/>
  <c r="E290" i="19" s="1"/>
  <c r="G290" i="19" s="1"/>
  <c r="F290" i="19" s="1"/>
  <c r="D289" i="19"/>
  <c r="E289" i="19" s="1"/>
  <c r="G289" i="19" s="1"/>
  <c r="D288" i="19"/>
  <c r="E288" i="19" s="1"/>
  <c r="G288" i="19" s="1"/>
  <c r="F288" i="19" s="1"/>
  <c r="D287" i="19"/>
  <c r="E287" i="19" s="1"/>
  <c r="G287" i="19" s="1"/>
  <c r="F287" i="19" s="1"/>
  <c r="D286" i="19"/>
  <c r="E286" i="19" s="1"/>
  <c r="G286" i="19" s="1"/>
  <c r="F286" i="19" s="1"/>
  <c r="D285" i="19"/>
  <c r="E285" i="19" s="1"/>
  <c r="G285" i="19" s="1"/>
  <c r="F285" i="19" s="1"/>
  <c r="D284" i="19"/>
  <c r="E284" i="19" s="1"/>
  <c r="G284" i="19" s="1"/>
  <c r="F284" i="19" s="1"/>
  <c r="D283" i="19"/>
  <c r="E283" i="19" s="1"/>
  <c r="G283" i="19" s="1"/>
  <c r="F283" i="19" s="1"/>
  <c r="D282" i="19"/>
  <c r="E282" i="19" s="1"/>
  <c r="G282" i="19" s="1"/>
  <c r="F282" i="19" s="1"/>
  <c r="D281" i="19"/>
  <c r="E281" i="19" s="1"/>
  <c r="G281" i="19" s="1"/>
  <c r="F281" i="19" s="1"/>
  <c r="D280" i="19"/>
  <c r="E280" i="19" s="1"/>
  <c r="G280" i="19" s="1"/>
  <c r="F280" i="19" s="1"/>
  <c r="D279" i="19"/>
  <c r="E279" i="19" s="1"/>
  <c r="G279" i="19" s="1"/>
  <c r="F279" i="19" s="1"/>
  <c r="D278" i="19"/>
  <c r="E278" i="19" s="1"/>
  <c r="G278" i="19" s="1"/>
  <c r="F278" i="19" s="1"/>
  <c r="D277" i="19"/>
  <c r="E277" i="19" s="1"/>
  <c r="G277" i="19" s="1"/>
  <c r="F277" i="19" s="1"/>
  <c r="D276" i="19"/>
  <c r="E276" i="19" s="1"/>
  <c r="G276" i="19" s="1"/>
  <c r="F276" i="19" s="1"/>
  <c r="D275" i="19"/>
  <c r="E275" i="19" s="1"/>
  <c r="G275" i="19" s="1"/>
  <c r="F275" i="19" s="1"/>
  <c r="D274" i="19"/>
  <c r="E274" i="19" s="1"/>
  <c r="G274" i="19" s="1"/>
  <c r="F274" i="19" s="1"/>
  <c r="D273" i="19"/>
  <c r="E273" i="19" s="1"/>
  <c r="G273" i="19" s="1"/>
  <c r="D272" i="19"/>
  <c r="E272" i="19" s="1"/>
  <c r="G272" i="19" s="1"/>
  <c r="F272" i="19" s="1"/>
  <c r="D271" i="19"/>
  <c r="E271" i="19" s="1"/>
  <c r="G271" i="19" s="1"/>
  <c r="F271" i="19" s="1"/>
  <c r="D270" i="19"/>
  <c r="E270" i="19" s="1"/>
  <c r="G270" i="19" s="1"/>
  <c r="F270" i="19" s="1"/>
  <c r="D269" i="19"/>
  <c r="E269" i="19" s="1"/>
  <c r="G269" i="19" s="1"/>
  <c r="F269" i="19" s="1"/>
  <c r="D268" i="19"/>
  <c r="E268" i="19" s="1"/>
  <c r="G268" i="19" s="1"/>
  <c r="F268" i="19" s="1"/>
  <c r="D267" i="19"/>
  <c r="E267" i="19" s="1"/>
  <c r="G267" i="19" s="1"/>
  <c r="F267" i="19" s="1"/>
  <c r="D266" i="19"/>
  <c r="E266" i="19" s="1"/>
  <c r="G266" i="19" s="1"/>
  <c r="F266" i="19" s="1"/>
  <c r="D265" i="19"/>
  <c r="E265" i="19" s="1"/>
  <c r="G265" i="19" s="1"/>
  <c r="F265" i="19" s="1"/>
  <c r="D264" i="19"/>
  <c r="E264" i="19" s="1"/>
  <c r="G264" i="19" s="1"/>
  <c r="F264" i="19" s="1"/>
  <c r="D263" i="19"/>
  <c r="E263" i="19" s="1"/>
  <c r="G263" i="19" s="1"/>
  <c r="F263" i="19" s="1"/>
  <c r="D262" i="19"/>
  <c r="E262" i="19" s="1"/>
  <c r="G262" i="19" s="1"/>
  <c r="F262" i="19" s="1"/>
  <c r="D261" i="19"/>
  <c r="E261" i="19" s="1"/>
  <c r="G261" i="19" s="1"/>
  <c r="F261" i="19" s="1"/>
  <c r="D260" i="19"/>
  <c r="E260" i="19" s="1"/>
  <c r="G260" i="19" s="1"/>
  <c r="F260" i="19" s="1"/>
  <c r="D259" i="19"/>
  <c r="E259" i="19" s="1"/>
  <c r="G259" i="19" s="1"/>
  <c r="F259" i="19" s="1"/>
  <c r="D258" i="19"/>
  <c r="E258" i="19" s="1"/>
  <c r="G258" i="19" s="1"/>
  <c r="F258" i="19" s="1"/>
  <c r="D257" i="19"/>
  <c r="E257" i="19" s="1"/>
  <c r="G257" i="19" s="1"/>
  <c r="D256" i="19"/>
  <c r="E256" i="19" s="1"/>
  <c r="G256" i="19" s="1"/>
  <c r="F256" i="19" s="1"/>
  <c r="D255" i="19"/>
  <c r="E255" i="19" s="1"/>
  <c r="G255" i="19" s="1"/>
  <c r="F255" i="19" s="1"/>
  <c r="D254" i="19"/>
  <c r="E254" i="19" s="1"/>
  <c r="G254" i="19" s="1"/>
  <c r="F254" i="19" s="1"/>
  <c r="D253" i="19"/>
  <c r="E253" i="19" s="1"/>
  <c r="G253" i="19" s="1"/>
  <c r="F253" i="19" s="1"/>
  <c r="D252" i="19"/>
  <c r="E252" i="19" s="1"/>
  <c r="G252" i="19" s="1"/>
  <c r="F252" i="19" s="1"/>
  <c r="D251" i="19"/>
  <c r="E251" i="19" s="1"/>
  <c r="G251" i="19" s="1"/>
  <c r="F251" i="19" s="1"/>
  <c r="D250" i="19"/>
  <c r="E250" i="19" s="1"/>
  <c r="G250" i="19" s="1"/>
  <c r="F250" i="19" s="1"/>
  <c r="D249" i="19"/>
  <c r="E249" i="19" s="1"/>
  <c r="G249" i="19" s="1"/>
  <c r="F249" i="19" s="1"/>
  <c r="D248" i="19"/>
  <c r="E248" i="19" s="1"/>
  <c r="G248" i="19" s="1"/>
  <c r="F248" i="19" s="1"/>
  <c r="D247" i="19"/>
  <c r="E247" i="19" s="1"/>
  <c r="G247" i="19" s="1"/>
  <c r="F247" i="19" s="1"/>
  <c r="D246" i="19"/>
  <c r="E246" i="19" s="1"/>
  <c r="G246" i="19" s="1"/>
  <c r="F246" i="19" s="1"/>
  <c r="D245" i="19"/>
  <c r="E245" i="19" s="1"/>
  <c r="G245" i="19" s="1"/>
  <c r="F245" i="19" s="1"/>
  <c r="D244" i="19"/>
  <c r="E244" i="19" s="1"/>
  <c r="G244" i="19" s="1"/>
  <c r="F244" i="19" s="1"/>
  <c r="D243" i="19"/>
  <c r="E243" i="19" s="1"/>
  <c r="G243" i="19" s="1"/>
  <c r="F243" i="19" s="1"/>
  <c r="D242" i="19"/>
  <c r="E242" i="19" s="1"/>
  <c r="G242" i="19" s="1"/>
  <c r="F242" i="19" s="1"/>
  <c r="D241" i="19"/>
  <c r="E241" i="19" s="1"/>
  <c r="G241" i="19" s="1"/>
  <c r="D240" i="19"/>
  <c r="E240" i="19" s="1"/>
  <c r="G240" i="19" s="1"/>
  <c r="F240" i="19" s="1"/>
  <c r="D239" i="19"/>
  <c r="E239" i="19" s="1"/>
  <c r="G239" i="19" s="1"/>
  <c r="F239" i="19" s="1"/>
  <c r="D238" i="19"/>
  <c r="E238" i="19" s="1"/>
  <c r="G238" i="19" s="1"/>
  <c r="F238" i="19" s="1"/>
  <c r="D237" i="19"/>
  <c r="E237" i="19" s="1"/>
  <c r="G237" i="19" s="1"/>
  <c r="F237" i="19" s="1"/>
  <c r="D236" i="19"/>
  <c r="E236" i="19" s="1"/>
  <c r="G236" i="19" s="1"/>
  <c r="F236" i="19" s="1"/>
  <c r="D235" i="19"/>
  <c r="E235" i="19" s="1"/>
  <c r="G235" i="19" s="1"/>
  <c r="F235" i="19" s="1"/>
  <c r="D234" i="19"/>
  <c r="E234" i="19" s="1"/>
  <c r="G234" i="19" s="1"/>
  <c r="F234" i="19" s="1"/>
  <c r="D233" i="19"/>
  <c r="E233" i="19" s="1"/>
  <c r="G233" i="19" s="1"/>
  <c r="F233" i="19" s="1"/>
  <c r="D232" i="19"/>
  <c r="E232" i="19" s="1"/>
  <c r="G232" i="19" s="1"/>
  <c r="F232" i="19" s="1"/>
  <c r="D231" i="19"/>
  <c r="E231" i="19" s="1"/>
  <c r="G231" i="19" s="1"/>
  <c r="F231" i="19" s="1"/>
  <c r="D230" i="19"/>
  <c r="E230" i="19" s="1"/>
  <c r="G230" i="19" s="1"/>
  <c r="F230" i="19" s="1"/>
  <c r="D229" i="19"/>
  <c r="E229" i="19" s="1"/>
  <c r="G229" i="19" s="1"/>
  <c r="F229" i="19" s="1"/>
  <c r="D228" i="19"/>
  <c r="E228" i="19" s="1"/>
  <c r="G228" i="19" s="1"/>
  <c r="F228" i="19" s="1"/>
  <c r="D227" i="19"/>
  <c r="E227" i="19" s="1"/>
  <c r="G227" i="19" s="1"/>
  <c r="F227" i="19" s="1"/>
  <c r="D226" i="19"/>
  <c r="E226" i="19" s="1"/>
  <c r="G226" i="19" s="1"/>
  <c r="F226" i="19" s="1"/>
  <c r="D225" i="19"/>
  <c r="E225" i="19" s="1"/>
  <c r="G225" i="19" s="1"/>
  <c r="D224" i="19"/>
  <c r="E224" i="19" s="1"/>
  <c r="G224" i="19" s="1"/>
  <c r="F224" i="19" s="1"/>
  <c r="D223" i="19"/>
  <c r="E223" i="19" s="1"/>
  <c r="G223" i="19" s="1"/>
  <c r="F223" i="19" s="1"/>
  <c r="D222" i="19"/>
  <c r="E222" i="19" s="1"/>
  <c r="G222" i="19" s="1"/>
  <c r="F222" i="19" s="1"/>
  <c r="D221" i="19"/>
  <c r="E221" i="19" s="1"/>
  <c r="G221" i="19" s="1"/>
  <c r="F221" i="19" s="1"/>
  <c r="D220" i="19"/>
  <c r="E220" i="19" s="1"/>
  <c r="G220" i="19" s="1"/>
  <c r="F220" i="19" s="1"/>
  <c r="D219" i="19"/>
  <c r="E219" i="19" s="1"/>
  <c r="G219" i="19" s="1"/>
  <c r="F219" i="19" s="1"/>
  <c r="D218" i="19"/>
  <c r="E218" i="19" s="1"/>
  <c r="G218" i="19" s="1"/>
  <c r="F218" i="19" s="1"/>
  <c r="D217" i="19"/>
  <c r="E217" i="19" s="1"/>
  <c r="G217" i="19" s="1"/>
  <c r="F217" i="19" s="1"/>
  <c r="D216" i="19"/>
  <c r="E216" i="19" s="1"/>
  <c r="G216" i="19" s="1"/>
  <c r="F216" i="19" s="1"/>
  <c r="D215" i="19"/>
  <c r="E215" i="19" s="1"/>
  <c r="G215" i="19" s="1"/>
  <c r="F215" i="19" s="1"/>
  <c r="D214" i="19"/>
  <c r="E214" i="19" s="1"/>
  <c r="G214" i="19" s="1"/>
  <c r="F214" i="19" s="1"/>
  <c r="D213" i="19"/>
  <c r="E213" i="19" s="1"/>
  <c r="G213" i="19" s="1"/>
  <c r="F213" i="19" s="1"/>
  <c r="D212" i="19"/>
  <c r="E212" i="19" s="1"/>
  <c r="G212" i="19" s="1"/>
  <c r="F212" i="19" s="1"/>
  <c r="D211" i="19"/>
  <c r="E211" i="19" s="1"/>
  <c r="G211" i="19" s="1"/>
  <c r="F211" i="19" s="1"/>
  <c r="D210" i="19"/>
  <c r="E210" i="19" s="1"/>
  <c r="G210" i="19" s="1"/>
  <c r="F210" i="19" s="1"/>
  <c r="D209" i="19"/>
  <c r="E209" i="19" s="1"/>
  <c r="G209" i="19" s="1"/>
  <c r="D208" i="19"/>
  <c r="E208" i="19" s="1"/>
  <c r="G208" i="19" s="1"/>
  <c r="F208" i="19" s="1"/>
  <c r="D207" i="19"/>
  <c r="E207" i="19" s="1"/>
  <c r="G207" i="19" s="1"/>
  <c r="F207" i="19" s="1"/>
  <c r="D206" i="19"/>
  <c r="E206" i="19" s="1"/>
  <c r="G206" i="19" s="1"/>
  <c r="F206" i="19" s="1"/>
  <c r="D205" i="19"/>
  <c r="E205" i="19" s="1"/>
  <c r="G205" i="19" s="1"/>
  <c r="F205" i="19" s="1"/>
  <c r="D204" i="19"/>
  <c r="E204" i="19" s="1"/>
  <c r="G204" i="19" s="1"/>
  <c r="F204" i="19" s="1"/>
  <c r="D203" i="19"/>
  <c r="E203" i="19" s="1"/>
  <c r="G203" i="19" s="1"/>
  <c r="F203" i="19" s="1"/>
  <c r="D202" i="19"/>
  <c r="E202" i="19" s="1"/>
  <c r="G202" i="19" s="1"/>
  <c r="F202" i="19" s="1"/>
  <c r="D201" i="19"/>
  <c r="E201" i="19" s="1"/>
  <c r="G201" i="19" s="1"/>
  <c r="F201" i="19" s="1"/>
  <c r="D200" i="19"/>
  <c r="E200" i="19" s="1"/>
  <c r="G200" i="19" s="1"/>
  <c r="F200" i="19" s="1"/>
  <c r="D199" i="19"/>
  <c r="E199" i="19" s="1"/>
  <c r="G199" i="19" s="1"/>
  <c r="F199" i="19" s="1"/>
  <c r="D198" i="19"/>
  <c r="E198" i="19" s="1"/>
  <c r="G198" i="19" s="1"/>
  <c r="F198" i="19" s="1"/>
  <c r="D197" i="19"/>
  <c r="E197" i="19" s="1"/>
  <c r="G197" i="19" s="1"/>
  <c r="F197" i="19" s="1"/>
  <c r="D196" i="19"/>
  <c r="E196" i="19" s="1"/>
  <c r="G196" i="19" s="1"/>
  <c r="F196" i="19" s="1"/>
  <c r="D195" i="19"/>
  <c r="E195" i="19" s="1"/>
  <c r="G195" i="19" s="1"/>
  <c r="F195" i="19" s="1"/>
  <c r="D194" i="19"/>
  <c r="E194" i="19" s="1"/>
  <c r="G194" i="19" s="1"/>
  <c r="F194" i="19" s="1"/>
  <c r="D193" i="19"/>
  <c r="E193" i="19" s="1"/>
  <c r="G193" i="19" s="1"/>
  <c r="D192" i="19"/>
  <c r="E192" i="19" s="1"/>
  <c r="G192" i="19" s="1"/>
  <c r="F192" i="19" s="1"/>
  <c r="D191" i="19"/>
  <c r="E191" i="19" s="1"/>
  <c r="G191" i="19" s="1"/>
  <c r="F191" i="19" s="1"/>
  <c r="D190" i="19"/>
  <c r="E190" i="19" s="1"/>
  <c r="G190" i="19" s="1"/>
  <c r="F190" i="19" s="1"/>
  <c r="D189" i="19"/>
  <c r="E189" i="19" s="1"/>
  <c r="G189" i="19" s="1"/>
  <c r="F189" i="19" s="1"/>
  <c r="D188" i="19"/>
  <c r="E188" i="19" s="1"/>
  <c r="G188" i="19" s="1"/>
  <c r="F188" i="19" s="1"/>
  <c r="D187" i="19"/>
  <c r="E187" i="19" s="1"/>
  <c r="G187" i="19" s="1"/>
  <c r="F187" i="19" s="1"/>
  <c r="D186" i="19"/>
  <c r="E186" i="19" s="1"/>
  <c r="G186" i="19" s="1"/>
  <c r="F186" i="19" s="1"/>
  <c r="D185" i="19"/>
  <c r="E185" i="19" s="1"/>
  <c r="G185" i="19" s="1"/>
  <c r="F185" i="19" s="1"/>
  <c r="D184" i="19"/>
  <c r="E184" i="19" s="1"/>
  <c r="G184" i="19" s="1"/>
  <c r="F184" i="19" s="1"/>
  <c r="D183" i="19"/>
  <c r="E183" i="19" s="1"/>
  <c r="G183" i="19" s="1"/>
  <c r="F183" i="19" s="1"/>
  <c r="D182" i="19"/>
  <c r="E182" i="19" s="1"/>
  <c r="G182" i="19" s="1"/>
  <c r="F182" i="19" s="1"/>
  <c r="D181" i="19"/>
  <c r="E181" i="19" s="1"/>
  <c r="G181" i="19" s="1"/>
  <c r="F181" i="19" s="1"/>
  <c r="D180" i="19"/>
  <c r="E180" i="19" s="1"/>
  <c r="G180" i="19" s="1"/>
  <c r="F180" i="19" s="1"/>
  <c r="D179" i="19"/>
  <c r="E179" i="19" s="1"/>
  <c r="G179" i="19" s="1"/>
  <c r="F179" i="19" s="1"/>
  <c r="D178" i="19"/>
  <c r="E178" i="19" s="1"/>
  <c r="G178" i="19" s="1"/>
  <c r="F178" i="19" s="1"/>
  <c r="D177" i="19"/>
  <c r="E177" i="19" s="1"/>
  <c r="G177" i="19" s="1"/>
  <c r="D176" i="19"/>
  <c r="E176" i="19" s="1"/>
  <c r="G176" i="19" s="1"/>
  <c r="F176" i="19" s="1"/>
  <c r="D175" i="19"/>
  <c r="E175" i="19" s="1"/>
  <c r="G175" i="19" s="1"/>
  <c r="F175" i="19" s="1"/>
  <c r="D174" i="19"/>
  <c r="E174" i="19" s="1"/>
  <c r="G174" i="19" s="1"/>
  <c r="F174" i="19" s="1"/>
  <c r="D173" i="19"/>
  <c r="E173" i="19" s="1"/>
  <c r="G173" i="19" s="1"/>
  <c r="F173" i="19" s="1"/>
  <c r="D172" i="19"/>
  <c r="E172" i="19" s="1"/>
  <c r="G172" i="19" s="1"/>
  <c r="F172" i="19" s="1"/>
  <c r="D171" i="19"/>
  <c r="E171" i="19" s="1"/>
  <c r="G171" i="19" s="1"/>
  <c r="F171" i="19" s="1"/>
  <c r="D170" i="19"/>
  <c r="E170" i="19" s="1"/>
  <c r="G170" i="19" s="1"/>
  <c r="F170" i="19" s="1"/>
  <c r="D169" i="19"/>
  <c r="E169" i="19" s="1"/>
  <c r="G169" i="19" s="1"/>
  <c r="F169" i="19" s="1"/>
  <c r="D168" i="19"/>
  <c r="E168" i="19" s="1"/>
  <c r="G168" i="19" s="1"/>
  <c r="F168" i="19" s="1"/>
  <c r="D167" i="19"/>
  <c r="E167" i="19" s="1"/>
  <c r="G167" i="19" s="1"/>
  <c r="F167" i="19" s="1"/>
  <c r="D166" i="19"/>
  <c r="E166" i="19" s="1"/>
  <c r="G166" i="19" s="1"/>
  <c r="F166" i="19" s="1"/>
  <c r="D165" i="19"/>
  <c r="E165" i="19" s="1"/>
  <c r="G165" i="19" s="1"/>
  <c r="F165" i="19" s="1"/>
  <c r="D164" i="19"/>
  <c r="E164" i="19" s="1"/>
  <c r="G164" i="19" s="1"/>
  <c r="F164" i="19" s="1"/>
  <c r="D163" i="19"/>
  <c r="E163" i="19" s="1"/>
  <c r="G163" i="19" s="1"/>
  <c r="F163" i="19" s="1"/>
  <c r="D162" i="19"/>
  <c r="E162" i="19" s="1"/>
  <c r="G162" i="19" s="1"/>
  <c r="F162" i="19" s="1"/>
  <c r="D161" i="19"/>
  <c r="E161" i="19" s="1"/>
  <c r="G161" i="19" s="1"/>
  <c r="D160" i="19"/>
  <c r="E160" i="19" s="1"/>
  <c r="G160" i="19" s="1"/>
  <c r="F160" i="19" s="1"/>
  <c r="D159" i="19"/>
  <c r="E159" i="19" s="1"/>
  <c r="G159" i="19" s="1"/>
  <c r="F159" i="19" s="1"/>
  <c r="D158" i="19"/>
  <c r="E158" i="19" s="1"/>
  <c r="G158" i="19" s="1"/>
  <c r="F158" i="19" s="1"/>
  <c r="D157" i="19"/>
  <c r="E157" i="19" s="1"/>
  <c r="G157" i="19" s="1"/>
  <c r="F157" i="19" s="1"/>
  <c r="D156" i="19"/>
  <c r="E156" i="19" s="1"/>
  <c r="G156" i="19" s="1"/>
  <c r="F156" i="19" s="1"/>
  <c r="D155" i="19"/>
  <c r="E155" i="19" s="1"/>
  <c r="G155" i="19" s="1"/>
  <c r="F155" i="19" s="1"/>
  <c r="D154" i="19"/>
  <c r="E154" i="19" s="1"/>
  <c r="G154" i="19" s="1"/>
  <c r="F154" i="19" s="1"/>
  <c r="D153" i="19"/>
  <c r="E153" i="19" s="1"/>
  <c r="G153" i="19" s="1"/>
  <c r="F153" i="19" s="1"/>
  <c r="D152" i="19"/>
  <c r="E152" i="19" s="1"/>
  <c r="G152" i="19" s="1"/>
  <c r="F152" i="19" s="1"/>
  <c r="D151" i="19"/>
  <c r="E151" i="19" s="1"/>
  <c r="G151" i="19" s="1"/>
  <c r="F151" i="19" s="1"/>
  <c r="D150" i="19"/>
  <c r="E150" i="19" s="1"/>
  <c r="G150" i="19" s="1"/>
  <c r="F150" i="19" s="1"/>
  <c r="D149" i="19"/>
  <c r="E149" i="19" s="1"/>
  <c r="G149" i="19" s="1"/>
  <c r="F149" i="19" s="1"/>
  <c r="D148" i="19"/>
  <c r="E148" i="19" s="1"/>
  <c r="G148" i="19" s="1"/>
  <c r="F148" i="19" s="1"/>
  <c r="D147" i="19"/>
  <c r="E147" i="19" s="1"/>
  <c r="G147" i="19" s="1"/>
  <c r="F147" i="19" s="1"/>
  <c r="D146" i="19"/>
  <c r="E146" i="19" s="1"/>
  <c r="G146" i="19" s="1"/>
  <c r="F146" i="19" s="1"/>
  <c r="D145" i="19"/>
  <c r="E145" i="19" s="1"/>
  <c r="G145" i="19" s="1"/>
  <c r="D144" i="19"/>
  <c r="E144" i="19" s="1"/>
  <c r="G144" i="19" s="1"/>
  <c r="F144" i="19" s="1"/>
  <c r="D143" i="19"/>
  <c r="E143" i="19" s="1"/>
  <c r="G143" i="19" s="1"/>
  <c r="F143" i="19" s="1"/>
  <c r="D142" i="19"/>
  <c r="E142" i="19" s="1"/>
  <c r="G142" i="19" s="1"/>
  <c r="F142" i="19" s="1"/>
  <c r="D141" i="19"/>
  <c r="E141" i="19" s="1"/>
  <c r="G141" i="19" s="1"/>
  <c r="F141" i="19" s="1"/>
  <c r="D140" i="19"/>
  <c r="E140" i="19" s="1"/>
  <c r="G140" i="19" s="1"/>
  <c r="F140" i="19" s="1"/>
  <c r="D139" i="19"/>
  <c r="E139" i="19" s="1"/>
  <c r="G139" i="19" s="1"/>
  <c r="F139" i="19" s="1"/>
  <c r="D138" i="19"/>
  <c r="E138" i="19" s="1"/>
  <c r="G138" i="19" s="1"/>
  <c r="F138" i="19" s="1"/>
  <c r="D137" i="19"/>
  <c r="E137" i="19" s="1"/>
  <c r="G137" i="19" s="1"/>
  <c r="F137" i="19" s="1"/>
  <c r="D136" i="19"/>
  <c r="E136" i="19" s="1"/>
  <c r="G136" i="19" s="1"/>
  <c r="F136" i="19" s="1"/>
  <c r="D135" i="19"/>
  <c r="E135" i="19" s="1"/>
  <c r="G135" i="19" s="1"/>
  <c r="F135" i="19" s="1"/>
  <c r="D134" i="19"/>
  <c r="E134" i="19" s="1"/>
  <c r="G134" i="19" s="1"/>
  <c r="F134" i="19" s="1"/>
  <c r="D133" i="19"/>
  <c r="E133" i="19" s="1"/>
  <c r="G133" i="19" s="1"/>
  <c r="F133" i="19" s="1"/>
  <c r="D132" i="19"/>
  <c r="E132" i="19" s="1"/>
  <c r="G132" i="19" s="1"/>
  <c r="F132" i="19" s="1"/>
  <c r="D131" i="19"/>
  <c r="E131" i="19" s="1"/>
  <c r="G131" i="19" s="1"/>
  <c r="F131" i="19" s="1"/>
  <c r="D130" i="19"/>
  <c r="E130" i="19" s="1"/>
  <c r="G130" i="19" s="1"/>
  <c r="F130" i="19" s="1"/>
  <c r="D129" i="19"/>
  <c r="E129" i="19" s="1"/>
  <c r="G129" i="19" s="1"/>
  <c r="D128" i="19"/>
  <c r="E128" i="19" s="1"/>
  <c r="G128" i="19" s="1"/>
  <c r="F128" i="19" s="1"/>
  <c r="D127" i="19"/>
  <c r="E127" i="19" s="1"/>
  <c r="G127" i="19" s="1"/>
  <c r="F127" i="19" s="1"/>
  <c r="D126" i="19"/>
  <c r="E126" i="19" s="1"/>
  <c r="G126" i="19" s="1"/>
  <c r="F126" i="19" s="1"/>
  <c r="D125" i="19"/>
  <c r="E125" i="19" s="1"/>
  <c r="G125" i="19" s="1"/>
  <c r="F125" i="19" s="1"/>
  <c r="D124" i="19"/>
  <c r="E124" i="19" s="1"/>
  <c r="G124" i="19" s="1"/>
  <c r="F124" i="19" s="1"/>
  <c r="D123" i="19"/>
  <c r="E123" i="19" s="1"/>
  <c r="G123" i="19" s="1"/>
  <c r="F123" i="19" s="1"/>
  <c r="D122" i="19"/>
  <c r="E122" i="19" s="1"/>
  <c r="G122" i="19" s="1"/>
  <c r="F122" i="19" s="1"/>
  <c r="D121" i="19"/>
  <c r="E121" i="19" s="1"/>
  <c r="G121" i="19" s="1"/>
  <c r="F121" i="19" s="1"/>
  <c r="D120" i="19"/>
  <c r="E120" i="19" s="1"/>
  <c r="G120" i="19" s="1"/>
  <c r="F120" i="19" s="1"/>
  <c r="D119" i="19"/>
  <c r="E119" i="19" s="1"/>
  <c r="G119" i="19" s="1"/>
  <c r="F119" i="19" s="1"/>
  <c r="D118" i="19"/>
  <c r="E118" i="19" s="1"/>
  <c r="G118" i="19" s="1"/>
  <c r="F118" i="19" s="1"/>
  <c r="D117" i="19"/>
  <c r="E117" i="19" s="1"/>
  <c r="G117" i="19" s="1"/>
  <c r="F117" i="19" s="1"/>
  <c r="D116" i="19"/>
  <c r="E116" i="19" s="1"/>
  <c r="G116" i="19" s="1"/>
  <c r="F116" i="19" s="1"/>
  <c r="D115" i="19"/>
  <c r="E115" i="19" s="1"/>
  <c r="G115" i="19" s="1"/>
  <c r="F115" i="19" s="1"/>
  <c r="D114" i="19"/>
  <c r="E114" i="19" s="1"/>
  <c r="G114" i="19" s="1"/>
  <c r="F114" i="19" s="1"/>
  <c r="D113" i="19"/>
  <c r="E113" i="19" s="1"/>
  <c r="G113" i="19" s="1"/>
  <c r="D112" i="19"/>
  <c r="E112" i="19" s="1"/>
  <c r="G112" i="19" s="1"/>
  <c r="F112" i="19" s="1"/>
  <c r="D111" i="19"/>
  <c r="E111" i="19" s="1"/>
  <c r="G111" i="19" s="1"/>
  <c r="F111" i="19" s="1"/>
  <c r="D110" i="19"/>
  <c r="E110" i="19" s="1"/>
  <c r="G110" i="19" s="1"/>
  <c r="F110" i="19" s="1"/>
  <c r="D109" i="19"/>
  <c r="E109" i="19" s="1"/>
  <c r="G109" i="19" s="1"/>
  <c r="F109" i="19" s="1"/>
  <c r="D108" i="19"/>
  <c r="E108" i="19" s="1"/>
  <c r="G108" i="19" s="1"/>
  <c r="F108" i="19" s="1"/>
  <c r="D107" i="19"/>
  <c r="E107" i="19" s="1"/>
  <c r="G107" i="19" s="1"/>
  <c r="F107" i="19" s="1"/>
  <c r="D106" i="19"/>
  <c r="E106" i="19" s="1"/>
  <c r="G106" i="19" s="1"/>
  <c r="F106" i="19" s="1"/>
  <c r="D105" i="19"/>
  <c r="E105" i="19" s="1"/>
  <c r="G105" i="19" s="1"/>
  <c r="F105" i="19" s="1"/>
  <c r="D104" i="19"/>
  <c r="E104" i="19" s="1"/>
  <c r="G104" i="19" s="1"/>
  <c r="F104" i="19" s="1"/>
  <c r="D103" i="19"/>
  <c r="E103" i="19" s="1"/>
  <c r="G103" i="19" s="1"/>
  <c r="F103" i="19" s="1"/>
  <c r="D102" i="19"/>
  <c r="E102" i="19" s="1"/>
  <c r="G102" i="19" s="1"/>
  <c r="F102" i="19" s="1"/>
  <c r="D101" i="19"/>
  <c r="E101" i="19" s="1"/>
  <c r="G101" i="19" s="1"/>
  <c r="F101" i="19" s="1"/>
  <c r="D100" i="19"/>
  <c r="E100" i="19" s="1"/>
  <c r="G100" i="19" s="1"/>
  <c r="F100" i="19" s="1"/>
  <c r="D99" i="19"/>
  <c r="E99" i="19" s="1"/>
  <c r="G99" i="19" s="1"/>
  <c r="F99" i="19" s="1"/>
  <c r="D98" i="19"/>
  <c r="E98" i="19" s="1"/>
  <c r="G98" i="19" s="1"/>
  <c r="F98" i="19" s="1"/>
  <c r="D97" i="19"/>
  <c r="E97" i="19" s="1"/>
  <c r="G97" i="19" s="1"/>
  <c r="D96" i="19"/>
  <c r="E96" i="19" s="1"/>
  <c r="G96" i="19" s="1"/>
  <c r="F96" i="19" s="1"/>
  <c r="D95" i="19"/>
  <c r="E95" i="19" s="1"/>
  <c r="G95" i="19" s="1"/>
  <c r="F95" i="19" s="1"/>
  <c r="D94" i="19"/>
  <c r="E94" i="19" s="1"/>
  <c r="G94" i="19" s="1"/>
  <c r="F94" i="19" s="1"/>
  <c r="D93" i="19"/>
  <c r="E93" i="19" s="1"/>
  <c r="G93" i="19" s="1"/>
  <c r="F93" i="19" s="1"/>
  <c r="D92" i="19"/>
  <c r="E92" i="19" s="1"/>
  <c r="G92" i="19" s="1"/>
  <c r="F92" i="19" s="1"/>
  <c r="D91" i="19"/>
  <c r="E91" i="19" s="1"/>
  <c r="G91" i="19" s="1"/>
  <c r="F91" i="19" s="1"/>
  <c r="D90" i="19"/>
  <c r="E90" i="19" s="1"/>
  <c r="G90" i="19" s="1"/>
  <c r="F90" i="19" s="1"/>
  <c r="D89" i="19"/>
  <c r="E89" i="19" s="1"/>
  <c r="G89" i="19" s="1"/>
  <c r="F89" i="19" s="1"/>
  <c r="D88" i="19"/>
  <c r="E88" i="19" s="1"/>
  <c r="G88" i="19" s="1"/>
  <c r="F88" i="19" s="1"/>
  <c r="D87" i="19"/>
  <c r="E87" i="19" s="1"/>
  <c r="G87" i="19" s="1"/>
  <c r="F87" i="19" s="1"/>
  <c r="D86" i="19"/>
  <c r="E86" i="19" s="1"/>
  <c r="G86" i="19" s="1"/>
  <c r="F86" i="19" s="1"/>
  <c r="D85" i="19"/>
  <c r="E85" i="19" s="1"/>
  <c r="G85" i="19" s="1"/>
  <c r="F85" i="19" s="1"/>
  <c r="D84" i="19"/>
  <c r="E84" i="19" s="1"/>
  <c r="G84" i="19" s="1"/>
  <c r="F84" i="19" s="1"/>
  <c r="D83" i="19"/>
  <c r="E83" i="19" s="1"/>
  <c r="G83" i="19" s="1"/>
  <c r="F83" i="19" s="1"/>
  <c r="D82" i="19"/>
  <c r="E82" i="19" s="1"/>
  <c r="G82" i="19" s="1"/>
  <c r="F82" i="19" s="1"/>
  <c r="D81" i="19"/>
  <c r="E81" i="19" s="1"/>
  <c r="G81" i="19" s="1"/>
  <c r="D80" i="19"/>
  <c r="E80" i="19" s="1"/>
  <c r="G80" i="19" s="1"/>
  <c r="F80" i="19" s="1"/>
  <c r="D79" i="19"/>
  <c r="E79" i="19" s="1"/>
  <c r="G79" i="19" s="1"/>
  <c r="F79" i="19" s="1"/>
  <c r="D78" i="19"/>
  <c r="E78" i="19" s="1"/>
  <c r="G78" i="19" s="1"/>
  <c r="F78" i="19" s="1"/>
  <c r="D77" i="19"/>
  <c r="E77" i="19" s="1"/>
  <c r="G77" i="19" s="1"/>
  <c r="F77" i="19" s="1"/>
  <c r="D76" i="19"/>
  <c r="E76" i="19" s="1"/>
  <c r="G76" i="19" s="1"/>
  <c r="F76" i="19" s="1"/>
  <c r="D75" i="19"/>
  <c r="E75" i="19" s="1"/>
  <c r="G75" i="19" s="1"/>
  <c r="F75" i="19" s="1"/>
  <c r="D74" i="19"/>
  <c r="E74" i="19" s="1"/>
  <c r="G74" i="19" s="1"/>
  <c r="F74" i="19" s="1"/>
  <c r="D73" i="19"/>
  <c r="E73" i="19" s="1"/>
  <c r="G73" i="19" s="1"/>
  <c r="F73" i="19" s="1"/>
  <c r="D72" i="19"/>
  <c r="E72" i="19" s="1"/>
  <c r="G72" i="19" s="1"/>
  <c r="F72" i="19" s="1"/>
  <c r="D71" i="19"/>
  <c r="E71" i="19" s="1"/>
  <c r="G71" i="19" s="1"/>
  <c r="F71" i="19" s="1"/>
  <c r="D70" i="19"/>
  <c r="E70" i="19" s="1"/>
  <c r="G70" i="19" s="1"/>
  <c r="F70" i="19" s="1"/>
  <c r="D69" i="19"/>
  <c r="E69" i="19" s="1"/>
  <c r="G69" i="19" s="1"/>
  <c r="F69" i="19" s="1"/>
  <c r="D68" i="19"/>
  <c r="E68" i="19" s="1"/>
  <c r="G68" i="19" s="1"/>
  <c r="F68" i="19" s="1"/>
  <c r="D67" i="19"/>
  <c r="E67" i="19" s="1"/>
  <c r="G67" i="19" s="1"/>
  <c r="F67" i="19" s="1"/>
  <c r="D66" i="19"/>
  <c r="E66" i="19" s="1"/>
  <c r="G66" i="19" s="1"/>
  <c r="F66" i="19" s="1"/>
  <c r="D65" i="19"/>
  <c r="E65" i="19" s="1"/>
  <c r="G65" i="19" s="1"/>
  <c r="D64" i="19"/>
  <c r="E64" i="19" s="1"/>
  <c r="G64" i="19" s="1"/>
  <c r="F64" i="19" s="1"/>
  <c r="D63" i="19"/>
  <c r="E63" i="19" s="1"/>
  <c r="G63" i="19" s="1"/>
  <c r="F63" i="19" s="1"/>
  <c r="D62" i="19"/>
  <c r="E62" i="19" s="1"/>
  <c r="G62" i="19" s="1"/>
  <c r="F62" i="19" s="1"/>
  <c r="D61" i="19"/>
  <c r="E61" i="19" s="1"/>
  <c r="G61" i="19" s="1"/>
  <c r="F61" i="19" s="1"/>
  <c r="D60" i="19"/>
  <c r="E60" i="19" s="1"/>
  <c r="G60" i="19" s="1"/>
  <c r="F60" i="19" s="1"/>
  <c r="D59" i="19"/>
  <c r="E59" i="19" s="1"/>
  <c r="G59" i="19" s="1"/>
  <c r="F59" i="19" s="1"/>
  <c r="D58" i="19"/>
  <c r="E58" i="19" s="1"/>
  <c r="G58" i="19" s="1"/>
  <c r="F58" i="19" s="1"/>
  <c r="D57" i="19"/>
  <c r="E57" i="19" s="1"/>
  <c r="G57" i="19" s="1"/>
  <c r="F57" i="19" s="1"/>
  <c r="D56" i="19"/>
  <c r="E56" i="19" s="1"/>
  <c r="G56" i="19" s="1"/>
  <c r="F56" i="19" s="1"/>
  <c r="D55" i="19"/>
  <c r="E55" i="19" s="1"/>
  <c r="G55" i="19" s="1"/>
  <c r="F55" i="19" s="1"/>
  <c r="D54" i="19"/>
  <c r="E54" i="19" s="1"/>
  <c r="G54" i="19" s="1"/>
  <c r="F54" i="19" s="1"/>
  <c r="D53" i="19"/>
  <c r="E53" i="19" s="1"/>
  <c r="G53" i="19" s="1"/>
  <c r="F53" i="19" s="1"/>
  <c r="D52" i="19"/>
  <c r="E52" i="19" s="1"/>
  <c r="G52" i="19" s="1"/>
  <c r="F52" i="19" s="1"/>
  <c r="D51" i="19"/>
  <c r="E51" i="19" s="1"/>
  <c r="G51" i="19" s="1"/>
  <c r="F51" i="19" s="1"/>
  <c r="D50" i="19"/>
  <c r="E50" i="19" s="1"/>
  <c r="G50" i="19" s="1"/>
  <c r="F50" i="19" s="1"/>
  <c r="D49" i="19"/>
  <c r="E49" i="19" s="1"/>
  <c r="G49" i="19" s="1"/>
  <c r="D48" i="19"/>
  <c r="E48" i="19" s="1"/>
  <c r="G48" i="19" s="1"/>
  <c r="F48" i="19" s="1"/>
  <c r="D47" i="19"/>
  <c r="E47" i="19" s="1"/>
  <c r="G47" i="19" s="1"/>
  <c r="F47" i="19" s="1"/>
  <c r="D46" i="19"/>
  <c r="E46" i="19" s="1"/>
  <c r="G46" i="19" s="1"/>
  <c r="F46" i="19" s="1"/>
  <c r="D45" i="19"/>
  <c r="E45" i="19" s="1"/>
  <c r="G45" i="19" s="1"/>
  <c r="F45" i="19" s="1"/>
  <c r="D44" i="19"/>
  <c r="E44" i="19" s="1"/>
  <c r="G44" i="19" s="1"/>
  <c r="F44" i="19" s="1"/>
  <c r="D43" i="19"/>
  <c r="E43" i="19" s="1"/>
  <c r="G43" i="19" s="1"/>
  <c r="F43" i="19" s="1"/>
  <c r="D42" i="19"/>
  <c r="E42" i="19" s="1"/>
  <c r="G42" i="19" s="1"/>
  <c r="F42" i="19" s="1"/>
  <c r="D41" i="19"/>
  <c r="E41" i="19" s="1"/>
  <c r="G41" i="19" s="1"/>
  <c r="F41" i="19" s="1"/>
  <c r="D40" i="19"/>
  <c r="E40" i="19" s="1"/>
  <c r="G40" i="19" s="1"/>
  <c r="F40" i="19" s="1"/>
  <c r="D39" i="19"/>
  <c r="E39" i="19" s="1"/>
  <c r="G39" i="19" s="1"/>
  <c r="F39" i="19" s="1"/>
  <c r="D38" i="19"/>
  <c r="E38" i="19" s="1"/>
  <c r="G38" i="19" s="1"/>
  <c r="F38" i="19" s="1"/>
  <c r="D37" i="19"/>
  <c r="E37" i="19" s="1"/>
  <c r="G37" i="19" s="1"/>
  <c r="F37" i="19" s="1"/>
  <c r="D36" i="19"/>
  <c r="E36" i="19" s="1"/>
  <c r="G36" i="19" s="1"/>
  <c r="F36" i="19" s="1"/>
  <c r="D35" i="19"/>
  <c r="E35" i="19" s="1"/>
  <c r="G35" i="19" s="1"/>
  <c r="F35" i="19" s="1"/>
  <c r="D34" i="19"/>
  <c r="E34" i="19" s="1"/>
  <c r="G34" i="19" s="1"/>
  <c r="F34" i="19" s="1"/>
  <c r="D33" i="19"/>
  <c r="E33" i="19" s="1"/>
  <c r="G33" i="19" s="1"/>
  <c r="D32" i="19"/>
  <c r="E32" i="19" s="1"/>
  <c r="G32" i="19" s="1"/>
  <c r="F32" i="19" s="1"/>
  <c r="D31" i="19"/>
  <c r="E31" i="19" s="1"/>
  <c r="G31" i="19" s="1"/>
  <c r="F31" i="19" s="1"/>
  <c r="D30" i="19"/>
  <c r="E30" i="19" s="1"/>
  <c r="G30" i="19" s="1"/>
  <c r="F30" i="19" s="1"/>
  <c r="D29" i="19"/>
  <c r="E29" i="19" s="1"/>
  <c r="G29" i="19" s="1"/>
  <c r="F29" i="19" s="1"/>
  <c r="D28" i="19"/>
  <c r="E28" i="19" s="1"/>
  <c r="G28" i="19" s="1"/>
  <c r="F28" i="19" s="1"/>
  <c r="D27" i="19"/>
  <c r="E27" i="19" s="1"/>
  <c r="G27" i="19" s="1"/>
  <c r="F27" i="19" s="1"/>
  <c r="D26" i="19"/>
  <c r="E26" i="19" s="1"/>
  <c r="G26" i="19" s="1"/>
  <c r="F26" i="19" s="1"/>
  <c r="D25" i="19"/>
  <c r="E25" i="19" s="1"/>
  <c r="G25" i="19" s="1"/>
  <c r="F25" i="19" s="1"/>
  <c r="D24" i="19"/>
  <c r="E24" i="19" s="1"/>
  <c r="G24" i="19" s="1"/>
  <c r="F24" i="19" s="1"/>
  <c r="D23" i="19"/>
  <c r="E23" i="19" s="1"/>
  <c r="G23" i="19" s="1"/>
  <c r="F23" i="19" s="1"/>
  <c r="D22" i="19"/>
  <c r="E22" i="19" s="1"/>
  <c r="G22" i="19" s="1"/>
  <c r="F22" i="19" s="1"/>
  <c r="D21" i="19"/>
  <c r="E21" i="19" s="1"/>
  <c r="G21" i="19" s="1"/>
  <c r="F21" i="19" s="1"/>
  <c r="D20" i="19"/>
  <c r="E20" i="19" s="1"/>
  <c r="G20" i="19" s="1"/>
  <c r="F20" i="19" s="1"/>
  <c r="D19" i="19"/>
  <c r="E19" i="19" s="1"/>
  <c r="G19" i="19" s="1"/>
  <c r="F19" i="19" s="1"/>
  <c r="D18" i="19"/>
  <c r="E18" i="19" s="1"/>
  <c r="G18" i="19" s="1"/>
  <c r="F18" i="19" s="1"/>
  <c r="D17" i="19"/>
  <c r="E17" i="19" s="1"/>
  <c r="G17" i="19" s="1"/>
  <c r="D16" i="19"/>
  <c r="E16" i="19" s="1"/>
  <c r="G16" i="19" s="1"/>
  <c r="F16" i="19" s="1"/>
  <c r="D15" i="19"/>
  <c r="E15" i="19" s="1"/>
  <c r="G15" i="19" s="1"/>
  <c r="F15" i="19" s="1"/>
  <c r="D14" i="19"/>
  <c r="E14" i="19" s="1"/>
  <c r="G14" i="19" s="1"/>
  <c r="F14" i="19" s="1"/>
  <c r="D13" i="19"/>
  <c r="E13" i="19" s="1"/>
  <c r="G13" i="19" s="1"/>
  <c r="F13" i="19" s="1"/>
  <c r="D12" i="19"/>
  <c r="E12" i="19" s="1"/>
  <c r="G12" i="19" s="1"/>
  <c r="F12" i="19" s="1"/>
  <c r="D11" i="19"/>
  <c r="E11" i="19" s="1"/>
  <c r="G11" i="19" s="1"/>
  <c r="F11" i="19" s="1"/>
  <c r="D10" i="19"/>
  <c r="E10" i="19" s="1"/>
  <c r="G10" i="19" s="1"/>
  <c r="F10" i="19" s="1"/>
  <c r="D9" i="19"/>
  <c r="E9" i="19" s="1"/>
  <c r="G9" i="19" s="1"/>
  <c r="F9" i="19" s="1"/>
  <c r="D8" i="19"/>
  <c r="E8" i="19" s="1"/>
  <c r="G8" i="19" s="1"/>
  <c r="F8" i="19" s="1"/>
  <c r="D7" i="19"/>
  <c r="E7" i="19" s="1"/>
  <c r="G7" i="19" s="1"/>
  <c r="F7" i="19" s="1"/>
  <c r="D6" i="19"/>
  <c r="E6" i="19" s="1"/>
  <c r="G6" i="19" s="1"/>
  <c r="F6" i="19" s="1"/>
  <c r="D5" i="19"/>
  <c r="D4" i="19"/>
  <c r="E4" i="19" s="1"/>
  <c r="G4" i="19" s="1"/>
  <c r="F4" i="19" s="1"/>
  <c r="D3" i="19"/>
  <c r="E3" i="19" s="1"/>
  <c r="G3" i="19" s="1"/>
  <c r="F3" i="19" s="1"/>
  <c r="D2" i="19"/>
  <c r="E2" i="19" s="1" a="1"/>
  <c r="E2" i="19" s="1"/>
  <c r="G2" i="19" s="1"/>
  <c r="F2" i="19" s="1"/>
  <c r="F1001" i="16"/>
  <c r="F1000" i="16"/>
  <c r="F999" i="16"/>
  <c r="F998" i="16"/>
  <c r="F997" i="16"/>
  <c r="F996" i="16"/>
  <c r="F995" i="16"/>
  <c r="F994" i="16"/>
  <c r="F993" i="16"/>
  <c r="F992" i="16"/>
  <c r="F991" i="16"/>
  <c r="F990" i="16"/>
  <c r="F989" i="16"/>
  <c r="F988" i="16"/>
  <c r="F987" i="16"/>
  <c r="F986" i="16"/>
  <c r="F985" i="16"/>
  <c r="F984" i="16"/>
  <c r="F983" i="16"/>
  <c r="F982" i="16"/>
  <c r="F981" i="16"/>
  <c r="F980" i="16"/>
  <c r="F979" i="16"/>
  <c r="F978" i="16"/>
  <c r="F977" i="16"/>
  <c r="F976" i="16"/>
  <c r="F975" i="16"/>
  <c r="F974" i="16"/>
  <c r="F973" i="16"/>
  <c r="F972" i="16"/>
  <c r="F971" i="16"/>
  <c r="F970" i="16"/>
  <c r="F969" i="16"/>
  <c r="F968" i="16"/>
  <c r="F967" i="16"/>
  <c r="F966" i="16"/>
  <c r="F965" i="16"/>
  <c r="F964" i="16"/>
  <c r="F963" i="16"/>
  <c r="F962" i="16"/>
  <c r="F961" i="16"/>
  <c r="F960" i="16"/>
  <c r="F959" i="16"/>
  <c r="F958" i="16"/>
  <c r="F957" i="16"/>
  <c r="F956" i="16"/>
  <c r="F955" i="16"/>
  <c r="F954" i="16"/>
  <c r="F953" i="16"/>
  <c r="F952" i="16"/>
  <c r="F951" i="16"/>
  <c r="F950" i="16"/>
  <c r="F949" i="16"/>
  <c r="F948" i="16"/>
  <c r="F947" i="16"/>
  <c r="F946" i="16"/>
  <c r="F945" i="16"/>
  <c r="F944" i="16"/>
  <c r="F943" i="16"/>
  <c r="F942" i="16"/>
  <c r="F941" i="16"/>
  <c r="F940" i="16"/>
  <c r="F939" i="16"/>
  <c r="F938" i="16"/>
  <c r="F937" i="16"/>
  <c r="F936" i="16"/>
  <c r="F935" i="16"/>
  <c r="F934" i="16"/>
  <c r="F933" i="16"/>
  <c r="F932" i="16"/>
  <c r="F931" i="16"/>
  <c r="F930" i="16"/>
  <c r="F929" i="16"/>
  <c r="F928" i="16"/>
  <c r="F927" i="16"/>
  <c r="F926" i="16"/>
  <c r="F925" i="16"/>
  <c r="F924" i="16"/>
  <c r="F923" i="16"/>
  <c r="F922" i="16"/>
  <c r="F921" i="16"/>
  <c r="F920" i="16"/>
  <c r="F919" i="16"/>
  <c r="F918" i="16"/>
  <c r="F917" i="16"/>
  <c r="F916" i="16"/>
  <c r="F915" i="16"/>
  <c r="F914" i="16"/>
  <c r="F913" i="16"/>
  <c r="F912" i="16"/>
  <c r="F911" i="16"/>
  <c r="F910" i="16"/>
  <c r="F909" i="16"/>
  <c r="F908" i="16"/>
  <c r="F907" i="16"/>
  <c r="F906" i="16"/>
  <c r="F905" i="16"/>
  <c r="F904" i="16"/>
  <c r="F903" i="16"/>
  <c r="F902" i="16"/>
  <c r="F901" i="16"/>
  <c r="F900" i="16"/>
  <c r="F899" i="16"/>
  <c r="F898" i="16"/>
  <c r="F897" i="16"/>
  <c r="F896" i="16"/>
  <c r="F895" i="16"/>
  <c r="F894" i="16"/>
  <c r="F893" i="16"/>
  <c r="F892" i="16"/>
  <c r="F891" i="16"/>
  <c r="F890" i="16"/>
  <c r="F889" i="16"/>
  <c r="F888" i="16"/>
  <c r="F887" i="16"/>
  <c r="F886" i="16"/>
  <c r="F885" i="16"/>
  <c r="F884" i="16"/>
  <c r="F883" i="16"/>
  <c r="F882" i="16"/>
  <c r="F881" i="16"/>
  <c r="F880" i="16"/>
  <c r="F879" i="16"/>
  <c r="F878" i="16"/>
  <c r="F877" i="16"/>
  <c r="F876" i="16"/>
  <c r="F875" i="16"/>
  <c r="F874" i="16"/>
  <c r="F873" i="16"/>
  <c r="F872" i="16"/>
  <c r="F871" i="16"/>
  <c r="F870" i="16"/>
  <c r="F869" i="16"/>
  <c r="F868" i="16"/>
  <c r="F867" i="16"/>
  <c r="F866" i="16"/>
  <c r="F865" i="16"/>
  <c r="F864" i="16"/>
  <c r="F863" i="16"/>
  <c r="F862" i="16"/>
  <c r="F861" i="16"/>
  <c r="F860" i="16"/>
  <c r="F859" i="16"/>
  <c r="F858" i="16"/>
  <c r="F857" i="16"/>
  <c r="F856" i="16"/>
  <c r="F855" i="16"/>
  <c r="F854" i="16"/>
  <c r="F853" i="16"/>
  <c r="F852" i="16"/>
  <c r="F851" i="16"/>
  <c r="F850" i="16"/>
  <c r="F849" i="16"/>
  <c r="F848" i="16"/>
  <c r="F847" i="16"/>
  <c r="F846" i="16"/>
  <c r="F845" i="16"/>
  <c r="F844" i="16"/>
  <c r="F843" i="16"/>
  <c r="F842" i="16"/>
  <c r="F841" i="16"/>
  <c r="F840" i="16"/>
  <c r="F839" i="16"/>
  <c r="F838" i="16"/>
  <c r="F837" i="16"/>
  <c r="F836" i="16"/>
  <c r="F835" i="16"/>
  <c r="F834" i="16"/>
  <c r="F833" i="16"/>
  <c r="F832" i="16"/>
  <c r="F831" i="16"/>
  <c r="F830" i="16"/>
  <c r="F829" i="16"/>
  <c r="F828" i="16"/>
  <c r="F827" i="16"/>
  <c r="F826" i="16"/>
  <c r="F825" i="16"/>
  <c r="F824" i="16"/>
  <c r="F823" i="16"/>
  <c r="F822" i="16"/>
  <c r="F821" i="16"/>
  <c r="F820" i="16"/>
  <c r="F819" i="16"/>
  <c r="F818" i="16"/>
  <c r="F817" i="16"/>
  <c r="F816" i="16"/>
  <c r="F815" i="16"/>
  <c r="F814" i="16"/>
  <c r="F813" i="16"/>
  <c r="F812" i="16"/>
  <c r="F811" i="16"/>
  <c r="F810" i="16"/>
  <c r="F809" i="16"/>
  <c r="F808" i="16"/>
  <c r="F807" i="16"/>
  <c r="F806" i="16"/>
  <c r="F805" i="16"/>
  <c r="F804" i="16"/>
  <c r="F803" i="16"/>
  <c r="F802" i="16"/>
  <c r="F801" i="16"/>
  <c r="F800" i="16"/>
  <c r="F799" i="16"/>
  <c r="F798" i="16"/>
  <c r="F797" i="16"/>
  <c r="F796" i="16"/>
  <c r="F795" i="16"/>
  <c r="F794" i="16"/>
  <c r="F793" i="16"/>
  <c r="F792" i="16"/>
  <c r="F791" i="16"/>
  <c r="F790" i="16"/>
  <c r="F789" i="16"/>
  <c r="F788" i="16"/>
  <c r="F787" i="16"/>
  <c r="F786" i="16"/>
  <c r="F785" i="16"/>
  <c r="F784" i="16"/>
  <c r="F783" i="16"/>
  <c r="F782" i="16"/>
  <c r="F781" i="16"/>
  <c r="F780" i="16"/>
  <c r="F779" i="16"/>
  <c r="F778" i="16"/>
  <c r="F777" i="16"/>
  <c r="F776" i="16"/>
  <c r="F775" i="16"/>
  <c r="F774" i="16"/>
  <c r="F773" i="16"/>
  <c r="F772" i="16"/>
  <c r="F771" i="16"/>
  <c r="F770" i="16"/>
  <c r="F769" i="16"/>
  <c r="F768" i="16"/>
  <c r="F767" i="16"/>
  <c r="F766" i="16"/>
  <c r="F765" i="16"/>
  <c r="F764" i="16"/>
  <c r="F763" i="16"/>
  <c r="F762" i="16"/>
  <c r="F761" i="16"/>
  <c r="F760" i="16"/>
  <c r="F759" i="16"/>
  <c r="F758" i="16"/>
  <c r="F757" i="16"/>
  <c r="F756" i="16"/>
  <c r="F755" i="16"/>
  <c r="F754" i="16"/>
  <c r="F753" i="16"/>
  <c r="F752" i="16"/>
  <c r="F751" i="16"/>
  <c r="F750" i="16"/>
  <c r="F749" i="16"/>
  <c r="F748" i="16"/>
  <c r="F747" i="16"/>
  <c r="F746" i="16"/>
  <c r="F745" i="16"/>
  <c r="F744" i="16"/>
  <c r="F743" i="16"/>
  <c r="F742" i="16"/>
  <c r="F741" i="16"/>
  <c r="F740" i="16"/>
  <c r="F739" i="16"/>
  <c r="F738" i="16"/>
  <c r="F737" i="16"/>
  <c r="F736" i="16"/>
  <c r="F735" i="16"/>
  <c r="F734" i="16"/>
  <c r="F733" i="16"/>
  <c r="F732" i="16"/>
  <c r="F731" i="16"/>
  <c r="F730" i="16"/>
  <c r="F729" i="16"/>
  <c r="F728" i="16"/>
  <c r="F727" i="16"/>
  <c r="F726" i="16"/>
  <c r="F725" i="16"/>
  <c r="F724" i="16"/>
  <c r="F723" i="16"/>
  <c r="F722" i="16"/>
  <c r="F721" i="16"/>
  <c r="F720" i="16"/>
  <c r="F719" i="16"/>
  <c r="F718" i="16"/>
  <c r="F717" i="16"/>
  <c r="F716" i="16"/>
  <c r="F715" i="16"/>
  <c r="F714" i="16"/>
  <c r="F713" i="16"/>
  <c r="F712" i="16"/>
  <c r="F711" i="16"/>
  <c r="F710" i="16"/>
  <c r="F709" i="16"/>
  <c r="F708" i="16"/>
  <c r="F707" i="16"/>
  <c r="F706" i="16"/>
  <c r="F705" i="16"/>
  <c r="F704" i="16"/>
  <c r="F703" i="16"/>
  <c r="F702" i="16"/>
  <c r="F701" i="16"/>
  <c r="F700" i="16"/>
  <c r="F699" i="16"/>
  <c r="F698" i="16"/>
  <c r="F697" i="16"/>
  <c r="F696" i="16"/>
  <c r="F695" i="16"/>
  <c r="F694" i="16"/>
  <c r="F693" i="16"/>
  <c r="F692" i="16"/>
  <c r="F691" i="16"/>
  <c r="F690" i="16"/>
  <c r="F689" i="16"/>
  <c r="F688" i="16"/>
  <c r="F687" i="16"/>
  <c r="F686" i="16"/>
  <c r="F685" i="16"/>
  <c r="F684" i="16"/>
  <c r="F683" i="16"/>
  <c r="F682" i="16"/>
  <c r="F681" i="16"/>
  <c r="F680" i="16"/>
  <c r="F679" i="16"/>
  <c r="F678" i="16"/>
  <c r="F677" i="16"/>
  <c r="F676" i="16"/>
  <c r="F675" i="16"/>
  <c r="F674" i="16"/>
  <c r="F673" i="16"/>
  <c r="F672" i="16"/>
  <c r="F671" i="16"/>
  <c r="F670" i="16"/>
  <c r="F669" i="16"/>
  <c r="F668" i="16"/>
  <c r="F667" i="16"/>
  <c r="F666" i="16"/>
  <c r="F665" i="16"/>
  <c r="F664" i="16"/>
  <c r="F663" i="16"/>
  <c r="F662" i="16"/>
  <c r="F661" i="16"/>
  <c r="F660" i="16"/>
  <c r="F659" i="16"/>
  <c r="F658" i="16"/>
  <c r="F657" i="16"/>
  <c r="F656" i="16"/>
  <c r="F655" i="16"/>
  <c r="F654" i="16"/>
  <c r="F653" i="16"/>
  <c r="F652" i="16"/>
  <c r="F651" i="16"/>
  <c r="F650" i="16"/>
  <c r="F649" i="16"/>
  <c r="F648" i="16"/>
  <c r="F647" i="16"/>
  <c r="F646" i="16"/>
  <c r="F645" i="16"/>
  <c r="F644" i="16"/>
  <c r="F643" i="16"/>
  <c r="F642" i="16"/>
  <c r="F641" i="16"/>
  <c r="F640" i="16"/>
  <c r="F639" i="16"/>
  <c r="F638" i="16"/>
  <c r="F637" i="16"/>
  <c r="F636" i="16"/>
  <c r="F635" i="16"/>
  <c r="F634" i="16"/>
  <c r="F633" i="16"/>
  <c r="F632" i="16"/>
  <c r="F631" i="16"/>
  <c r="F630" i="16"/>
  <c r="F629" i="16"/>
  <c r="F628" i="16"/>
  <c r="F627" i="16"/>
  <c r="F626" i="16"/>
  <c r="F625" i="16"/>
  <c r="F624" i="16"/>
  <c r="F623" i="16"/>
  <c r="F622" i="16"/>
  <c r="F621" i="16"/>
  <c r="F620" i="16"/>
  <c r="F619" i="16"/>
  <c r="F618" i="16"/>
  <c r="F617" i="16"/>
  <c r="F616" i="16"/>
  <c r="F615" i="16"/>
  <c r="F614" i="16"/>
  <c r="F613" i="16"/>
  <c r="F612" i="16"/>
  <c r="F611" i="16"/>
  <c r="F610" i="16"/>
  <c r="F609" i="16"/>
  <c r="F608" i="16"/>
  <c r="F607" i="16"/>
  <c r="F606" i="16"/>
  <c r="F605" i="16"/>
  <c r="F604" i="16"/>
  <c r="F603" i="16"/>
  <c r="F602" i="16"/>
  <c r="F601" i="16"/>
  <c r="F600" i="16"/>
  <c r="F599" i="16"/>
  <c r="F598" i="16"/>
  <c r="F597" i="16"/>
  <c r="F596" i="16"/>
  <c r="F595" i="16"/>
  <c r="F594" i="16"/>
  <c r="F593" i="16"/>
  <c r="F592" i="16"/>
  <c r="F591" i="16"/>
  <c r="F590" i="16"/>
  <c r="F589" i="16"/>
  <c r="F588" i="16"/>
  <c r="F587" i="16"/>
  <c r="F586" i="16"/>
  <c r="F585" i="16"/>
  <c r="F584" i="16"/>
  <c r="F583" i="16"/>
  <c r="F582" i="16"/>
  <c r="F581" i="16"/>
  <c r="F580" i="16"/>
  <c r="F579" i="16"/>
  <c r="F578" i="16"/>
  <c r="F577" i="16"/>
  <c r="F576" i="16"/>
  <c r="F575" i="16"/>
  <c r="F574" i="16"/>
  <c r="F573" i="16"/>
  <c r="F572" i="16"/>
  <c r="F571" i="16"/>
  <c r="F570" i="16"/>
  <c r="F569" i="16"/>
  <c r="F568" i="16"/>
  <c r="F567" i="16"/>
  <c r="F566" i="16"/>
  <c r="F565" i="16"/>
  <c r="F564" i="16"/>
  <c r="F563" i="16"/>
  <c r="F562" i="16"/>
  <c r="F561" i="16"/>
  <c r="F560" i="16"/>
  <c r="F559" i="16"/>
  <c r="F558" i="16"/>
  <c r="F557" i="16"/>
  <c r="F556" i="16"/>
  <c r="F555" i="16"/>
  <c r="F554" i="16"/>
  <c r="F553" i="16"/>
  <c r="F552" i="16"/>
  <c r="F551" i="16"/>
  <c r="F550" i="16"/>
  <c r="F549" i="16"/>
  <c r="F548" i="16"/>
  <c r="F547" i="16"/>
  <c r="F546" i="16"/>
  <c r="F545" i="16"/>
  <c r="F544" i="16"/>
  <c r="F543" i="16"/>
  <c r="F542" i="16"/>
  <c r="F541" i="16"/>
  <c r="F540" i="16"/>
  <c r="F539" i="16"/>
  <c r="F538" i="16"/>
  <c r="F537" i="16"/>
  <c r="F536" i="16"/>
  <c r="F535" i="16"/>
  <c r="F534" i="16"/>
  <c r="F533" i="16"/>
  <c r="F532" i="16"/>
  <c r="F531" i="16"/>
  <c r="F530" i="16"/>
  <c r="F529" i="16"/>
  <c r="F528" i="16"/>
  <c r="F527" i="16"/>
  <c r="F526" i="16"/>
  <c r="F525" i="16"/>
  <c r="F524" i="16"/>
  <c r="F523" i="16"/>
  <c r="F522" i="16"/>
  <c r="F521" i="16"/>
  <c r="F520" i="16"/>
  <c r="F519" i="16"/>
  <c r="F518" i="16"/>
  <c r="F517" i="16"/>
  <c r="F516" i="16"/>
  <c r="F515" i="16"/>
  <c r="F514" i="16"/>
  <c r="F513" i="16"/>
  <c r="F512" i="16"/>
  <c r="F511" i="16"/>
  <c r="F510" i="16"/>
  <c r="F509" i="16"/>
  <c r="F508" i="16"/>
  <c r="F507" i="16"/>
  <c r="F506" i="16"/>
  <c r="F505" i="16"/>
  <c r="F504" i="16"/>
  <c r="F503" i="16"/>
  <c r="F502" i="16"/>
  <c r="F501" i="16"/>
  <c r="F500" i="16"/>
  <c r="F499" i="16"/>
  <c r="F498" i="16"/>
  <c r="F497" i="16"/>
  <c r="F496" i="16"/>
  <c r="F495" i="16"/>
  <c r="F494" i="16"/>
  <c r="F493" i="16"/>
  <c r="F492" i="16"/>
  <c r="F491" i="16"/>
  <c r="F490" i="16"/>
  <c r="F489" i="16"/>
  <c r="F488" i="16"/>
  <c r="F487" i="16"/>
  <c r="F486" i="16"/>
  <c r="F485" i="16"/>
  <c r="F484" i="16"/>
  <c r="F483" i="16"/>
  <c r="F482" i="16"/>
  <c r="F481" i="16"/>
  <c r="F480" i="16"/>
  <c r="F479" i="16"/>
  <c r="F478" i="16"/>
  <c r="F477" i="16"/>
  <c r="F476" i="16"/>
  <c r="F475" i="16"/>
  <c r="F474" i="16"/>
  <c r="F473" i="16"/>
  <c r="F472" i="16"/>
  <c r="F471" i="16"/>
  <c r="F470" i="16"/>
  <c r="F469" i="16"/>
  <c r="F468" i="16"/>
  <c r="F467" i="16"/>
  <c r="F466" i="16"/>
  <c r="F465" i="16"/>
  <c r="F464" i="16"/>
  <c r="F463" i="16"/>
  <c r="F462" i="16"/>
  <c r="F461" i="16"/>
  <c r="F460" i="16"/>
  <c r="F459" i="16"/>
  <c r="F458" i="16"/>
  <c r="F457" i="16"/>
  <c r="F456" i="16"/>
  <c r="F455" i="16"/>
  <c r="F454" i="16"/>
  <c r="F453" i="16"/>
  <c r="F452" i="16"/>
  <c r="F451" i="16"/>
  <c r="F450" i="16"/>
  <c r="F449" i="16"/>
  <c r="F448" i="16"/>
  <c r="F447" i="16"/>
  <c r="F446" i="16"/>
  <c r="F445" i="16"/>
  <c r="F444" i="16"/>
  <c r="F443" i="16"/>
  <c r="F442" i="16"/>
  <c r="F441" i="16"/>
  <c r="F440" i="16"/>
  <c r="F439" i="16"/>
  <c r="F438" i="16"/>
  <c r="F437" i="16"/>
  <c r="F436" i="16"/>
  <c r="F435" i="16"/>
  <c r="F434" i="16"/>
  <c r="F433" i="16"/>
  <c r="F432" i="16"/>
  <c r="F431" i="16"/>
  <c r="F430" i="16"/>
  <c r="F429" i="16"/>
  <c r="F428" i="16"/>
  <c r="F427" i="16"/>
  <c r="F426" i="16"/>
  <c r="F425" i="16"/>
  <c r="F424" i="16"/>
  <c r="F423" i="16"/>
  <c r="F422" i="16"/>
  <c r="F421" i="16"/>
  <c r="F420" i="16"/>
  <c r="F419" i="16"/>
  <c r="F418" i="16"/>
  <c r="F417" i="16"/>
  <c r="F416" i="16"/>
  <c r="F415" i="16"/>
  <c r="F414" i="16"/>
  <c r="F413" i="16"/>
  <c r="F412" i="16"/>
  <c r="F411" i="16"/>
  <c r="F410" i="16"/>
  <c r="F409" i="16"/>
  <c r="F408" i="16"/>
  <c r="F407" i="16"/>
  <c r="F406" i="16"/>
  <c r="F405" i="16"/>
  <c r="F404" i="16"/>
  <c r="F403" i="16"/>
  <c r="F402" i="16"/>
  <c r="F401" i="16"/>
  <c r="F400" i="16"/>
  <c r="F399" i="16"/>
  <c r="F398" i="16"/>
  <c r="F397" i="16"/>
  <c r="F396" i="16"/>
  <c r="F395" i="16"/>
  <c r="F394" i="16"/>
  <c r="F393" i="16"/>
  <c r="F392" i="16"/>
  <c r="F391" i="16"/>
  <c r="F390" i="16"/>
  <c r="F389" i="16"/>
  <c r="F388" i="16"/>
  <c r="F387" i="16"/>
  <c r="F386" i="16"/>
  <c r="F385" i="16"/>
  <c r="F384" i="16"/>
  <c r="F383" i="16"/>
  <c r="F382" i="16"/>
  <c r="F381" i="16"/>
  <c r="F380" i="16"/>
  <c r="F379" i="16"/>
  <c r="F378" i="16"/>
  <c r="F377" i="16"/>
  <c r="F376" i="16"/>
  <c r="F375" i="16"/>
  <c r="F374" i="16"/>
  <c r="F373" i="16"/>
  <c r="F372" i="16"/>
  <c r="F371" i="16"/>
  <c r="F370" i="16"/>
  <c r="F369" i="16"/>
  <c r="F368" i="16"/>
  <c r="F367" i="16"/>
  <c r="F366" i="16"/>
  <c r="F365" i="16"/>
  <c r="F364" i="16"/>
  <c r="F363" i="16"/>
  <c r="F362" i="16"/>
  <c r="F361" i="16"/>
  <c r="F360" i="16"/>
  <c r="F359" i="16"/>
  <c r="F358" i="16"/>
  <c r="F357" i="16"/>
  <c r="F356" i="16"/>
  <c r="F355" i="16"/>
  <c r="F354" i="16"/>
  <c r="F353" i="16"/>
  <c r="F352" i="16"/>
  <c r="F351" i="16"/>
  <c r="F350" i="16"/>
  <c r="F349" i="16"/>
  <c r="F348" i="16"/>
  <c r="F347" i="16"/>
  <c r="F346" i="16"/>
  <c r="F345" i="16"/>
  <c r="F344" i="16"/>
  <c r="F343" i="16"/>
  <c r="F342" i="16"/>
  <c r="F341" i="16"/>
  <c r="F340" i="16"/>
  <c r="F339" i="16"/>
  <c r="F338" i="16"/>
  <c r="F337" i="16"/>
  <c r="F336" i="16"/>
  <c r="F335" i="16"/>
  <c r="F334" i="16"/>
  <c r="F333" i="16"/>
  <c r="F332" i="16"/>
  <c r="F331" i="16"/>
  <c r="F330" i="16"/>
  <c r="F329" i="16"/>
  <c r="F328" i="16"/>
  <c r="F327" i="16"/>
  <c r="F326" i="16"/>
  <c r="F325" i="16"/>
  <c r="F324" i="16"/>
  <c r="F323" i="16"/>
  <c r="F322" i="16"/>
  <c r="F321" i="16"/>
  <c r="F320" i="16"/>
  <c r="F319" i="16"/>
  <c r="F318" i="16"/>
  <c r="F317" i="16"/>
  <c r="F316" i="16"/>
  <c r="F315" i="16"/>
  <c r="F314" i="16"/>
  <c r="F313" i="16"/>
  <c r="F312" i="16"/>
  <c r="F311" i="16"/>
  <c r="F310" i="16"/>
  <c r="F309" i="16"/>
  <c r="F308" i="16"/>
  <c r="F307" i="16"/>
  <c r="F306" i="16"/>
  <c r="F305" i="16"/>
  <c r="F304" i="16"/>
  <c r="F303" i="16"/>
  <c r="F302" i="16"/>
  <c r="F301" i="16"/>
  <c r="F300" i="16"/>
  <c r="F299" i="16"/>
  <c r="F298" i="16"/>
  <c r="F297" i="16"/>
  <c r="F296" i="16"/>
  <c r="F295" i="16"/>
  <c r="F294" i="16"/>
  <c r="F293" i="16"/>
  <c r="F292" i="16"/>
  <c r="F291" i="16"/>
  <c r="F290" i="16"/>
  <c r="F289" i="16"/>
  <c r="F288" i="16"/>
  <c r="F287" i="16"/>
  <c r="F286" i="16"/>
  <c r="F285" i="16"/>
  <c r="F284" i="16"/>
  <c r="F283" i="16"/>
  <c r="F282" i="16"/>
  <c r="F281" i="16"/>
  <c r="F280" i="16"/>
  <c r="F279" i="16"/>
  <c r="F278" i="16"/>
  <c r="F277" i="16"/>
  <c r="F276" i="16"/>
  <c r="F275" i="16"/>
  <c r="F274" i="16"/>
  <c r="F273" i="16"/>
  <c r="F272" i="16"/>
  <c r="F271" i="16"/>
  <c r="F270" i="16"/>
  <c r="F269" i="16"/>
  <c r="F268" i="16"/>
  <c r="F267" i="16"/>
  <c r="F266" i="16"/>
  <c r="F265" i="16"/>
  <c r="F264" i="16"/>
  <c r="F263" i="16"/>
  <c r="F262" i="16"/>
  <c r="F261" i="16"/>
  <c r="F260" i="16"/>
  <c r="F259" i="16"/>
  <c r="F258" i="16"/>
  <c r="F257" i="16"/>
  <c r="F256" i="16"/>
  <c r="F255" i="16"/>
  <c r="F254" i="16"/>
  <c r="F253" i="16"/>
  <c r="F252" i="16"/>
  <c r="F251" i="16"/>
  <c r="F250" i="16"/>
  <c r="F249" i="16"/>
  <c r="F248" i="16"/>
  <c r="F247" i="16"/>
  <c r="F246" i="16"/>
  <c r="F245" i="16"/>
  <c r="F244" i="16"/>
  <c r="F243" i="16"/>
  <c r="F242" i="16"/>
  <c r="F241" i="16"/>
  <c r="F240" i="16"/>
  <c r="F239" i="16"/>
  <c r="F238" i="16"/>
  <c r="F237" i="16"/>
  <c r="F236" i="16"/>
  <c r="F235" i="16"/>
  <c r="F234" i="16"/>
  <c r="F233" i="16"/>
  <c r="F232" i="16"/>
  <c r="F231" i="16"/>
  <c r="F230" i="16"/>
  <c r="F229" i="16"/>
  <c r="F228" i="16"/>
  <c r="F227" i="16"/>
  <c r="F226" i="16"/>
  <c r="F225" i="16"/>
  <c r="F224" i="16"/>
  <c r="F223" i="16"/>
  <c r="F222" i="16"/>
  <c r="F221" i="16"/>
  <c r="F220" i="16"/>
  <c r="F219" i="16"/>
  <c r="F218" i="16"/>
  <c r="F217" i="16"/>
  <c r="F216" i="16"/>
  <c r="F215" i="16"/>
  <c r="F214" i="16"/>
  <c r="F213" i="16"/>
  <c r="F212" i="16"/>
  <c r="F211" i="16"/>
  <c r="F210" i="16"/>
  <c r="F209" i="16"/>
  <c r="F208" i="16"/>
  <c r="F207" i="16"/>
  <c r="F206" i="16"/>
  <c r="F205" i="16"/>
  <c r="F204" i="16"/>
  <c r="F203" i="16"/>
  <c r="F202" i="16"/>
  <c r="F201" i="16"/>
  <c r="F200" i="16"/>
  <c r="F199" i="16"/>
  <c r="F198" i="16"/>
  <c r="F197" i="16"/>
  <c r="F196" i="16"/>
  <c r="F195" i="16"/>
  <c r="F194" i="16"/>
  <c r="F193" i="16"/>
  <c r="F192" i="16"/>
  <c r="F191" i="16"/>
  <c r="F190" i="16"/>
  <c r="F189" i="16"/>
  <c r="F188" i="16"/>
  <c r="F187" i="16"/>
  <c r="F186" i="16"/>
  <c r="F185" i="16"/>
  <c r="F184" i="16"/>
  <c r="F183" i="16"/>
  <c r="F182" i="16"/>
  <c r="F181" i="16"/>
  <c r="F180" i="16"/>
  <c r="F179" i="16"/>
  <c r="F178" i="16"/>
  <c r="F177" i="16"/>
  <c r="F176" i="16"/>
  <c r="F175" i="16"/>
  <c r="F174" i="16"/>
  <c r="F173" i="16"/>
  <c r="F172" i="16"/>
  <c r="F171" i="16"/>
  <c r="F170" i="16"/>
  <c r="F169" i="16"/>
  <c r="F168" i="16"/>
  <c r="F167" i="16"/>
  <c r="F166" i="16"/>
  <c r="F165" i="16"/>
  <c r="F164" i="16"/>
  <c r="F163" i="16"/>
  <c r="F162" i="16"/>
  <c r="F161" i="16"/>
  <c r="F160" i="16"/>
  <c r="F159" i="16"/>
  <c r="F158" i="16"/>
  <c r="F157" i="16"/>
  <c r="F156" i="16"/>
  <c r="F155" i="16"/>
  <c r="F154" i="16"/>
  <c r="F153" i="16"/>
  <c r="F152" i="16"/>
  <c r="F151" i="16"/>
  <c r="F150" i="16"/>
  <c r="F149" i="16"/>
  <c r="F148" i="16"/>
  <c r="F147" i="16"/>
  <c r="F146" i="16"/>
  <c r="F145" i="16"/>
  <c r="F144" i="16"/>
  <c r="F143" i="16"/>
  <c r="F142" i="16"/>
  <c r="F141" i="16"/>
  <c r="F140" i="16"/>
  <c r="F139" i="16"/>
  <c r="F138" i="16"/>
  <c r="F137" i="16"/>
  <c r="F136" i="16"/>
  <c r="F135" i="16"/>
  <c r="F134" i="16"/>
  <c r="F133" i="16"/>
  <c r="F132" i="16"/>
  <c r="F131" i="16"/>
  <c r="F130" i="16"/>
  <c r="F129" i="16"/>
  <c r="F128" i="16"/>
  <c r="F127" i="16"/>
  <c r="F126" i="16"/>
  <c r="F125" i="16"/>
  <c r="F124" i="16"/>
  <c r="F123" i="16"/>
  <c r="F122" i="16"/>
  <c r="F121" i="16"/>
  <c r="F120" i="16"/>
  <c r="F119" i="16"/>
  <c r="F118" i="16"/>
  <c r="F117" i="16"/>
  <c r="F116" i="16"/>
  <c r="F115" i="16"/>
  <c r="F114" i="16"/>
  <c r="F113" i="16"/>
  <c r="F112" i="16"/>
  <c r="F111" i="16"/>
  <c r="F110" i="16"/>
  <c r="F109" i="16"/>
  <c r="F108" i="16"/>
  <c r="F107" i="16"/>
  <c r="F106" i="16"/>
  <c r="F105" i="16"/>
  <c r="F104" i="16"/>
  <c r="F103" i="16"/>
  <c r="F102" i="16"/>
  <c r="F101" i="16"/>
  <c r="F100" i="16"/>
  <c r="F99" i="16"/>
  <c r="F98" i="16"/>
  <c r="F97" i="16"/>
  <c r="F96" i="16"/>
  <c r="F95" i="16"/>
  <c r="F94" i="16"/>
  <c r="F93" i="16"/>
  <c r="F92" i="16"/>
  <c r="F91" i="16"/>
  <c r="F90" i="16"/>
  <c r="F89" i="16"/>
  <c r="F88" i="16"/>
  <c r="F87" i="16"/>
  <c r="F86" i="16"/>
  <c r="F85" i="16"/>
  <c r="F84" i="16"/>
  <c r="F83" i="16"/>
  <c r="F82" i="16"/>
  <c r="F81" i="16"/>
  <c r="F80" i="16"/>
  <c r="F79" i="16"/>
  <c r="F78" i="16"/>
  <c r="F77" i="16"/>
  <c r="F76" i="16"/>
  <c r="F75" i="16"/>
  <c r="F74" i="16"/>
  <c r="F73" i="16"/>
  <c r="F72" i="16"/>
  <c r="F71" i="16"/>
  <c r="F70" i="16"/>
  <c r="F69" i="16"/>
  <c r="F68" i="16"/>
  <c r="F67" i="16"/>
  <c r="F66" i="16"/>
  <c r="F65" i="16"/>
  <c r="F64" i="16"/>
  <c r="F63" i="16"/>
  <c r="F62" i="16"/>
  <c r="F61" i="16"/>
  <c r="F60" i="16"/>
  <c r="F59" i="16"/>
  <c r="F58" i="16"/>
  <c r="F57" i="16"/>
  <c r="F56" i="16"/>
  <c r="F55" i="16"/>
  <c r="F54" i="16"/>
  <c r="F53" i="16"/>
  <c r="F52" i="16"/>
  <c r="F51" i="16"/>
  <c r="F50" i="16"/>
  <c r="F49" i="16"/>
  <c r="F48" i="16"/>
  <c r="F47" i="16"/>
  <c r="F46" i="16"/>
  <c r="F45" i="16"/>
  <c r="F44" i="16"/>
  <c r="F43" i="16"/>
  <c r="F42" i="16"/>
  <c r="F41" i="16"/>
  <c r="F40" i="16"/>
  <c r="F39" i="16"/>
  <c r="F38" i="16"/>
  <c r="F37" i="16"/>
  <c r="F36" i="16"/>
  <c r="F35" i="16"/>
  <c r="F34" i="16"/>
  <c r="F33" i="16"/>
  <c r="F32" i="16"/>
  <c r="F31" i="16"/>
  <c r="F30" i="16"/>
  <c r="F29" i="16"/>
  <c r="F28" i="16"/>
  <c r="F27" i="16"/>
  <c r="F26" i="16"/>
  <c r="F25" i="16"/>
  <c r="F24" i="16"/>
  <c r="F23" i="16"/>
  <c r="F22" i="16"/>
  <c r="F21" i="16"/>
  <c r="F20" i="16"/>
  <c r="F19" i="16"/>
  <c r="F18" i="16"/>
  <c r="F17" i="16"/>
  <c r="F16" i="16"/>
  <c r="F15" i="16"/>
  <c r="F14" i="16"/>
  <c r="F13" i="16"/>
  <c r="F12" i="16"/>
  <c r="F11" i="16"/>
  <c r="F10" i="16"/>
  <c r="F9" i="16"/>
  <c r="F8" i="16"/>
  <c r="F7" i="16"/>
  <c r="F6" i="16"/>
  <c r="F5" i="16"/>
  <c r="F4" i="16"/>
  <c r="F3" i="16"/>
  <c r="I3" i="17"/>
  <c r="I4" i="17"/>
  <c r="I5" i="17"/>
  <c r="I6" i="17"/>
  <c r="I7" i="17"/>
  <c r="I8" i="17"/>
  <c r="I9" i="17"/>
  <c r="I10" i="17"/>
  <c r="I11" i="17"/>
  <c r="I12" i="17"/>
  <c r="I13" i="17"/>
  <c r="I14" i="17"/>
  <c r="I15" i="17"/>
  <c r="I16" i="17"/>
  <c r="I17" i="17"/>
  <c r="I18" i="17"/>
  <c r="I19" i="17"/>
  <c r="I20" i="17"/>
  <c r="I21" i="17"/>
  <c r="I22" i="17"/>
  <c r="I23" i="17"/>
  <c r="I24" i="17"/>
  <c r="I25" i="17"/>
  <c r="I26" i="17"/>
  <c r="I27" i="17"/>
  <c r="I28" i="17"/>
  <c r="I29" i="17"/>
  <c r="I30" i="17"/>
  <c r="I31" i="17"/>
  <c r="I32" i="17"/>
  <c r="I33" i="17"/>
  <c r="I2" i="17"/>
  <c r="G3" i="16"/>
  <c r="G4" i="16"/>
  <c r="G5" i="16"/>
  <c r="G6" i="16"/>
  <c r="G7" i="16"/>
  <c r="G8" i="16"/>
  <c r="G9" i="16"/>
  <c r="G10" i="16"/>
  <c r="G11" i="16"/>
  <c r="G12" i="16"/>
  <c r="G13" i="16"/>
  <c r="G14" i="16"/>
  <c r="G15" i="16"/>
  <c r="G16" i="16"/>
  <c r="G17" i="16"/>
  <c r="G18" i="16"/>
  <c r="G19" i="16"/>
  <c r="G20" i="16"/>
  <c r="G21" i="16"/>
  <c r="G22" i="16"/>
  <c r="G23" i="16"/>
  <c r="G24" i="16"/>
  <c r="G25" i="16"/>
  <c r="G26" i="16"/>
  <c r="G27" i="16"/>
  <c r="G28" i="16"/>
  <c r="G29" i="16"/>
  <c r="G30" i="16"/>
  <c r="G31" i="16"/>
  <c r="G32" i="16"/>
  <c r="G33" i="16"/>
  <c r="G34" i="16"/>
  <c r="G35" i="16"/>
  <c r="G36" i="16"/>
  <c r="G37" i="16"/>
  <c r="G38" i="16"/>
  <c r="G39" i="16"/>
  <c r="G40" i="16"/>
  <c r="G41" i="16"/>
  <c r="G42" i="16"/>
  <c r="G43" i="16"/>
  <c r="G44" i="16"/>
  <c r="G45" i="16"/>
  <c r="G46" i="16"/>
  <c r="G47" i="16"/>
  <c r="G48" i="16"/>
  <c r="G49" i="16"/>
  <c r="G50" i="16"/>
  <c r="G51" i="16"/>
  <c r="G52" i="16"/>
  <c r="G53" i="16"/>
  <c r="G54" i="16"/>
  <c r="G55" i="16"/>
  <c r="G56" i="16"/>
  <c r="G57" i="16"/>
  <c r="G58" i="16"/>
  <c r="G59" i="16"/>
  <c r="G60" i="16"/>
  <c r="G61" i="16"/>
  <c r="G62" i="16"/>
  <c r="G63" i="16"/>
  <c r="G64" i="16"/>
  <c r="G65" i="16"/>
  <c r="G66" i="16"/>
  <c r="G67" i="16"/>
  <c r="G68" i="16"/>
  <c r="G69" i="16"/>
  <c r="G70" i="16"/>
  <c r="G71" i="16"/>
  <c r="G72" i="16"/>
  <c r="G73" i="16"/>
  <c r="G74" i="16"/>
  <c r="G75" i="16"/>
  <c r="G76" i="16"/>
  <c r="G77" i="16"/>
  <c r="G78" i="16"/>
  <c r="G79" i="16"/>
  <c r="G80" i="16"/>
  <c r="G81" i="16"/>
  <c r="G82" i="16"/>
  <c r="G83" i="16"/>
  <c r="G84" i="16"/>
  <c r="G85" i="16"/>
  <c r="G86" i="16"/>
  <c r="G87" i="16"/>
  <c r="G88" i="16"/>
  <c r="G89" i="16"/>
  <c r="G90" i="16"/>
  <c r="G91" i="16"/>
  <c r="G92" i="16"/>
  <c r="G93" i="16"/>
  <c r="G94" i="16"/>
  <c r="G95" i="16"/>
  <c r="G96" i="16"/>
  <c r="G97" i="16"/>
  <c r="G98" i="16"/>
  <c r="G99" i="16"/>
  <c r="G100" i="16"/>
  <c r="G101" i="16"/>
  <c r="G102" i="16"/>
  <c r="G103" i="16"/>
  <c r="G104" i="16"/>
  <c r="G105" i="16"/>
  <c r="G106" i="16"/>
  <c r="G107" i="16"/>
  <c r="G108" i="16"/>
  <c r="G109" i="16"/>
  <c r="G110" i="16"/>
  <c r="G111" i="16"/>
  <c r="G112" i="16"/>
  <c r="G113" i="16"/>
  <c r="G114" i="16"/>
  <c r="G115" i="16"/>
  <c r="G116" i="16"/>
  <c r="G117" i="16"/>
  <c r="G118" i="16"/>
  <c r="G119" i="16"/>
  <c r="G120" i="16"/>
  <c r="G121" i="16"/>
  <c r="G122" i="16"/>
  <c r="G123" i="16"/>
  <c r="G124" i="16"/>
  <c r="G125" i="16"/>
  <c r="G126" i="16"/>
  <c r="G127" i="16"/>
  <c r="G128" i="16"/>
  <c r="G129" i="16"/>
  <c r="G130" i="16"/>
  <c r="G131" i="16"/>
  <c r="G132" i="16"/>
  <c r="G133" i="16"/>
  <c r="G134" i="16"/>
  <c r="G135" i="16"/>
  <c r="G136" i="16"/>
  <c r="G137" i="16"/>
  <c r="G138" i="16"/>
  <c r="G139" i="16"/>
  <c r="G140" i="16"/>
  <c r="G141" i="16"/>
  <c r="G142" i="16"/>
  <c r="G143" i="16"/>
  <c r="G144" i="16"/>
  <c r="G145" i="16"/>
  <c r="G146" i="16"/>
  <c r="G147" i="16"/>
  <c r="G148" i="16"/>
  <c r="G149" i="16"/>
  <c r="G150" i="16"/>
  <c r="G151" i="16"/>
  <c r="G152" i="16"/>
  <c r="G153" i="16"/>
  <c r="G154" i="16"/>
  <c r="G155" i="16"/>
  <c r="G156" i="16"/>
  <c r="G157" i="16"/>
  <c r="G158" i="16"/>
  <c r="G159" i="16"/>
  <c r="G160" i="16"/>
  <c r="G161" i="16"/>
  <c r="G162" i="16"/>
  <c r="G163" i="16"/>
  <c r="G164" i="16"/>
  <c r="G165" i="16"/>
  <c r="G166" i="16"/>
  <c r="G167" i="16"/>
  <c r="G168" i="16"/>
  <c r="G169" i="16"/>
  <c r="G170" i="16"/>
  <c r="G171" i="16"/>
  <c r="G172" i="16"/>
  <c r="G173" i="16"/>
  <c r="G174" i="16"/>
  <c r="G175" i="16"/>
  <c r="G176" i="16"/>
  <c r="G177" i="16"/>
  <c r="G178" i="16"/>
  <c r="G179" i="16"/>
  <c r="G180" i="16"/>
  <c r="G181" i="16"/>
  <c r="G182" i="16"/>
  <c r="G183" i="16"/>
  <c r="G184" i="16"/>
  <c r="G185" i="16"/>
  <c r="G186" i="16"/>
  <c r="G187" i="16"/>
  <c r="G188" i="16"/>
  <c r="G189" i="16"/>
  <c r="G190" i="16"/>
  <c r="G191" i="16"/>
  <c r="G192" i="16"/>
  <c r="G193" i="16"/>
  <c r="G194" i="16"/>
  <c r="G195" i="16"/>
  <c r="G196" i="16"/>
  <c r="G197" i="16"/>
  <c r="G198" i="16"/>
  <c r="G199" i="16"/>
  <c r="G200" i="16"/>
  <c r="G201" i="16"/>
  <c r="G202" i="16"/>
  <c r="G203" i="16"/>
  <c r="G204" i="16"/>
  <c r="G205" i="16"/>
  <c r="G206" i="16"/>
  <c r="G207" i="16"/>
  <c r="G208" i="16"/>
  <c r="G209" i="16"/>
  <c r="G210" i="16"/>
  <c r="G211" i="16"/>
  <c r="G212" i="16"/>
  <c r="G213" i="16"/>
  <c r="G214" i="16"/>
  <c r="G215" i="16"/>
  <c r="G216" i="16"/>
  <c r="G217" i="16"/>
  <c r="G218" i="16"/>
  <c r="G219" i="16"/>
  <c r="G220" i="16"/>
  <c r="G221" i="16"/>
  <c r="G222" i="16"/>
  <c r="G223" i="16"/>
  <c r="G224" i="16"/>
  <c r="G225" i="16"/>
  <c r="G226" i="16"/>
  <c r="G227" i="16"/>
  <c r="G228" i="16"/>
  <c r="G229" i="16"/>
  <c r="G230" i="16"/>
  <c r="G231" i="16"/>
  <c r="G232" i="16"/>
  <c r="G233" i="16"/>
  <c r="G234" i="16"/>
  <c r="G235" i="16"/>
  <c r="G236" i="16"/>
  <c r="G237" i="16"/>
  <c r="G238" i="16"/>
  <c r="G239" i="16"/>
  <c r="G240" i="16"/>
  <c r="G241" i="16"/>
  <c r="G242" i="16"/>
  <c r="G243" i="16"/>
  <c r="G244" i="16"/>
  <c r="G245" i="16"/>
  <c r="G246" i="16"/>
  <c r="G247" i="16"/>
  <c r="G248" i="16"/>
  <c r="G249" i="16"/>
  <c r="G250" i="16"/>
  <c r="G251" i="16"/>
  <c r="G252" i="16"/>
  <c r="G253" i="16"/>
  <c r="G254" i="16"/>
  <c r="G255" i="16"/>
  <c r="G256" i="16"/>
  <c r="G257" i="16"/>
  <c r="G258" i="16"/>
  <c r="G259" i="16"/>
  <c r="G260" i="16"/>
  <c r="G261" i="16"/>
  <c r="G262" i="16"/>
  <c r="G263" i="16"/>
  <c r="G264" i="16"/>
  <c r="G265" i="16"/>
  <c r="G266" i="16"/>
  <c r="G267" i="16"/>
  <c r="G268" i="16"/>
  <c r="G269" i="16"/>
  <c r="G270" i="16"/>
  <c r="G271" i="16"/>
  <c r="G272" i="16"/>
  <c r="G273" i="16"/>
  <c r="G274" i="16"/>
  <c r="G275" i="16"/>
  <c r="G276" i="16"/>
  <c r="G277" i="16"/>
  <c r="G278" i="16"/>
  <c r="G279" i="16"/>
  <c r="G280" i="16"/>
  <c r="G281" i="16"/>
  <c r="G282" i="16"/>
  <c r="G283" i="16"/>
  <c r="G284" i="16"/>
  <c r="G285" i="16"/>
  <c r="G286" i="16"/>
  <c r="G287" i="16"/>
  <c r="G288" i="16"/>
  <c r="G289" i="16"/>
  <c r="G290" i="16"/>
  <c r="G291" i="16"/>
  <c r="G292" i="16"/>
  <c r="G293" i="16"/>
  <c r="G294" i="16"/>
  <c r="G295" i="16"/>
  <c r="G296" i="16"/>
  <c r="G297" i="16"/>
  <c r="G298" i="16"/>
  <c r="G299" i="16"/>
  <c r="G300" i="16"/>
  <c r="G301" i="16"/>
  <c r="G302" i="16"/>
  <c r="G303" i="16"/>
  <c r="G304" i="16"/>
  <c r="G305" i="16"/>
  <c r="G306" i="16"/>
  <c r="G307" i="16"/>
  <c r="G308" i="16"/>
  <c r="G309" i="16"/>
  <c r="G310" i="16"/>
  <c r="G311" i="16"/>
  <c r="G312" i="16"/>
  <c r="G313" i="16"/>
  <c r="G314" i="16"/>
  <c r="G315" i="16"/>
  <c r="G316" i="16"/>
  <c r="G317" i="16"/>
  <c r="G318" i="16"/>
  <c r="G319" i="16"/>
  <c r="G320" i="16"/>
  <c r="G321" i="16"/>
  <c r="G322" i="16"/>
  <c r="G323" i="16"/>
  <c r="G324" i="16"/>
  <c r="G325" i="16"/>
  <c r="G326" i="16"/>
  <c r="G327" i="16"/>
  <c r="G328" i="16"/>
  <c r="G329" i="16"/>
  <c r="G330" i="16"/>
  <c r="G331" i="16"/>
  <c r="G332" i="16"/>
  <c r="G333" i="16"/>
  <c r="G334" i="16"/>
  <c r="G335" i="16"/>
  <c r="G336" i="16"/>
  <c r="G337" i="16"/>
  <c r="G338" i="16"/>
  <c r="G339" i="16"/>
  <c r="G340" i="16"/>
  <c r="G341" i="16"/>
  <c r="G342" i="16"/>
  <c r="G343" i="16"/>
  <c r="G344" i="16"/>
  <c r="G345" i="16"/>
  <c r="G346" i="16"/>
  <c r="G347" i="16"/>
  <c r="G348" i="16"/>
  <c r="G349" i="16"/>
  <c r="G350" i="16"/>
  <c r="G351" i="16"/>
  <c r="G352" i="16"/>
  <c r="G353" i="16"/>
  <c r="G354" i="16"/>
  <c r="G355" i="16"/>
  <c r="G356" i="16"/>
  <c r="G357" i="16"/>
  <c r="G358" i="16"/>
  <c r="G359" i="16"/>
  <c r="G360" i="16"/>
  <c r="G361" i="16"/>
  <c r="G362" i="16"/>
  <c r="G363" i="16"/>
  <c r="G364" i="16"/>
  <c r="G365" i="16"/>
  <c r="G366" i="16"/>
  <c r="G367" i="16"/>
  <c r="G368" i="16"/>
  <c r="G369" i="16"/>
  <c r="G370" i="16"/>
  <c r="G371" i="16"/>
  <c r="G372" i="16"/>
  <c r="G373" i="16"/>
  <c r="G374" i="16"/>
  <c r="G375" i="16"/>
  <c r="G376" i="16"/>
  <c r="G377" i="16"/>
  <c r="G378" i="16"/>
  <c r="G379" i="16"/>
  <c r="G380" i="16"/>
  <c r="G381" i="16"/>
  <c r="G382" i="16"/>
  <c r="G383" i="16"/>
  <c r="G384" i="16"/>
  <c r="G385" i="16"/>
  <c r="G386" i="16"/>
  <c r="G387" i="16"/>
  <c r="G388" i="16"/>
  <c r="G389" i="16"/>
  <c r="G390" i="16"/>
  <c r="G391" i="16"/>
  <c r="G392" i="16"/>
  <c r="G393" i="16"/>
  <c r="G394" i="16"/>
  <c r="G395" i="16"/>
  <c r="G396" i="16"/>
  <c r="G397" i="16"/>
  <c r="G398" i="16"/>
  <c r="G399" i="16"/>
  <c r="G400" i="16"/>
  <c r="G401" i="16"/>
  <c r="G402" i="16"/>
  <c r="G403" i="16"/>
  <c r="G404" i="16"/>
  <c r="G405" i="16"/>
  <c r="G406" i="16"/>
  <c r="G407" i="16"/>
  <c r="G408" i="16"/>
  <c r="G409" i="16"/>
  <c r="G410" i="16"/>
  <c r="G411" i="16"/>
  <c r="G412" i="16"/>
  <c r="G413" i="16"/>
  <c r="G414" i="16"/>
  <c r="G415" i="16"/>
  <c r="G416" i="16"/>
  <c r="G417" i="16"/>
  <c r="G418" i="16"/>
  <c r="G419" i="16"/>
  <c r="G420" i="16"/>
  <c r="G421" i="16"/>
  <c r="G422" i="16"/>
  <c r="G423" i="16"/>
  <c r="G424" i="16"/>
  <c r="G425" i="16"/>
  <c r="G426" i="16"/>
  <c r="G427" i="16"/>
  <c r="G428" i="16"/>
  <c r="G429" i="16"/>
  <c r="G430" i="16"/>
  <c r="G431" i="16"/>
  <c r="G432" i="16"/>
  <c r="G433" i="16"/>
  <c r="G434" i="16"/>
  <c r="G435" i="16"/>
  <c r="G436" i="16"/>
  <c r="G437" i="16"/>
  <c r="G438" i="16"/>
  <c r="G439" i="16"/>
  <c r="G440" i="16"/>
  <c r="G441" i="16"/>
  <c r="G442" i="16"/>
  <c r="G443" i="16"/>
  <c r="G444" i="16"/>
  <c r="G445" i="16"/>
  <c r="G446" i="16"/>
  <c r="G447" i="16"/>
  <c r="G448" i="16"/>
  <c r="G449" i="16"/>
  <c r="G450" i="16"/>
  <c r="G451" i="16"/>
  <c r="G452" i="16"/>
  <c r="G453" i="16"/>
  <c r="G454" i="16"/>
  <c r="G455" i="16"/>
  <c r="G456" i="16"/>
  <c r="G457" i="16"/>
  <c r="G458" i="16"/>
  <c r="G459" i="16"/>
  <c r="G460" i="16"/>
  <c r="G461" i="16"/>
  <c r="G462" i="16"/>
  <c r="G463" i="16"/>
  <c r="G464" i="16"/>
  <c r="G465" i="16"/>
  <c r="G466" i="16"/>
  <c r="G467" i="16"/>
  <c r="G468" i="16"/>
  <c r="G469" i="16"/>
  <c r="G470" i="16"/>
  <c r="G471" i="16"/>
  <c r="G472" i="16"/>
  <c r="G473" i="16"/>
  <c r="G474" i="16"/>
  <c r="G475" i="16"/>
  <c r="G476" i="16"/>
  <c r="G477" i="16"/>
  <c r="G478" i="16"/>
  <c r="G479" i="16"/>
  <c r="G480" i="16"/>
  <c r="G481" i="16"/>
  <c r="G482" i="16"/>
  <c r="G483" i="16"/>
  <c r="G484" i="16"/>
  <c r="G485" i="16"/>
  <c r="G486" i="16"/>
  <c r="G487" i="16"/>
  <c r="G488" i="16"/>
  <c r="G489" i="16"/>
  <c r="G490" i="16"/>
  <c r="G491" i="16"/>
  <c r="G492" i="16"/>
  <c r="G493" i="16"/>
  <c r="G494" i="16"/>
  <c r="G495" i="16"/>
  <c r="G496" i="16"/>
  <c r="G497" i="16"/>
  <c r="G498" i="16"/>
  <c r="G499" i="16"/>
  <c r="G500" i="16"/>
  <c r="G501" i="16"/>
  <c r="G502" i="16"/>
  <c r="G503" i="16"/>
  <c r="G504" i="16"/>
  <c r="G505" i="16"/>
  <c r="G506" i="16"/>
  <c r="G507" i="16"/>
  <c r="G508" i="16"/>
  <c r="G509" i="16"/>
  <c r="G510" i="16"/>
  <c r="G511" i="16"/>
  <c r="G512" i="16"/>
  <c r="G513" i="16"/>
  <c r="G514" i="16"/>
  <c r="G515" i="16"/>
  <c r="G516" i="16"/>
  <c r="G517" i="16"/>
  <c r="G518" i="16"/>
  <c r="G519" i="16"/>
  <c r="G520" i="16"/>
  <c r="G521" i="16"/>
  <c r="G522" i="16"/>
  <c r="G523" i="16"/>
  <c r="G524" i="16"/>
  <c r="G525" i="16"/>
  <c r="G526" i="16"/>
  <c r="G527" i="16"/>
  <c r="G528" i="16"/>
  <c r="G529" i="16"/>
  <c r="G530" i="16"/>
  <c r="G531" i="16"/>
  <c r="G532" i="16"/>
  <c r="G533" i="16"/>
  <c r="G534" i="16"/>
  <c r="G535" i="16"/>
  <c r="G536" i="16"/>
  <c r="G537" i="16"/>
  <c r="G538" i="16"/>
  <c r="G539" i="16"/>
  <c r="G540" i="16"/>
  <c r="G541" i="16"/>
  <c r="G542" i="16"/>
  <c r="G543" i="16"/>
  <c r="G544" i="16"/>
  <c r="G545" i="16"/>
  <c r="G546" i="16"/>
  <c r="G547" i="16"/>
  <c r="G548" i="16"/>
  <c r="G549" i="16"/>
  <c r="G550" i="16"/>
  <c r="G551" i="16"/>
  <c r="G552" i="16"/>
  <c r="G553" i="16"/>
  <c r="G554" i="16"/>
  <c r="G555" i="16"/>
  <c r="G556" i="16"/>
  <c r="G557" i="16"/>
  <c r="G558" i="16"/>
  <c r="G559" i="16"/>
  <c r="G560" i="16"/>
  <c r="G561" i="16"/>
  <c r="G562" i="16"/>
  <c r="G563" i="16"/>
  <c r="G564" i="16"/>
  <c r="G565" i="16"/>
  <c r="G566" i="16"/>
  <c r="G567" i="16"/>
  <c r="G568" i="16"/>
  <c r="G569" i="16"/>
  <c r="G570" i="16"/>
  <c r="G571" i="16"/>
  <c r="G572" i="16"/>
  <c r="G573" i="16"/>
  <c r="G574" i="16"/>
  <c r="G575" i="16"/>
  <c r="G576" i="16"/>
  <c r="G577" i="16"/>
  <c r="G578" i="16"/>
  <c r="G579" i="16"/>
  <c r="G580" i="16"/>
  <c r="G581" i="16"/>
  <c r="G582" i="16"/>
  <c r="G583" i="16"/>
  <c r="G584" i="16"/>
  <c r="G585" i="16"/>
  <c r="G586" i="16"/>
  <c r="G587" i="16"/>
  <c r="G588" i="16"/>
  <c r="G589" i="16"/>
  <c r="G590" i="16"/>
  <c r="G591" i="16"/>
  <c r="G592" i="16"/>
  <c r="G593" i="16"/>
  <c r="G594" i="16"/>
  <c r="G595" i="16"/>
  <c r="G596" i="16"/>
  <c r="G597" i="16"/>
  <c r="G598" i="16"/>
  <c r="G599" i="16"/>
  <c r="G600" i="16"/>
  <c r="G601" i="16"/>
  <c r="G602" i="16"/>
  <c r="G603" i="16"/>
  <c r="G604" i="16"/>
  <c r="G605" i="16"/>
  <c r="G606" i="16"/>
  <c r="G607" i="16"/>
  <c r="G608" i="16"/>
  <c r="G609" i="16"/>
  <c r="G610" i="16"/>
  <c r="G611" i="16"/>
  <c r="G612" i="16"/>
  <c r="G613" i="16"/>
  <c r="G614" i="16"/>
  <c r="G615" i="16"/>
  <c r="G616" i="16"/>
  <c r="G617" i="16"/>
  <c r="G618" i="16"/>
  <c r="G619" i="16"/>
  <c r="G620" i="16"/>
  <c r="G621" i="16"/>
  <c r="G622" i="16"/>
  <c r="G623" i="16"/>
  <c r="G624" i="16"/>
  <c r="G625" i="16"/>
  <c r="G626" i="16"/>
  <c r="G627" i="16"/>
  <c r="G628" i="16"/>
  <c r="G629" i="16"/>
  <c r="G630" i="16"/>
  <c r="G631" i="16"/>
  <c r="G632" i="16"/>
  <c r="G633" i="16"/>
  <c r="G634" i="16"/>
  <c r="G635" i="16"/>
  <c r="G636" i="16"/>
  <c r="G637" i="16"/>
  <c r="G638" i="16"/>
  <c r="G639" i="16"/>
  <c r="G640" i="16"/>
  <c r="G641" i="16"/>
  <c r="G642" i="16"/>
  <c r="G643" i="16"/>
  <c r="G644" i="16"/>
  <c r="G645" i="16"/>
  <c r="G646" i="16"/>
  <c r="G647" i="16"/>
  <c r="G648" i="16"/>
  <c r="G649" i="16"/>
  <c r="G650" i="16"/>
  <c r="G651" i="16"/>
  <c r="G652" i="16"/>
  <c r="G653" i="16"/>
  <c r="G654" i="16"/>
  <c r="G655" i="16"/>
  <c r="G656" i="16"/>
  <c r="G657" i="16"/>
  <c r="G658" i="16"/>
  <c r="G659" i="16"/>
  <c r="G660" i="16"/>
  <c r="G661" i="16"/>
  <c r="G662" i="16"/>
  <c r="G663" i="16"/>
  <c r="G664" i="16"/>
  <c r="G665" i="16"/>
  <c r="G666" i="16"/>
  <c r="G667" i="16"/>
  <c r="G668" i="16"/>
  <c r="G669" i="16"/>
  <c r="G670" i="16"/>
  <c r="G671" i="16"/>
  <c r="G672" i="16"/>
  <c r="G673" i="16"/>
  <c r="G674" i="16"/>
  <c r="G675" i="16"/>
  <c r="G676" i="16"/>
  <c r="G677" i="16"/>
  <c r="G678" i="16"/>
  <c r="G679" i="16"/>
  <c r="G680" i="16"/>
  <c r="G681" i="16"/>
  <c r="G682" i="16"/>
  <c r="G683" i="16"/>
  <c r="G684" i="16"/>
  <c r="G685" i="16"/>
  <c r="G686" i="16"/>
  <c r="G687" i="16"/>
  <c r="G688" i="16"/>
  <c r="G689" i="16"/>
  <c r="G690" i="16"/>
  <c r="G691" i="16"/>
  <c r="G692" i="16"/>
  <c r="G693" i="16"/>
  <c r="G694" i="16"/>
  <c r="G695" i="16"/>
  <c r="G696" i="16"/>
  <c r="G697" i="16"/>
  <c r="G698" i="16"/>
  <c r="G699" i="16"/>
  <c r="G700" i="16"/>
  <c r="G701" i="16"/>
  <c r="G702" i="16"/>
  <c r="G703" i="16"/>
  <c r="G704" i="16"/>
  <c r="G705" i="16"/>
  <c r="G706" i="16"/>
  <c r="G707" i="16"/>
  <c r="G708" i="16"/>
  <c r="G709" i="16"/>
  <c r="G710" i="16"/>
  <c r="G711" i="16"/>
  <c r="G712" i="16"/>
  <c r="G713" i="16"/>
  <c r="G714" i="16"/>
  <c r="G715" i="16"/>
  <c r="G716" i="16"/>
  <c r="G717" i="16"/>
  <c r="G718" i="16"/>
  <c r="G719" i="16"/>
  <c r="G720" i="16"/>
  <c r="G721" i="16"/>
  <c r="G722" i="16"/>
  <c r="G723" i="16"/>
  <c r="G724" i="16"/>
  <c r="G725" i="16"/>
  <c r="G726" i="16"/>
  <c r="G727" i="16"/>
  <c r="G728" i="16"/>
  <c r="G729" i="16"/>
  <c r="G730" i="16"/>
  <c r="G731" i="16"/>
  <c r="G732" i="16"/>
  <c r="G733" i="16"/>
  <c r="G734" i="16"/>
  <c r="G735" i="16"/>
  <c r="G736" i="16"/>
  <c r="G737" i="16"/>
  <c r="G738" i="16"/>
  <c r="G739" i="16"/>
  <c r="G740" i="16"/>
  <c r="G741" i="16"/>
  <c r="G742" i="16"/>
  <c r="G743" i="16"/>
  <c r="G744" i="16"/>
  <c r="G745" i="16"/>
  <c r="G746" i="16"/>
  <c r="G747" i="16"/>
  <c r="G748" i="16"/>
  <c r="G749" i="16"/>
  <c r="G750" i="16"/>
  <c r="G751" i="16"/>
  <c r="G752" i="16"/>
  <c r="G753" i="16"/>
  <c r="G754" i="16"/>
  <c r="G755" i="16"/>
  <c r="G756" i="16"/>
  <c r="G757" i="16"/>
  <c r="G758" i="16"/>
  <c r="G759" i="16"/>
  <c r="G760" i="16"/>
  <c r="G761" i="16"/>
  <c r="G762" i="16"/>
  <c r="G763" i="16"/>
  <c r="G764" i="16"/>
  <c r="G765" i="16"/>
  <c r="G766" i="16"/>
  <c r="G767" i="16"/>
  <c r="G768" i="16"/>
  <c r="G769" i="16"/>
  <c r="G770" i="16"/>
  <c r="G771" i="16"/>
  <c r="G772" i="16"/>
  <c r="G773" i="16"/>
  <c r="G774" i="16"/>
  <c r="G775" i="16"/>
  <c r="G776" i="16"/>
  <c r="G777" i="16"/>
  <c r="G778" i="16"/>
  <c r="G779" i="16"/>
  <c r="G780" i="16"/>
  <c r="G781" i="16"/>
  <c r="G782" i="16"/>
  <c r="G783" i="16"/>
  <c r="G784" i="16"/>
  <c r="G785" i="16"/>
  <c r="G786" i="16"/>
  <c r="G787" i="16"/>
  <c r="G788" i="16"/>
  <c r="G789" i="16"/>
  <c r="G790" i="16"/>
  <c r="G791" i="16"/>
  <c r="G792" i="16"/>
  <c r="G793" i="16"/>
  <c r="G794" i="16"/>
  <c r="G795" i="16"/>
  <c r="G796" i="16"/>
  <c r="G797" i="16"/>
  <c r="G798" i="16"/>
  <c r="G799" i="16"/>
  <c r="G800" i="16"/>
  <c r="G801" i="16"/>
  <c r="G802" i="16"/>
  <c r="G803" i="16"/>
  <c r="G804" i="16"/>
  <c r="G805" i="16"/>
  <c r="G806" i="16"/>
  <c r="G807" i="16"/>
  <c r="G808" i="16"/>
  <c r="G809" i="16"/>
  <c r="G810" i="16"/>
  <c r="G811" i="16"/>
  <c r="G812" i="16"/>
  <c r="G813" i="16"/>
  <c r="G814" i="16"/>
  <c r="G815" i="16"/>
  <c r="G816" i="16"/>
  <c r="G817" i="16"/>
  <c r="G818" i="16"/>
  <c r="G819" i="16"/>
  <c r="G820" i="16"/>
  <c r="G821" i="16"/>
  <c r="G822" i="16"/>
  <c r="G823" i="16"/>
  <c r="G824" i="16"/>
  <c r="G825" i="16"/>
  <c r="G826" i="16"/>
  <c r="G827" i="16"/>
  <c r="G828" i="16"/>
  <c r="G829" i="16"/>
  <c r="G830" i="16"/>
  <c r="G831" i="16"/>
  <c r="G832" i="16"/>
  <c r="G833" i="16"/>
  <c r="G834" i="16"/>
  <c r="G835" i="16"/>
  <c r="G836" i="16"/>
  <c r="G837" i="16"/>
  <c r="G838" i="16"/>
  <c r="G839" i="16"/>
  <c r="G840" i="16"/>
  <c r="G841" i="16"/>
  <c r="G842" i="16"/>
  <c r="G843" i="16"/>
  <c r="G844" i="16"/>
  <c r="G845" i="16"/>
  <c r="G846" i="16"/>
  <c r="G847" i="16"/>
  <c r="G848" i="16"/>
  <c r="G849" i="16"/>
  <c r="G850" i="16"/>
  <c r="G851" i="16"/>
  <c r="G852" i="16"/>
  <c r="G853" i="16"/>
  <c r="G854" i="16"/>
  <c r="G855" i="16"/>
  <c r="G856" i="16"/>
  <c r="G857" i="16"/>
  <c r="G858" i="16"/>
  <c r="G859" i="16"/>
  <c r="G860" i="16"/>
  <c r="G861" i="16"/>
  <c r="G862" i="16"/>
  <c r="G863" i="16"/>
  <c r="G864" i="16"/>
  <c r="G865" i="16"/>
  <c r="G866" i="16"/>
  <c r="G867" i="16"/>
  <c r="G868" i="16"/>
  <c r="G869" i="16"/>
  <c r="G870" i="16"/>
  <c r="G871" i="16"/>
  <c r="G872" i="16"/>
  <c r="G873" i="16"/>
  <c r="G874" i="16"/>
  <c r="G875" i="16"/>
  <c r="G876" i="16"/>
  <c r="G877" i="16"/>
  <c r="G878" i="16"/>
  <c r="G879" i="16"/>
  <c r="G880" i="16"/>
  <c r="G881" i="16"/>
  <c r="G882" i="16"/>
  <c r="G883" i="16"/>
  <c r="G884" i="16"/>
  <c r="G885" i="16"/>
  <c r="G886" i="16"/>
  <c r="G887" i="16"/>
  <c r="G888" i="16"/>
  <c r="G889" i="16"/>
  <c r="G890" i="16"/>
  <c r="G891" i="16"/>
  <c r="G892" i="16"/>
  <c r="G893" i="16"/>
  <c r="G894" i="16"/>
  <c r="G895" i="16"/>
  <c r="G896" i="16"/>
  <c r="G897" i="16"/>
  <c r="G898" i="16"/>
  <c r="G899" i="16"/>
  <c r="G900" i="16"/>
  <c r="G901" i="16"/>
  <c r="G902" i="16"/>
  <c r="G903" i="16"/>
  <c r="G904" i="16"/>
  <c r="G905" i="16"/>
  <c r="G906" i="16"/>
  <c r="G907" i="16"/>
  <c r="G908" i="16"/>
  <c r="G909" i="16"/>
  <c r="G910" i="16"/>
  <c r="G911" i="16"/>
  <c r="G912" i="16"/>
  <c r="G913" i="16"/>
  <c r="G914" i="16"/>
  <c r="G915" i="16"/>
  <c r="G916" i="16"/>
  <c r="G917" i="16"/>
  <c r="G918" i="16"/>
  <c r="G919" i="16"/>
  <c r="G920" i="16"/>
  <c r="G921" i="16"/>
  <c r="G922" i="16"/>
  <c r="G923" i="16"/>
  <c r="G924" i="16"/>
  <c r="G925" i="16"/>
  <c r="G926" i="16"/>
  <c r="G927" i="16"/>
  <c r="G928" i="16"/>
  <c r="G929" i="16"/>
  <c r="G930" i="16"/>
  <c r="G931" i="16"/>
  <c r="G932" i="16"/>
  <c r="G933" i="16"/>
  <c r="G934" i="16"/>
  <c r="G935" i="16"/>
  <c r="G936" i="16"/>
  <c r="G937" i="16"/>
  <c r="G938" i="16"/>
  <c r="G939" i="16"/>
  <c r="G940" i="16"/>
  <c r="G941" i="16"/>
  <c r="G942" i="16"/>
  <c r="G943" i="16"/>
  <c r="G944" i="16"/>
  <c r="G945" i="16"/>
  <c r="G946" i="16"/>
  <c r="G947" i="16"/>
  <c r="G948" i="16"/>
  <c r="G949" i="16"/>
  <c r="G950" i="16"/>
  <c r="G951" i="16"/>
  <c r="G952" i="16"/>
  <c r="G953" i="16"/>
  <c r="G954" i="16"/>
  <c r="G955" i="16"/>
  <c r="G956" i="16"/>
  <c r="G957" i="16"/>
  <c r="G958" i="16"/>
  <c r="G959" i="16"/>
  <c r="G960" i="16"/>
  <c r="G961" i="16"/>
  <c r="G962" i="16"/>
  <c r="G963" i="16"/>
  <c r="G964" i="16"/>
  <c r="G965" i="16"/>
  <c r="G966" i="16"/>
  <c r="G967" i="16"/>
  <c r="G968" i="16"/>
  <c r="G969" i="16"/>
  <c r="G970" i="16"/>
  <c r="G971" i="16"/>
  <c r="G972" i="16"/>
  <c r="G973" i="16"/>
  <c r="G974" i="16"/>
  <c r="G975" i="16"/>
  <c r="G976" i="16"/>
  <c r="G977" i="16"/>
  <c r="G978" i="16"/>
  <c r="G979" i="16"/>
  <c r="G980" i="16"/>
  <c r="G981" i="16"/>
  <c r="G982" i="16"/>
  <c r="G983" i="16"/>
  <c r="G984" i="16"/>
  <c r="G985" i="16"/>
  <c r="G986" i="16"/>
  <c r="G987" i="16"/>
  <c r="G988" i="16"/>
  <c r="G989" i="16"/>
  <c r="G990" i="16"/>
  <c r="G991" i="16"/>
  <c r="G992" i="16"/>
  <c r="G993" i="16"/>
  <c r="G994" i="16"/>
  <c r="G995" i="16"/>
  <c r="G996" i="16"/>
  <c r="G997" i="16"/>
  <c r="G998" i="16"/>
  <c r="G999" i="16"/>
  <c r="G1000" i="16"/>
  <c r="G1001" i="16"/>
  <c r="G2" i="16"/>
  <c r="E14" i="16"/>
  <c r="E18" i="16"/>
  <c r="E30" i="16"/>
  <c r="E34" i="16"/>
  <c r="E46" i="16"/>
  <c r="E50" i="16"/>
  <c r="E62" i="16"/>
  <c r="E66" i="16"/>
  <c r="E78" i="16"/>
  <c r="E82" i="16"/>
  <c r="E93" i="16"/>
  <c r="E94" i="16"/>
  <c r="E98" i="16"/>
  <c r="E109" i="16"/>
  <c r="E110" i="16"/>
  <c r="E114" i="16"/>
  <c r="E125" i="16"/>
  <c r="E126" i="16"/>
  <c r="E130" i="16"/>
  <c r="E141" i="16"/>
  <c r="E142" i="16"/>
  <c r="E146" i="16"/>
  <c r="E157" i="16"/>
  <c r="E158" i="16"/>
  <c r="E162" i="16"/>
  <c r="E173" i="16"/>
  <c r="E174" i="16"/>
  <c r="E178" i="16"/>
  <c r="E189" i="16"/>
  <c r="E190" i="16"/>
  <c r="E194" i="16"/>
  <c r="E205" i="16"/>
  <c r="E206" i="16"/>
  <c r="E210" i="16"/>
  <c r="E221" i="16"/>
  <c r="E222" i="16"/>
  <c r="E226" i="16"/>
  <c r="E237" i="16"/>
  <c r="E238" i="16"/>
  <c r="E242" i="16"/>
  <c r="E253" i="16"/>
  <c r="E254" i="16"/>
  <c r="E258" i="16"/>
  <c r="E269" i="16"/>
  <c r="E270" i="16"/>
  <c r="E274" i="16"/>
  <c r="E285" i="16"/>
  <c r="E286" i="16"/>
  <c r="E290" i="16"/>
  <c r="E301" i="16"/>
  <c r="E302" i="16"/>
  <c r="E306" i="16"/>
  <c r="E317" i="16"/>
  <c r="E318" i="16"/>
  <c r="E322" i="16"/>
  <c r="E333" i="16"/>
  <c r="E334" i="16"/>
  <c r="E338" i="16"/>
  <c r="E349" i="16"/>
  <c r="E350" i="16"/>
  <c r="E354" i="16"/>
  <c r="E365" i="16"/>
  <c r="E366" i="16"/>
  <c r="E370" i="16"/>
  <c r="E381" i="16"/>
  <c r="E382" i="16"/>
  <c r="E386" i="16"/>
  <c r="E397" i="16"/>
  <c r="E398" i="16"/>
  <c r="E402" i="16"/>
  <c r="E413" i="16"/>
  <c r="E414" i="16"/>
  <c r="E418" i="16"/>
  <c r="E429" i="16"/>
  <c r="E430" i="16"/>
  <c r="E434" i="16"/>
  <c r="E445" i="16"/>
  <c r="E446" i="16"/>
  <c r="E450" i="16"/>
  <c r="E461" i="16"/>
  <c r="E462" i="16"/>
  <c r="E466" i="16"/>
  <c r="E477" i="16"/>
  <c r="E478" i="16"/>
  <c r="E482" i="16"/>
  <c r="E493" i="16"/>
  <c r="E494" i="16"/>
  <c r="E497" i="16"/>
  <c r="E498" i="16"/>
  <c r="E509" i="16"/>
  <c r="E510" i="16"/>
  <c r="E513" i="16"/>
  <c r="E514" i="16"/>
  <c r="E525" i="16"/>
  <c r="E526" i="16"/>
  <c r="E529" i="16"/>
  <c r="E530" i="16"/>
  <c r="E541" i="16"/>
  <c r="E542" i="16"/>
  <c r="E545" i="16"/>
  <c r="E546" i="16"/>
  <c r="E557" i="16"/>
  <c r="E558" i="16"/>
  <c r="E561" i="16"/>
  <c r="E562" i="16"/>
  <c r="E573" i="16"/>
  <c r="E574" i="16"/>
  <c r="E577" i="16"/>
  <c r="E578" i="16"/>
  <c r="E589" i="16"/>
  <c r="E590" i="16"/>
  <c r="E593" i="16"/>
  <c r="E594" i="16"/>
  <c r="E605" i="16"/>
  <c r="E606" i="16"/>
  <c r="E609" i="16"/>
  <c r="E610" i="16"/>
  <c r="E621" i="16"/>
  <c r="E622" i="16"/>
  <c r="E625" i="16"/>
  <c r="E626" i="16"/>
  <c r="E637" i="16"/>
  <c r="E638" i="16"/>
  <c r="E641" i="16"/>
  <c r="E642" i="16"/>
  <c r="E653" i="16"/>
  <c r="E654" i="16"/>
  <c r="E657" i="16"/>
  <c r="E658" i="16"/>
  <c r="E669" i="16"/>
  <c r="E670" i="16"/>
  <c r="E673" i="16"/>
  <c r="E674" i="16"/>
  <c r="E685" i="16"/>
  <c r="E686" i="16"/>
  <c r="E689" i="16"/>
  <c r="E690" i="16"/>
  <c r="E701" i="16"/>
  <c r="E702" i="16"/>
  <c r="E705" i="16"/>
  <c r="E706" i="16"/>
  <c r="E717" i="16"/>
  <c r="E718" i="16"/>
  <c r="E721" i="16"/>
  <c r="E722" i="16"/>
  <c r="E733" i="16"/>
  <c r="E734" i="16"/>
  <c r="E737" i="16"/>
  <c r="E738" i="16"/>
  <c r="E749" i="16"/>
  <c r="E750" i="16"/>
  <c r="E753" i="16"/>
  <c r="E754" i="16"/>
  <c r="E765" i="16"/>
  <c r="E766" i="16"/>
  <c r="E769" i="16"/>
  <c r="E770" i="16"/>
  <c r="E781" i="16"/>
  <c r="E782" i="16"/>
  <c r="E785" i="16"/>
  <c r="E786" i="16"/>
  <c r="E797" i="16"/>
  <c r="E798" i="16"/>
  <c r="E801" i="16"/>
  <c r="E802" i="16"/>
  <c r="E813" i="16"/>
  <c r="E814" i="16"/>
  <c r="E817" i="16"/>
  <c r="E818" i="16"/>
  <c r="E829" i="16"/>
  <c r="E830" i="16"/>
  <c r="E833" i="16"/>
  <c r="E834" i="16"/>
  <c r="E845" i="16"/>
  <c r="E846" i="16"/>
  <c r="E849" i="16"/>
  <c r="E850" i="16"/>
  <c r="E861" i="16"/>
  <c r="E862" i="16"/>
  <c r="E865" i="16"/>
  <c r="E866" i="16"/>
  <c r="E877" i="16"/>
  <c r="E878" i="16"/>
  <c r="E881" i="16"/>
  <c r="E882" i="16"/>
  <c r="E893" i="16"/>
  <c r="E894" i="16"/>
  <c r="E897" i="16"/>
  <c r="E898" i="16"/>
  <c r="E909" i="16"/>
  <c r="E910" i="16"/>
  <c r="E913" i="16"/>
  <c r="E914" i="16"/>
  <c r="E925" i="16"/>
  <c r="E926" i="16"/>
  <c r="E929" i="16"/>
  <c r="E930" i="16"/>
  <c r="E941" i="16"/>
  <c r="E942" i="16"/>
  <c r="E945" i="16"/>
  <c r="E946" i="16"/>
  <c r="E957" i="16"/>
  <c r="E958" i="16"/>
  <c r="E961" i="16"/>
  <c r="E962" i="16"/>
  <c r="E973" i="16"/>
  <c r="E974" i="16"/>
  <c r="E977" i="16"/>
  <c r="E978" i="16"/>
  <c r="E989" i="16"/>
  <c r="E990" i="16"/>
  <c r="E993" i="16"/>
  <c r="E994" i="16"/>
  <c r="G2" i="17"/>
  <c r="H3" i="17"/>
  <c r="H4" i="17"/>
  <c r="H5" i="17"/>
  <c r="H6" i="17"/>
  <c r="H2" i="17"/>
  <c r="G3" i="17"/>
  <c r="G4" i="17"/>
  <c r="G5" i="17"/>
  <c r="G6" i="17"/>
  <c r="G7" i="17"/>
  <c r="G8" i="17"/>
  <c r="G9" i="17"/>
  <c r="G10" i="17"/>
  <c r="G11" i="17"/>
  <c r="G12" i="17"/>
  <c r="G13" i="17"/>
  <c r="G14" i="17"/>
  <c r="G15" i="17"/>
  <c r="G16" i="17"/>
  <c r="G17" i="17"/>
  <c r="G18" i="17"/>
  <c r="G19" i="17"/>
  <c r="G20" i="17"/>
  <c r="G21" i="17"/>
  <c r="G22" i="17"/>
  <c r="G23" i="17"/>
  <c r="G24" i="17"/>
  <c r="G25" i="17"/>
  <c r="G26" i="17"/>
  <c r="G27" i="17"/>
  <c r="G28" i="17"/>
  <c r="G29" i="17"/>
  <c r="G30" i="17"/>
  <c r="G31" i="17"/>
  <c r="G32" i="17"/>
  <c r="G33" i="17"/>
  <c r="D3" i="16"/>
  <c r="E3" i="16" s="1"/>
  <c r="D4" i="16"/>
  <c r="E4" i="16" s="1"/>
  <c r="D5" i="16"/>
  <c r="E5" i="16" s="1"/>
  <c r="D6" i="16"/>
  <c r="E6" i="16" s="1"/>
  <c r="D7" i="16"/>
  <c r="E7" i="16" s="1"/>
  <c r="D8" i="16"/>
  <c r="E8" i="16" s="1"/>
  <c r="D9" i="16"/>
  <c r="E9" i="16" s="1"/>
  <c r="D10" i="16"/>
  <c r="E10" i="16" s="1"/>
  <c r="D11" i="16"/>
  <c r="E11" i="16" s="1"/>
  <c r="D12" i="16"/>
  <c r="E12" i="16" s="1"/>
  <c r="D13" i="16"/>
  <c r="E13" i="16" s="1"/>
  <c r="D14" i="16"/>
  <c r="D15" i="16"/>
  <c r="E15" i="16" s="1"/>
  <c r="D16" i="16"/>
  <c r="E16" i="16" s="1"/>
  <c r="D17" i="16"/>
  <c r="E17" i="16" s="1"/>
  <c r="D18" i="16"/>
  <c r="D19" i="16"/>
  <c r="E19" i="16" s="1"/>
  <c r="D20" i="16"/>
  <c r="E20" i="16" s="1"/>
  <c r="D21" i="16"/>
  <c r="E21" i="16" s="1"/>
  <c r="D22" i="16"/>
  <c r="E22" i="16" s="1"/>
  <c r="D23" i="16"/>
  <c r="E23" i="16" s="1"/>
  <c r="D24" i="16"/>
  <c r="E24" i="16" s="1"/>
  <c r="D25" i="16"/>
  <c r="E25" i="16" s="1"/>
  <c r="D26" i="16"/>
  <c r="E26" i="16" s="1"/>
  <c r="D27" i="16"/>
  <c r="E27" i="16" s="1"/>
  <c r="D28" i="16"/>
  <c r="E28" i="16" s="1"/>
  <c r="D29" i="16"/>
  <c r="E29" i="16" s="1"/>
  <c r="D30" i="16"/>
  <c r="D31" i="16"/>
  <c r="E31" i="16" s="1"/>
  <c r="D32" i="16"/>
  <c r="E32" i="16" s="1"/>
  <c r="D33" i="16"/>
  <c r="E33" i="16" s="1"/>
  <c r="D34" i="16"/>
  <c r="D35" i="16"/>
  <c r="E35" i="16" s="1"/>
  <c r="D36" i="16"/>
  <c r="E36" i="16" s="1"/>
  <c r="D37" i="16"/>
  <c r="E37" i="16" s="1"/>
  <c r="D38" i="16"/>
  <c r="E38" i="16" s="1"/>
  <c r="D39" i="16"/>
  <c r="E39" i="16" s="1"/>
  <c r="D40" i="16"/>
  <c r="E40" i="16" s="1"/>
  <c r="D41" i="16"/>
  <c r="E41" i="16" s="1"/>
  <c r="D42" i="16"/>
  <c r="E42" i="16" s="1"/>
  <c r="D43" i="16"/>
  <c r="E43" i="16" s="1"/>
  <c r="D44" i="16"/>
  <c r="E44" i="16" s="1"/>
  <c r="D45" i="16"/>
  <c r="E45" i="16" s="1"/>
  <c r="D46" i="16"/>
  <c r="D47" i="16"/>
  <c r="E47" i="16" s="1"/>
  <c r="D48" i="16"/>
  <c r="E48" i="16" s="1"/>
  <c r="D49" i="16"/>
  <c r="E49" i="16" s="1"/>
  <c r="D50" i="16"/>
  <c r="D51" i="16"/>
  <c r="E51" i="16" s="1"/>
  <c r="D52" i="16"/>
  <c r="E52" i="16" s="1"/>
  <c r="D53" i="16"/>
  <c r="E53" i="16" s="1"/>
  <c r="D54" i="16"/>
  <c r="E54" i="16" s="1"/>
  <c r="D55" i="16"/>
  <c r="E55" i="16" s="1"/>
  <c r="D56" i="16"/>
  <c r="E56" i="16" s="1"/>
  <c r="D57" i="16"/>
  <c r="E57" i="16" s="1"/>
  <c r="D58" i="16"/>
  <c r="E58" i="16" s="1"/>
  <c r="D59" i="16"/>
  <c r="E59" i="16" s="1"/>
  <c r="D60" i="16"/>
  <c r="E60" i="16" s="1"/>
  <c r="D61" i="16"/>
  <c r="E61" i="16" s="1"/>
  <c r="D62" i="16"/>
  <c r="D63" i="16"/>
  <c r="E63" i="16" s="1"/>
  <c r="D64" i="16"/>
  <c r="E64" i="16" s="1"/>
  <c r="D65" i="16"/>
  <c r="E65" i="16" s="1"/>
  <c r="D66" i="16"/>
  <c r="D67" i="16"/>
  <c r="E67" i="16" s="1"/>
  <c r="D68" i="16"/>
  <c r="E68" i="16" s="1"/>
  <c r="D69" i="16"/>
  <c r="E69" i="16" s="1"/>
  <c r="D70" i="16"/>
  <c r="E70" i="16" s="1"/>
  <c r="D71" i="16"/>
  <c r="E71" i="16" s="1"/>
  <c r="D72" i="16"/>
  <c r="E72" i="16" s="1"/>
  <c r="D73" i="16"/>
  <c r="E73" i="16" s="1"/>
  <c r="D74" i="16"/>
  <c r="E74" i="16" s="1"/>
  <c r="D75" i="16"/>
  <c r="E75" i="16" s="1"/>
  <c r="D76" i="16"/>
  <c r="E76" i="16" s="1"/>
  <c r="D77" i="16"/>
  <c r="E77" i="16" s="1"/>
  <c r="D78" i="16"/>
  <c r="D79" i="16"/>
  <c r="E79" i="16" s="1"/>
  <c r="D80" i="16"/>
  <c r="E80" i="16" s="1"/>
  <c r="D81" i="16"/>
  <c r="E81" i="16" s="1"/>
  <c r="D82" i="16"/>
  <c r="D83" i="16"/>
  <c r="E83" i="16" s="1"/>
  <c r="D84" i="16"/>
  <c r="E84" i="16" s="1"/>
  <c r="D85" i="16"/>
  <c r="E85" i="16" s="1"/>
  <c r="D86" i="16"/>
  <c r="E86" i="16" s="1"/>
  <c r="D87" i="16"/>
  <c r="E87" i="16" s="1"/>
  <c r="D88" i="16"/>
  <c r="E88" i="16" s="1"/>
  <c r="D89" i="16"/>
  <c r="E89" i="16" s="1"/>
  <c r="D90" i="16"/>
  <c r="E90" i="16" s="1"/>
  <c r="D91" i="16"/>
  <c r="E91" i="16" s="1"/>
  <c r="D92" i="16"/>
  <c r="E92" i="16" s="1"/>
  <c r="D93" i="16"/>
  <c r="D94" i="16"/>
  <c r="D95" i="16"/>
  <c r="E95" i="16" s="1"/>
  <c r="D96" i="16"/>
  <c r="E96" i="16" s="1"/>
  <c r="D97" i="16"/>
  <c r="E97" i="16" s="1"/>
  <c r="D98" i="16"/>
  <c r="D99" i="16"/>
  <c r="E99" i="16" s="1"/>
  <c r="D100" i="16"/>
  <c r="E100" i="16" s="1"/>
  <c r="D101" i="16"/>
  <c r="E101" i="16" s="1"/>
  <c r="D102" i="16"/>
  <c r="E102" i="16" s="1"/>
  <c r="D103" i="16"/>
  <c r="E103" i="16" s="1"/>
  <c r="D104" i="16"/>
  <c r="E104" i="16" s="1"/>
  <c r="D105" i="16"/>
  <c r="E105" i="16" s="1"/>
  <c r="D106" i="16"/>
  <c r="E106" i="16" s="1"/>
  <c r="D107" i="16"/>
  <c r="E107" i="16" s="1"/>
  <c r="D108" i="16"/>
  <c r="E108" i="16" s="1"/>
  <c r="D109" i="16"/>
  <c r="D110" i="16"/>
  <c r="D111" i="16"/>
  <c r="E111" i="16" s="1"/>
  <c r="D112" i="16"/>
  <c r="E112" i="16" s="1"/>
  <c r="D113" i="16"/>
  <c r="E113" i="16" s="1"/>
  <c r="D114" i="16"/>
  <c r="D115" i="16"/>
  <c r="E115" i="16" s="1"/>
  <c r="D116" i="16"/>
  <c r="E116" i="16" s="1"/>
  <c r="D117" i="16"/>
  <c r="E117" i="16" s="1"/>
  <c r="D118" i="16"/>
  <c r="E118" i="16" s="1"/>
  <c r="D119" i="16"/>
  <c r="E119" i="16" s="1"/>
  <c r="D120" i="16"/>
  <c r="E120" i="16" s="1"/>
  <c r="D121" i="16"/>
  <c r="E121" i="16" s="1"/>
  <c r="D122" i="16"/>
  <c r="E122" i="16" s="1"/>
  <c r="D123" i="16"/>
  <c r="E123" i="16" s="1"/>
  <c r="D124" i="16"/>
  <c r="E124" i="16" s="1"/>
  <c r="D125" i="16"/>
  <c r="D126" i="16"/>
  <c r="D127" i="16"/>
  <c r="E127" i="16" s="1"/>
  <c r="D128" i="16"/>
  <c r="E128" i="16" s="1"/>
  <c r="D129" i="16"/>
  <c r="E129" i="16" s="1"/>
  <c r="D130" i="16"/>
  <c r="D131" i="16"/>
  <c r="E131" i="16" s="1"/>
  <c r="D132" i="16"/>
  <c r="E132" i="16" s="1"/>
  <c r="D133" i="16"/>
  <c r="E133" i="16" s="1"/>
  <c r="D134" i="16"/>
  <c r="E134" i="16" s="1"/>
  <c r="D135" i="16"/>
  <c r="E135" i="16" s="1"/>
  <c r="D136" i="16"/>
  <c r="E136" i="16" s="1"/>
  <c r="D137" i="16"/>
  <c r="E137" i="16" s="1"/>
  <c r="D138" i="16"/>
  <c r="E138" i="16" s="1"/>
  <c r="D139" i="16"/>
  <c r="E139" i="16" s="1"/>
  <c r="D140" i="16"/>
  <c r="E140" i="16" s="1"/>
  <c r="D141" i="16"/>
  <c r="D142" i="16"/>
  <c r="D143" i="16"/>
  <c r="E143" i="16" s="1"/>
  <c r="D144" i="16"/>
  <c r="E144" i="16" s="1"/>
  <c r="D145" i="16"/>
  <c r="E145" i="16" s="1"/>
  <c r="D146" i="16"/>
  <c r="D147" i="16"/>
  <c r="E147" i="16" s="1"/>
  <c r="D148" i="16"/>
  <c r="E148" i="16" s="1"/>
  <c r="D149" i="16"/>
  <c r="E149" i="16" s="1"/>
  <c r="D150" i="16"/>
  <c r="E150" i="16" s="1"/>
  <c r="D151" i="16"/>
  <c r="E151" i="16" s="1"/>
  <c r="D152" i="16"/>
  <c r="E152" i="16" s="1"/>
  <c r="D153" i="16"/>
  <c r="E153" i="16" s="1"/>
  <c r="D154" i="16"/>
  <c r="E154" i="16" s="1"/>
  <c r="D155" i="16"/>
  <c r="E155" i="16" s="1"/>
  <c r="D156" i="16"/>
  <c r="E156" i="16" s="1"/>
  <c r="D157" i="16"/>
  <c r="D158" i="16"/>
  <c r="D159" i="16"/>
  <c r="E159" i="16" s="1"/>
  <c r="D160" i="16"/>
  <c r="E160" i="16" s="1"/>
  <c r="D161" i="16"/>
  <c r="E161" i="16" s="1"/>
  <c r="D162" i="16"/>
  <c r="D163" i="16"/>
  <c r="E163" i="16" s="1"/>
  <c r="D164" i="16"/>
  <c r="E164" i="16" s="1"/>
  <c r="D165" i="16"/>
  <c r="E165" i="16" s="1"/>
  <c r="D166" i="16"/>
  <c r="E166" i="16" s="1"/>
  <c r="D167" i="16"/>
  <c r="E167" i="16" s="1"/>
  <c r="D168" i="16"/>
  <c r="E168" i="16" s="1"/>
  <c r="D169" i="16"/>
  <c r="E169" i="16" s="1"/>
  <c r="D170" i="16"/>
  <c r="E170" i="16" s="1"/>
  <c r="D171" i="16"/>
  <c r="E171" i="16" s="1"/>
  <c r="D172" i="16"/>
  <c r="E172" i="16" s="1"/>
  <c r="D173" i="16"/>
  <c r="D174" i="16"/>
  <c r="D175" i="16"/>
  <c r="E175" i="16" s="1"/>
  <c r="D176" i="16"/>
  <c r="E176" i="16" s="1"/>
  <c r="D177" i="16"/>
  <c r="E177" i="16" s="1"/>
  <c r="D178" i="16"/>
  <c r="D179" i="16"/>
  <c r="E179" i="16" s="1"/>
  <c r="D180" i="16"/>
  <c r="E180" i="16" s="1"/>
  <c r="D181" i="16"/>
  <c r="E181" i="16" s="1"/>
  <c r="D182" i="16"/>
  <c r="E182" i="16" s="1"/>
  <c r="D183" i="16"/>
  <c r="E183" i="16" s="1"/>
  <c r="D184" i="16"/>
  <c r="E184" i="16" s="1"/>
  <c r="D185" i="16"/>
  <c r="E185" i="16" s="1"/>
  <c r="D186" i="16"/>
  <c r="E186" i="16" s="1"/>
  <c r="D187" i="16"/>
  <c r="E187" i="16" s="1"/>
  <c r="D188" i="16"/>
  <c r="E188" i="16" s="1"/>
  <c r="D189" i="16"/>
  <c r="D190" i="16"/>
  <c r="D191" i="16"/>
  <c r="E191" i="16" s="1"/>
  <c r="D192" i="16"/>
  <c r="E192" i="16" s="1"/>
  <c r="D193" i="16"/>
  <c r="E193" i="16" s="1"/>
  <c r="D194" i="16"/>
  <c r="D195" i="16"/>
  <c r="E195" i="16" s="1"/>
  <c r="D196" i="16"/>
  <c r="E196" i="16" s="1"/>
  <c r="D197" i="16"/>
  <c r="E197" i="16" s="1"/>
  <c r="D198" i="16"/>
  <c r="E198" i="16" s="1"/>
  <c r="D199" i="16"/>
  <c r="E199" i="16" s="1"/>
  <c r="D200" i="16"/>
  <c r="E200" i="16" s="1"/>
  <c r="D201" i="16"/>
  <c r="E201" i="16" s="1"/>
  <c r="D202" i="16"/>
  <c r="E202" i="16" s="1"/>
  <c r="D203" i="16"/>
  <c r="E203" i="16" s="1"/>
  <c r="D204" i="16"/>
  <c r="E204" i="16" s="1"/>
  <c r="D205" i="16"/>
  <c r="D206" i="16"/>
  <c r="D207" i="16"/>
  <c r="E207" i="16" s="1"/>
  <c r="D208" i="16"/>
  <c r="E208" i="16" s="1"/>
  <c r="D209" i="16"/>
  <c r="E209" i="16" s="1"/>
  <c r="D210" i="16"/>
  <c r="D211" i="16"/>
  <c r="E211" i="16" s="1"/>
  <c r="D212" i="16"/>
  <c r="E212" i="16" s="1"/>
  <c r="D213" i="16"/>
  <c r="E213" i="16" s="1"/>
  <c r="D214" i="16"/>
  <c r="E214" i="16" s="1"/>
  <c r="D215" i="16"/>
  <c r="E215" i="16" s="1"/>
  <c r="D216" i="16"/>
  <c r="E216" i="16" s="1"/>
  <c r="D217" i="16"/>
  <c r="E217" i="16" s="1"/>
  <c r="D218" i="16"/>
  <c r="E218" i="16" s="1"/>
  <c r="D219" i="16"/>
  <c r="E219" i="16" s="1"/>
  <c r="D220" i="16"/>
  <c r="E220" i="16" s="1"/>
  <c r="D221" i="16"/>
  <c r="D222" i="16"/>
  <c r="D223" i="16"/>
  <c r="E223" i="16" s="1"/>
  <c r="D224" i="16"/>
  <c r="E224" i="16" s="1"/>
  <c r="D225" i="16"/>
  <c r="E225" i="16" s="1"/>
  <c r="D226" i="16"/>
  <c r="D227" i="16"/>
  <c r="E227" i="16" s="1"/>
  <c r="D228" i="16"/>
  <c r="E228" i="16" s="1"/>
  <c r="D229" i="16"/>
  <c r="E229" i="16" s="1"/>
  <c r="D230" i="16"/>
  <c r="E230" i="16" s="1"/>
  <c r="D231" i="16"/>
  <c r="E231" i="16" s="1"/>
  <c r="D232" i="16"/>
  <c r="E232" i="16" s="1"/>
  <c r="D233" i="16"/>
  <c r="E233" i="16" s="1"/>
  <c r="D234" i="16"/>
  <c r="E234" i="16" s="1"/>
  <c r="D235" i="16"/>
  <c r="E235" i="16" s="1"/>
  <c r="D236" i="16"/>
  <c r="E236" i="16" s="1"/>
  <c r="D237" i="16"/>
  <c r="D238" i="16"/>
  <c r="D239" i="16"/>
  <c r="E239" i="16" s="1"/>
  <c r="D240" i="16"/>
  <c r="E240" i="16" s="1"/>
  <c r="D241" i="16"/>
  <c r="E241" i="16" s="1"/>
  <c r="D242" i="16"/>
  <c r="D243" i="16"/>
  <c r="E243" i="16" s="1"/>
  <c r="D244" i="16"/>
  <c r="E244" i="16" s="1"/>
  <c r="D245" i="16"/>
  <c r="E245" i="16" s="1"/>
  <c r="D246" i="16"/>
  <c r="E246" i="16" s="1"/>
  <c r="D247" i="16"/>
  <c r="E247" i="16" s="1"/>
  <c r="D248" i="16"/>
  <c r="E248" i="16" s="1"/>
  <c r="D249" i="16"/>
  <c r="E249" i="16" s="1"/>
  <c r="D250" i="16"/>
  <c r="E250" i="16" s="1"/>
  <c r="D251" i="16"/>
  <c r="E251" i="16" s="1"/>
  <c r="D252" i="16"/>
  <c r="E252" i="16" s="1"/>
  <c r="D253" i="16"/>
  <c r="D254" i="16"/>
  <c r="D255" i="16"/>
  <c r="E255" i="16" s="1"/>
  <c r="D256" i="16"/>
  <c r="E256" i="16" s="1"/>
  <c r="D257" i="16"/>
  <c r="E257" i="16" s="1"/>
  <c r="D258" i="16"/>
  <c r="D259" i="16"/>
  <c r="E259" i="16" s="1"/>
  <c r="D260" i="16"/>
  <c r="E260" i="16" s="1"/>
  <c r="D261" i="16"/>
  <c r="E261" i="16" s="1"/>
  <c r="D262" i="16"/>
  <c r="E262" i="16" s="1"/>
  <c r="D263" i="16"/>
  <c r="E263" i="16" s="1"/>
  <c r="D264" i="16"/>
  <c r="E264" i="16" s="1"/>
  <c r="D265" i="16"/>
  <c r="E265" i="16" s="1"/>
  <c r="D266" i="16"/>
  <c r="E266" i="16" s="1"/>
  <c r="D267" i="16"/>
  <c r="E267" i="16" s="1"/>
  <c r="D268" i="16"/>
  <c r="E268" i="16" s="1"/>
  <c r="D269" i="16"/>
  <c r="D270" i="16"/>
  <c r="D271" i="16"/>
  <c r="E271" i="16" s="1"/>
  <c r="D272" i="16"/>
  <c r="E272" i="16" s="1"/>
  <c r="D273" i="16"/>
  <c r="E273" i="16" s="1"/>
  <c r="D274" i="16"/>
  <c r="D275" i="16"/>
  <c r="E275" i="16" s="1"/>
  <c r="D276" i="16"/>
  <c r="E276" i="16" s="1"/>
  <c r="D277" i="16"/>
  <c r="E277" i="16" s="1"/>
  <c r="D278" i="16"/>
  <c r="E278" i="16" s="1"/>
  <c r="D279" i="16"/>
  <c r="E279" i="16" s="1"/>
  <c r="D280" i="16"/>
  <c r="E280" i="16" s="1"/>
  <c r="D281" i="16"/>
  <c r="E281" i="16" s="1"/>
  <c r="D282" i="16"/>
  <c r="E282" i="16" s="1"/>
  <c r="D283" i="16"/>
  <c r="E283" i="16" s="1"/>
  <c r="D284" i="16"/>
  <c r="E284" i="16" s="1"/>
  <c r="D285" i="16"/>
  <c r="D286" i="16"/>
  <c r="D287" i="16"/>
  <c r="E287" i="16" s="1"/>
  <c r="D288" i="16"/>
  <c r="E288" i="16" s="1"/>
  <c r="D289" i="16"/>
  <c r="E289" i="16" s="1"/>
  <c r="D290" i="16"/>
  <c r="D291" i="16"/>
  <c r="E291" i="16" s="1"/>
  <c r="D292" i="16"/>
  <c r="E292" i="16" s="1"/>
  <c r="D293" i="16"/>
  <c r="E293" i="16" s="1"/>
  <c r="D294" i="16"/>
  <c r="E294" i="16" s="1"/>
  <c r="D295" i="16"/>
  <c r="E295" i="16" s="1"/>
  <c r="D296" i="16"/>
  <c r="E296" i="16" s="1"/>
  <c r="D297" i="16"/>
  <c r="E297" i="16" s="1"/>
  <c r="D298" i="16"/>
  <c r="E298" i="16" s="1"/>
  <c r="D299" i="16"/>
  <c r="E299" i="16" s="1"/>
  <c r="D300" i="16"/>
  <c r="E300" i="16" s="1"/>
  <c r="D301" i="16"/>
  <c r="D302" i="16"/>
  <c r="D303" i="16"/>
  <c r="E303" i="16" s="1"/>
  <c r="D304" i="16"/>
  <c r="E304" i="16" s="1"/>
  <c r="D305" i="16"/>
  <c r="E305" i="16" s="1"/>
  <c r="D306" i="16"/>
  <c r="D307" i="16"/>
  <c r="E307" i="16" s="1"/>
  <c r="D308" i="16"/>
  <c r="E308" i="16" s="1"/>
  <c r="D309" i="16"/>
  <c r="E309" i="16" s="1"/>
  <c r="D310" i="16"/>
  <c r="E310" i="16" s="1"/>
  <c r="D311" i="16"/>
  <c r="E311" i="16" s="1"/>
  <c r="D312" i="16"/>
  <c r="E312" i="16" s="1"/>
  <c r="D313" i="16"/>
  <c r="E313" i="16" s="1"/>
  <c r="D314" i="16"/>
  <c r="E314" i="16" s="1"/>
  <c r="D315" i="16"/>
  <c r="E315" i="16" s="1"/>
  <c r="D316" i="16"/>
  <c r="E316" i="16" s="1"/>
  <c r="D317" i="16"/>
  <c r="D318" i="16"/>
  <c r="D319" i="16"/>
  <c r="E319" i="16" s="1"/>
  <c r="D320" i="16"/>
  <c r="E320" i="16" s="1"/>
  <c r="D321" i="16"/>
  <c r="E321" i="16" s="1"/>
  <c r="D322" i="16"/>
  <c r="D323" i="16"/>
  <c r="E323" i="16" s="1"/>
  <c r="D324" i="16"/>
  <c r="E324" i="16" s="1"/>
  <c r="D325" i="16"/>
  <c r="E325" i="16" s="1"/>
  <c r="D326" i="16"/>
  <c r="E326" i="16" s="1"/>
  <c r="D327" i="16"/>
  <c r="E327" i="16" s="1"/>
  <c r="D328" i="16"/>
  <c r="E328" i="16" s="1"/>
  <c r="D329" i="16"/>
  <c r="E329" i="16" s="1"/>
  <c r="D330" i="16"/>
  <c r="E330" i="16" s="1"/>
  <c r="D331" i="16"/>
  <c r="E331" i="16" s="1"/>
  <c r="D332" i="16"/>
  <c r="E332" i="16" s="1"/>
  <c r="D333" i="16"/>
  <c r="D334" i="16"/>
  <c r="D335" i="16"/>
  <c r="E335" i="16" s="1"/>
  <c r="D336" i="16"/>
  <c r="E336" i="16" s="1"/>
  <c r="D337" i="16"/>
  <c r="E337" i="16" s="1"/>
  <c r="D338" i="16"/>
  <c r="D339" i="16"/>
  <c r="E339" i="16" s="1"/>
  <c r="D340" i="16"/>
  <c r="E340" i="16" s="1"/>
  <c r="D341" i="16"/>
  <c r="E341" i="16" s="1"/>
  <c r="D342" i="16"/>
  <c r="E342" i="16" s="1"/>
  <c r="D343" i="16"/>
  <c r="E343" i="16" s="1"/>
  <c r="D344" i="16"/>
  <c r="E344" i="16" s="1"/>
  <c r="D345" i="16"/>
  <c r="E345" i="16" s="1"/>
  <c r="D346" i="16"/>
  <c r="E346" i="16" s="1"/>
  <c r="D347" i="16"/>
  <c r="E347" i="16" s="1"/>
  <c r="D348" i="16"/>
  <c r="E348" i="16" s="1"/>
  <c r="D349" i="16"/>
  <c r="D350" i="16"/>
  <c r="D351" i="16"/>
  <c r="E351" i="16" s="1"/>
  <c r="D352" i="16"/>
  <c r="E352" i="16" s="1"/>
  <c r="D353" i="16"/>
  <c r="E353" i="16" s="1"/>
  <c r="D354" i="16"/>
  <c r="D355" i="16"/>
  <c r="E355" i="16" s="1"/>
  <c r="D356" i="16"/>
  <c r="E356" i="16" s="1"/>
  <c r="D357" i="16"/>
  <c r="E357" i="16" s="1"/>
  <c r="D358" i="16"/>
  <c r="E358" i="16" s="1"/>
  <c r="D359" i="16"/>
  <c r="E359" i="16" s="1"/>
  <c r="D360" i="16"/>
  <c r="E360" i="16" s="1"/>
  <c r="D361" i="16"/>
  <c r="E361" i="16" s="1"/>
  <c r="D362" i="16"/>
  <c r="E362" i="16" s="1"/>
  <c r="D363" i="16"/>
  <c r="E363" i="16" s="1"/>
  <c r="D364" i="16"/>
  <c r="E364" i="16" s="1"/>
  <c r="D365" i="16"/>
  <c r="D366" i="16"/>
  <c r="D367" i="16"/>
  <c r="E367" i="16" s="1"/>
  <c r="D368" i="16"/>
  <c r="E368" i="16" s="1"/>
  <c r="D369" i="16"/>
  <c r="E369" i="16" s="1"/>
  <c r="D370" i="16"/>
  <c r="D371" i="16"/>
  <c r="E371" i="16" s="1"/>
  <c r="D372" i="16"/>
  <c r="E372" i="16" s="1"/>
  <c r="D373" i="16"/>
  <c r="E373" i="16" s="1"/>
  <c r="D374" i="16"/>
  <c r="E374" i="16" s="1"/>
  <c r="D375" i="16"/>
  <c r="E375" i="16" s="1"/>
  <c r="D376" i="16"/>
  <c r="E376" i="16" s="1"/>
  <c r="D377" i="16"/>
  <c r="E377" i="16" s="1"/>
  <c r="D378" i="16"/>
  <c r="E378" i="16" s="1"/>
  <c r="D379" i="16"/>
  <c r="E379" i="16" s="1"/>
  <c r="D380" i="16"/>
  <c r="E380" i="16" s="1"/>
  <c r="D381" i="16"/>
  <c r="D382" i="16"/>
  <c r="D383" i="16"/>
  <c r="E383" i="16" s="1"/>
  <c r="D384" i="16"/>
  <c r="E384" i="16" s="1"/>
  <c r="D385" i="16"/>
  <c r="E385" i="16" s="1"/>
  <c r="D386" i="16"/>
  <c r="D387" i="16"/>
  <c r="E387" i="16" s="1"/>
  <c r="D388" i="16"/>
  <c r="E388" i="16" s="1"/>
  <c r="D389" i="16"/>
  <c r="E389" i="16" s="1"/>
  <c r="D390" i="16"/>
  <c r="E390" i="16" s="1"/>
  <c r="D391" i="16"/>
  <c r="E391" i="16" s="1"/>
  <c r="D392" i="16"/>
  <c r="E392" i="16" s="1"/>
  <c r="D393" i="16"/>
  <c r="E393" i="16" s="1"/>
  <c r="D394" i="16"/>
  <c r="E394" i="16" s="1"/>
  <c r="D395" i="16"/>
  <c r="E395" i="16" s="1"/>
  <c r="D396" i="16"/>
  <c r="E396" i="16" s="1"/>
  <c r="D397" i="16"/>
  <c r="D398" i="16"/>
  <c r="D399" i="16"/>
  <c r="E399" i="16" s="1"/>
  <c r="D400" i="16"/>
  <c r="E400" i="16" s="1"/>
  <c r="D401" i="16"/>
  <c r="E401" i="16" s="1"/>
  <c r="D402" i="16"/>
  <c r="D403" i="16"/>
  <c r="E403" i="16" s="1"/>
  <c r="D404" i="16"/>
  <c r="E404" i="16" s="1"/>
  <c r="D405" i="16"/>
  <c r="E405" i="16" s="1"/>
  <c r="D406" i="16"/>
  <c r="E406" i="16" s="1"/>
  <c r="D407" i="16"/>
  <c r="E407" i="16" s="1"/>
  <c r="D408" i="16"/>
  <c r="E408" i="16" s="1"/>
  <c r="D409" i="16"/>
  <c r="E409" i="16" s="1"/>
  <c r="D410" i="16"/>
  <c r="E410" i="16" s="1"/>
  <c r="D411" i="16"/>
  <c r="E411" i="16" s="1"/>
  <c r="D412" i="16"/>
  <c r="E412" i="16" s="1"/>
  <c r="D413" i="16"/>
  <c r="D414" i="16"/>
  <c r="D415" i="16"/>
  <c r="E415" i="16" s="1"/>
  <c r="D416" i="16"/>
  <c r="E416" i="16" s="1"/>
  <c r="D417" i="16"/>
  <c r="E417" i="16" s="1"/>
  <c r="D418" i="16"/>
  <c r="D419" i="16"/>
  <c r="E419" i="16" s="1"/>
  <c r="D420" i="16"/>
  <c r="E420" i="16" s="1"/>
  <c r="D421" i="16"/>
  <c r="E421" i="16" s="1"/>
  <c r="D422" i="16"/>
  <c r="E422" i="16" s="1"/>
  <c r="D423" i="16"/>
  <c r="E423" i="16" s="1"/>
  <c r="D424" i="16"/>
  <c r="E424" i="16" s="1"/>
  <c r="D425" i="16"/>
  <c r="E425" i="16" s="1"/>
  <c r="D426" i="16"/>
  <c r="E426" i="16" s="1"/>
  <c r="D427" i="16"/>
  <c r="E427" i="16" s="1"/>
  <c r="D428" i="16"/>
  <c r="E428" i="16" s="1"/>
  <c r="D429" i="16"/>
  <c r="D430" i="16"/>
  <c r="D431" i="16"/>
  <c r="E431" i="16" s="1"/>
  <c r="D432" i="16"/>
  <c r="E432" i="16" s="1"/>
  <c r="D433" i="16"/>
  <c r="E433" i="16" s="1"/>
  <c r="D434" i="16"/>
  <c r="D435" i="16"/>
  <c r="E435" i="16" s="1"/>
  <c r="D436" i="16"/>
  <c r="E436" i="16" s="1"/>
  <c r="D437" i="16"/>
  <c r="E437" i="16" s="1"/>
  <c r="D438" i="16"/>
  <c r="E438" i="16" s="1"/>
  <c r="D439" i="16"/>
  <c r="E439" i="16" s="1"/>
  <c r="D440" i="16"/>
  <c r="E440" i="16" s="1"/>
  <c r="D441" i="16"/>
  <c r="E441" i="16" s="1"/>
  <c r="D442" i="16"/>
  <c r="E442" i="16" s="1"/>
  <c r="D443" i="16"/>
  <c r="E443" i="16" s="1"/>
  <c r="D444" i="16"/>
  <c r="E444" i="16" s="1"/>
  <c r="D445" i="16"/>
  <c r="D446" i="16"/>
  <c r="D447" i="16"/>
  <c r="E447" i="16" s="1"/>
  <c r="D448" i="16"/>
  <c r="E448" i="16" s="1"/>
  <c r="D449" i="16"/>
  <c r="E449" i="16" s="1"/>
  <c r="D450" i="16"/>
  <c r="D451" i="16"/>
  <c r="E451" i="16" s="1"/>
  <c r="D452" i="16"/>
  <c r="E452" i="16" s="1"/>
  <c r="D453" i="16"/>
  <c r="E453" i="16" s="1"/>
  <c r="D454" i="16"/>
  <c r="E454" i="16" s="1"/>
  <c r="D455" i="16"/>
  <c r="E455" i="16" s="1"/>
  <c r="D456" i="16"/>
  <c r="E456" i="16" s="1"/>
  <c r="D457" i="16"/>
  <c r="E457" i="16" s="1"/>
  <c r="D458" i="16"/>
  <c r="E458" i="16" s="1"/>
  <c r="D459" i="16"/>
  <c r="E459" i="16" s="1"/>
  <c r="D460" i="16"/>
  <c r="E460" i="16" s="1"/>
  <c r="D461" i="16"/>
  <c r="D462" i="16"/>
  <c r="D463" i="16"/>
  <c r="E463" i="16" s="1"/>
  <c r="D464" i="16"/>
  <c r="E464" i="16" s="1"/>
  <c r="D465" i="16"/>
  <c r="E465" i="16" s="1"/>
  <c r="D466" i="16"/>
  <c r="D467" i="16"/>
  <c r="E467" i="16" s="1"/>
  <c r="D468" i="16"/>
  <c r="E468" i="16" s="1"/>
  <c r="D469" i="16"/>
  <c r="E469" i="16" s="1"/>
  <c r="D470" i="16"/>
  <c r="E470" i="16" s="1"/>
  <c r="D471" i="16"/>
  <c r="E471" i="16" s="1"/>
  <c r="D472" i="16"/>
  <c r="E472" i="16" s="1"/>
  <c r="D473" i="16"/>
  <c r="E473" i="16" s="1"/>
  <c r="D474" i="16"/>
  <c r="E474" i="16" s="1"/>
  <c r="D475" i="16"/>
  <c r="E475" i="16" s="1"/>
  <c r="D476" i="16"/>
  <c r="E476" i="16" s="1"/>
  <c r="D477" i="16"/>
  <c r="D478" i="16"/>
  <c r="D479" i="16"/>
  <c r="E479" i="16" s="1"/>
  <c r="D480" i="16"/>
  <c r="E480" i="16" s="1"/>
  <c r="D481" i="16"/>
  <c r="E481" i="16" s="1"/>
  <c r="D482" i="16"/>
  <c r="D483" i="16"/>
  <c r="E483" i="16" s="1"/>
  <c r="D484" i="16"/>
  <c r="E484" i="16" s="1"/>
  <c r="D485" i="16"/>
  <c r="E485" i="16" s="1"/>
  <c r="D486" i="16"/>
  <c r="E486" i="16" s="1"/>
  <c r="D487" i="16"/>
  <c r="E487" i="16" s="1"/>
  <c r="D488" i="16"/>
  <c r="E488" i="16" s="1"/>
  <c r="D489" i="16"/>
  <c r="E489" i="16" s="1"/>
  <c r="D490" i="16"/>
  <c r="E490" i="16" s="1"/>
  <c r="D491" i="16"/>
  <c r="E491" i="16" s="1"/>
  <c r="D492" i="16"/>
  <c r="E492" i="16" s="1"/>
  <c r="D493" i="16"/>
  <c r="D494" i="16"/>
  <c r="D495" i="16"/>
  <c r="E495" i="16" s="1"/>
  <c r="D496" i="16"/>
  <c r="E496" i="16" s="1"/>
  <c r="D497" i="16"/>
  <c r="D498" i="16"/>
  <c r="D499" i="16"/>
  <c r="E499" i="16" s="1"/>
  <c r="D500" i="16"/>
  <c r="E500" i="16" s="1"/>
  <c r="D501" i="16"/>
  <c r="E501" i="16" s="1"/>
  <c r="D502" i="16"/>
  <c r="E502" i="16" s="1"/>
  <c r="D503" i="16"/>
  <c r="E503" i="16" s="1"/>
  <c r="D504" i="16"/>
  <c r="E504" i="16" s="1"/>
  <c r="D505" i="16"/>
  <c r="E505" i="16" s="1"/>
  <c r="D506" i="16"/>
  <c r="E506" i="16" s="1"/>
  <c r="D507" i="16"/>
  <c r="E507" i="16" s="1"/>
  <c r="D508" i="16"/>
  <c r="E508" i="16" s="1"/>
  <c r="D509" i="16"/>
  <c r="D510" i="16"/>
  <c r="D511" i="16"/>
  <c r="E511" i="16" s="1"/>
  <c r="D512" i="16"/>
  <c r="E512" i="16" s="1"/>
  <c r="D513" i="16"/>
  <c r="D514" i="16"/>
  <c r="D515" i="16"/>
  <c r="E515" i="16" s="1"/>
  <c r="D516" i="16"/>
  <c r="E516" i="16" s="1"/>
  <c r="D517" i="16"/>
  <c r="E517" i="16" s="1"/>
  <c r="D518" i="16"/>
  <c r="E518" i="16" s="1"/>
  <c r="D519" i="16"/>
  <c r="E519" i="16" s="1"/>
  <c r="D520" i="16"/>
  <c r="E520" i="16" s="1"/>
  <c r="D521" i="16"/>
  <c r="E521" i="16" s="1"/>
  <c r="D522" i="16"/>
  <c r="E522" i="16" s="1"/>
  <c r="D523" i="16"/>
  <c r="E523" i="16" s="1"/>
  <c r="D524" i="16"/>
  <c r="E524" i="16" s="1"/>
  <c r="D525" i="16"/>
  <c r="D526" i="16"/>
  <c r="D527" i="16"/>
  <c r="E527" i="16" s="1"/>
  <c r="D528" i="16"/>
  <c r="E528" i="16" s="1"/>
  <c r="D529" i="16"/>
  <c r="D530" i="16"/>
  <c r="D531" i="16"/>
  <c r="E531" i="16" s="1"/>
  <c r="D532" i="16"/>
  <c r="E532" i="16" s="1"/>
  <c r="D533" i="16"/>
  <c r="E533" i="16" s="1"/>
  <c r="D534" i="16"/>
  <c r="E534" i="16" s="1"/>
  <c r="D535" i="16"/>
  <c r="E535" i="16" s="1"/>
  <c r="D536" i="16"/>
  <c r="E536" i="16" s="1"/>
  <c r="D537" i="16"/>
  <c r="E537" i="16" s="1"/>
  <c r="D538" i="16"/>
  <c r="E538" i="16" s="1"/>
  <c r="D539" i="16"/>
  <c r="E539" i="16" s="1"/>
  <c r="D540" i="16"/>
  <c r="E540" i="16" s="1"/>
  <c r="D541" i="16"/>
  <c r="D542" i="16"/>
  <c r="D543" i="16"/>
  <c r="E543" i="16" s="1"/>
  <c r="D544" i="16"/>
  <c r="E544" i="16" s="1"/>
  <c r="D545" i="16"/>
  <c r="D546" i="16"/>
  <c r="D547" i="16"/>
  <c r="E547" i="16" s="1"/>
  <c r="D548" i="16"/>
  <c r="E548" i="16" s="1"/>
  <c r="D549" i="16"/>
  <c r="E549" i="16" s="1"/>
  <c r="D550" i="16"/>
  <c r="E550" i="16" s="1"/>
  <c r="D551" i="16"/>
  <c r="E551" i="16" s="1"/>
  <c r="D552" i="16"/>
  <c r="E552" i="16" s="1"/>
  <c r="D553" i="16"/>
  <c r="E553" i="16" s="1"/>
  <c r="D554" i="16"/>
  <c r="E554" i="16" s="1"/>
  <c r="D555" i="16"/>
  <c r="E555" i="16" s="1"/>
  <c r="D556" i="16"/>
  <c r="E556" i="16" s="1"/>
  <c r="D557" i="16"/>
  <c r="D558" i="16"/>
  <c r="D559" i="16"/>
  <c r="E559" i="16" s="1"/>
  <c r="D560" i="16"/>
  <c r="E560" i="16" s="1"/>
  <c r="D561" i="16"/>
  <c r="D562" i="16"/>
  <c r="D563" i="16"/>
  <c r="E563" i="16" s="1"/>
  <c r="D564" i="16"/>
  <c r="E564" i="16" s="1"/>
  <c r="D565" i="16"/>
  <c r="E565" i="16" s="1"/>
  <c r="D566" i="16"/>
  <c r="E566" i="16" s="1"/>
  <c r="D567" i="16"/>
  <c r="E567" i="16" s="1"/>
  <c r="D568" i="16"/>
  <c r="E568" i="16" s="1"/>
  <c r="D569" i="16"/>
  <c r="E569" i="16" s="1"/>
  <c r="D570" i="16"/>
  <c r="E570" i="16" s="1"/>
  <c r="D571" i="16"/>
  <c r="E571" i="16" s="1"/>
  <c r="D572" i="16"/>
  <c r="E572" i="16" s="1"/>
  <c r="D573" i="16"/>
  <c r="D574" i="16"/>
  <c r="D575" i="16"/>
  <c r="E575" i="16" s="1"/>
  <c r="D576" i="16"/>
  <c r="E576" i="16" s="1"/>
  <c r="D577" i="16"/>
  <c r="D578" i="16"/>
  <c r="D579" i="16"/>
  <c r="E579" i="16" s="1"/>
  <c r="D580" i="16"/>
  <c r="E580" i="16" s="1"/>
  <c r="D581" i="16"/>
  <c r="E581" i="16" s="1"/>
  <c r="D582" i="16"/>
  <c r="E582" i="16" s="1"/>
  <c r="D583" i="16"/>
  <c r="E583" i="16" s="1"/>
  <c r="D584" i="16"/>
  <c r="E584" i="16" s="1"/>
  <c r="D585" i="16"/>
  <c r="E585" i="16" s="1"/>
  <c r="D586" i="16"/>
  <c r="E586" i="16" s="1"/>
  <c r="D587" i="16"/>
  <c r="E587" i="16" s="1"/>
  <c r="D588" i="16"/>
  <c r="E588" i="16" s="1"/>
  <c r="D589" i="16"/>
  <c r="D590" i="16"/>
  <c r="D591" i="16"/>
  <c r="E591" i="16" s="1"/>
  <c r="D592" i="16"/>
  <c r="E592" i="16" s="1"/>
  <c r="D593" i="16"/>
  <c r="D594" i="16"/>
  <c r="D595" i="16"/>
  <c r="E595" i="16" s="1"/>
  <c r="D596" i="16"/>
  <c r="E596" i="16" s="1"/>
  <c r="D597" i="16"/>
  <c r="E597" i="16" s="1"/>
  <c r="D598" i="16"/>
  <c r="E598" i="16" s="1"/>
  <c r="D599" i="16"/>
  <c r="E599" i="16" s="1"/>
  <c r="D600" i="16"/>
  <c r="E600" i="16" s="1"/>
  <c r="D601" i="16"/>
  <c r="E601" i="16" s="1"/>
  <c r="D602" i="16"/>
  <c r="E602" i="16" s="1"/>
  <c r="D603" i="16"/>
  <c r="E603" i="16" s="1"/>
  <c r="D604" i="16"/>
  <c r="E604" i="16" s="1"/>
  <c r="D605" i="16"/>
  <c r="D606" i="16"/>
  <c r="D607" i="16"/>
  <c r="E607" i="16" s="1"/>
  <c r="D608" i="16"/>
  <c r="E608" i="16" s="1"/>
  <c r="D609" i="16"/>
  <c r="D610" i="16"/>
  <c r="D611" i="16"/>
  <c r="E611" i="16" s="1"/>
  <c r="D612" i="16"/>
  <c r="E612" i="16" s="1"/>
  <c r="D613" i="16"/>
  <c r="E613" i="16" s="1"/>
  <c r="D614" i="16"/>
  <c r="E614" i="16" s="1"/>
  <c r="D615" i="16"/>
  <c r="E615" i="16" s="1"/>
  <c r="D616" i="16"/>
  <c r="E616" i="16" s="1"/>
  <c r="D617" i="16"/>
  <c r="E617" i="16" s="1"/>
  <c r="D618" i="16"/>
  <c r="E618" i="16" s="1"/>
  <c r="D619" i="16"/>
  <c r="E619" i="16" s="1"/>
  <c r="D620" i="16"/>
  <c r="E620" i="16" s="1"/>
  <c r="D621" i="16"/>
  <c r="D622" i="16"/>
  <c r="D623" i="16"/>
  <c r="E623" i="16" s="1"/>
  <c r="D624" i="16"/>
  <c r="E624" i="16" s="1"/>
  <c r="D625" i="16"/>
  <c r="D626" i="16"/>
  <c r="D627" i="16"/>
  <c r="E627" i="16" s="1"/>
  <c r="D628" i="16"/>
  <c r="E628" i="16" s="1"/>
  <c r="D629" i="16"/>
  <c r="E629" i="16" s="1"/>
  <c r="D630" i="16"/>
  <c r="E630" i="16" s="1"/>
  <c r="D631" i="16"/>
  <c r="E631" i="16" s="1"/>
  <c r="D632" i="16"/>
  <c r="E632" i="16" s="1"/>
  <c r="D633" i="16"/>
  <c r="E633" i="16" s="1"/>
  <c r="D634" i="16"/>
  <c r="E634" i="16" s="1"/>
  <c r="D635" i="16"/>
  <c r="E635" i="16" s="1"/>
  <c r="D636" i="16"/>
  <c r="E636" i="16" s="1"/>
  <c r="D637" i="16"/>
  <c r="D638" i="16"/>
  <c r="D639" i="16"/>
  <c r="E639" i="16" s="1"/>
  <c r="D640" i="16"/>
  <c r="E640" i="16" s="1"/>
  <c r="D641" i="16"/>
  <c r="D642" i="16"/>
  <c r="D643" i="16"/>
  <c r="E643" i="16" s="1"/>
  <c r="D644" i="16"/>
  <c r="E644" i="16" s="1"/>
  <c r="D645" i="16"/>
  <c r="E645" i="16" s="1"/>
  <c r="D646" i="16"/>
  <c r="E646" i="16" s="1"/>
  <c r="D647" i="16"/>
  <c r="E647" i="16" s="1"/>
  <c r="D648" i="16"/>
  <c r="E648" i="16" s="1"/>
  <c r="D649" i="16"/>
  <c r="E649" i="16" s="1"/>
  <c r="D650" i="16"/>
  <c r="E650" i="16" s="1"/>
  <c r="D651" i="16"/>
  <c r="E651" i="16" s="1"/>
  <c r="D652" i="16"/>
  <c r="E652" i="16" s="1"/>
  <c r="D653" i="16"/>
  <c r="D654" i="16"/>
  <c r="D655" i="16"/>
  <c r="E655" i="16" s="1"/>
  <c r="D656" i="16"/>
  <c r="E656" i="16" s="1"/>
  <c r="D657" i="16"/>
  <c r="D658" i="16"/>
  <c r="D659" i="16"/>
  <c r="E659" i="16" s="1"/>
  <c r="D660" i="16"/>
  <c r="E660" i="16" s="1"/>
  <c r="D661" i="16"/>
  <c r="E661" i="16" s="1"/>
  <c r="D662" i="16"/>
  <c r="E662" i="16" s="1"/>
  <c r="D663" i="16"/>
  <c r="E663" i="16" s="1"/>
  <c r="D664" i="16"/>
  <c r="E664" i="16" s="1"/>
  <c r="D665" i="16"/>
  <c r="E665" i="16" s="1"/>
  <c r="D666" i="16"/>
  <c r="E666" i="16" s="1"/>
  <c r="D667" i="16"/>
  <c r="E667" i="16" s="1"/>
  <c r="D668" i="16"/>
  <c r="E668" i="16" s="1"/>
  <c r="D669" i="16"/>
  <c r="D670" i="16"/>
  <c r="D671" i="16"/>
  <c r="E671" i="16" s="1"/>
  <c r="D672" i="16"/>
  <c r="E672" i="16" s="1"/>
  <c r="D673" i="16"/>
  <c r="D674" i="16"/>
  <c r="D675" i="16"/>
  <c r="E675" i="16" s="1"/>
  <c r="D676" i="16"/>
  <c r="E676" i="16" s="1"/>
  <c r="D677" i="16"/>
  <c r="E677" i="16" s="1"/>
  <c r="D678" i="16"/>
  <c r="E678" i="16" s="1"/>
  <c r="D679" i="16"/>
  <c r="E679" i="16" s="1"/>
  <c r="D680" i="16"/>
  <c r="E680" i="16" s="1"/>
  <c r="D681" i="16"/>
  <c r="E681" i="16" s="1"/>
  <c r="D682" i="16"/>
  <c r="E682" i="16" s="1"/>
  <c r="D683" i="16"/>
  <c r="E683" i="16" s="1"/>
  <c r="D684" i="16"/>
  <c r="E684" i="16" s="1"/>
  <c r="D685" i="16"/>
  <c r="D686" i="16"/>
  <c r="D687" i="16"/>
  <c r="E687" i="16" s="1"/>
  <c r="D688" i="16"/>
  <c r="E688" i="16" s="1"/>
  <c r="D689" i="16"/>
  <c r="D690" i="16"/>
  <c r="D691" i="16"/>
  <c r="E691" i="16" s="1"/>
  <c r="D692" i="16"/>
  <c r="E692" i="16" s="1"/>
  <c r="D693" i="16"/>
  <c r="E693" i="16" s="1"/>
  <c r="D694" i="16"/>
  <c r="E694" i="16" s="1"/>
  <c r="D695" i="16"/>
  <c r="E695" i="16" s="1"/>
  <c r="D696" i="16"/>
  <c r="E696" i="16" s="1"/>
  <c r="D697" i="16"/>
  <c r="E697" i="16" s="1"/>
  <c r="D698" i="16"/>
  <c r="E698" i="16" s="1"/>
  <c r="D699" i="16"/>
  <c r="E699" i="16" s="1"/>
  <c r="D700" i="16"/>
  <c r="E700" i="16" s="1"/>
  <c r="D701" i="16"/>
  <c r="D702" i="16"/>
  <c r="D703" i="16"/>
  <c r="E703" i="16" s="1"/>
  <c r="D704" i="16"/>
  <c r="E704" i="16" s="1"/>
  <c r="D705" i="16"/>
  <c r="D706" i="16"/>
  <c r="D707" i="16"/>
  <c r="E707" i="16" s="1"/>
  <c r="D708" i="16"/>
  <c r="E708" i="16" s="1"/>
  <c r="D709" i="16"/>
  <c r="E709" i="16" s="1"/>
  <c r="D710" i="16"/>
  <c r="E710" i="16" s="1"/>
  <c r="D711" i="16"/>
  <c r="E711" i="16" s="1"/>
  <c r="D712" i="16"/>
  <c r="E712" i="16" s="1"/>
  <c r="D713" i="16"/>
  <c r="E713" i="16" s="1"/>
  <c r="D714" i="16"/>
  <c r="E714" i="16" s="1"/>
  <c r="D715" i="16"/>
  <c r="E715" i="16" s="1"/>
  <c r="D716" i="16"/>
  <c r="E716" i="16" s="1"/>
  <c r="D717" i="16"/>
  <c r="D718" i="16"/>
  <c r="D719" i="16"/>
  <c r="E719" i="16" s="1"/>
  <c r="D720" i="16"/>
  <c r="E720" i="16" s="1"/>
  <c r="D721" i="16"/>
  <c r="D722" i="16"/>
  <c r="D723" i="16"/>
  <c r="E723" i="16" s="1"/>
  <c r="D724" i="16"/>
  <c r="E724" i="16" s="1"/>
  <c r="D725" i="16"/>
  <c r="E725" i="16" s="1"/>
  <c r="D726" i="16"/>
  <c r="E726" i="16" s="1"/>
  <c r="D727" i="16"/>
  <c r="E727" i="16" s="1"/>
  <c r="D728" i="16"/>
  <c r="E728" i="16" s="1"/>
  <c r="D729" i="16"/>
  <c r="E729" i="16" s="1"/>
  <c r="D730" i="16"/>
  <c r="E730" i="16" s="1"/>
  <c r="D731" i="16"/>
  <c r="E731" i="16" s="1"/>
  <c r="D732" i="16"/>
  <c r="E732" i="16" s="1"/>
  <c r="D733" i="16"/>
  <c r="D734" i="16"/>
  <c r="D735" i="16"/>
  <c r="E735" i="16" s="1"/>
  <c r="D736" i="16"/>
  <c r="E736" i="16" s="1"/>
  <c r="D737" i="16"/>
  <c r="D738" i="16"/>
  <c r="D739" i="16"/>
  <c r="E739" i="16" s="1"/>
  <c r="D740" i="16"/>
  <c r="E740" i="16" s="1"/>
  <c r="D741" i="16"/>
  <c r="E741" i="16" s="1"/>
  <c r="D742" i="16"/>
  <c r="E742" i="16" s="1"/>
  <c r="D743" i="16"/>
  <c r="E743" i="16" s="1"/>
  <c r="D744" i="16"/>
  <c r="E744" i="16" s="1"/>
  <c r="D745" i="16"/>
  <c r="E745" i="16" s="1"/>
  <c r="D746" i="16"/>
  <c r="E746" i="16" s="1"/>
  <c r="D747" i="16"/>
  <c r="E747" i="16" s="1"/>
  <c r="D748" i="16"/>
  <c r="E748" i="16" s="1"/>
  <c r="D749" i="16"/>
  <c r="D750" i="16"/>
  <c r="D751" i="16"/>
  <c r="E751" i="16" s="1"/>
  <c r="D752" i="16"/>
  <c r="E752" i="16" s="1"/>
  <c r="D753" i="16"/>
  <c r="D754" i="16"/>
  <c r="D755" i="16"/>
  <c r="E755" i="16" s="1"/>
  <c r="D756" i="16"/>
  <c r="E756" i="16" s="1"/>
  <c r="D757" i="16"/>
  <c r="E757" i="16" s="1"/>
  <c r="D758" i="16"/>
  <c r="E758" i="16" s="1"/>
  <c r="D759" i="16"/>
  <c r="E759" i="16" s="1"/>
  <c r="D760" i="16"/>
  <c r="E760" i="16" s="1"/>
  <c r="D761" i="16"/>
  <c r="E761" i="16" s="1"/>
  <c r="D762" i="16"/>
  <c r="E762" i="16" s="1"/>
  <c r="D763" i="16"/>
  <c r="E763" i="16" s="1"/>
  <c r="D764" i="16"/>
  <c r="E764" i="16" s="1"/>
  <c r="D765" i="16"/>
  <c r="D766" i="16"/>
  <c r="D767" i="16"/>
  <c r="E767" i="16" s="1"/>
  <c r="D768" i="16"/>
  <c r="E768" i="16" s="1"/>
  <c r="D769" i="16"/>
  <c r="D770" i="16"/>
  <c r="D771" i="16"/>
  <c r="E771" i="16" s="1"/>
  <c r="D772" i="16"/>
  <c r="E772" i="16" s="1"/>
  <c r="D773" i="16"/>
  <c r="E773" i="16" s="1"/>
  <c r="D774" i="16"/>
  <c r="E774" i="16" s="1"/>
  <c r="D775" i="16"/>
  <c r="E775" i="16" s="1"/>
  <c r="D776" i="16"/>
  <c r="E776" i="16" s="1"/>
  <c r="D777" i="16"/>
  <c r="E777" i="16" s="1"/>
  <c r="D778" i="16"/>
  <c r="E778" i="16" s="1"/>
  <c r="D779" i="16"/>
  <c r="E779" i="16" s="1"/>
  <c r="D780" i="16"/>
  <c r="E780" i="16" s="1"/>
  <c r="D781" i="16"/>
  <c r="D782" i="16"/>
  <c r="D783" i="16"/>
  <c r="E783" i="16" s="1"/>
  <c r="D784" i="16"/>
  <c r="E784" i="16" s="1"/>
  <c r="D785" i="16"/>
  <c r="D786" i="16"/>
  <c r="D787" i="16"/>
  <c r="E787" i="16" s="1"/>
  <c r="D788" i="16"/>
  <c r="E788" i="16" s="1"/>
  <c r="D789" i="16"/>
  <c r="E789" i="16" s="1"/>
  <c r="D790" i="16"/>
  <c r="E790" i="16" s="1"/>
  <c r="D791" i="16"/>
  <c r="E791" i="16" s="1"/>
  <c r="D792" i="16"/>
  <c r="E792" i="16" s="1"/>
  <c r="D793" i="16"/>
  <c r="E793" i="16" s="1"/>
  <c r="D794" i="16"/>
  <c r="E794" i="16" s="1"/>
  <c r="D795" i="16"/>
  <c r="E795" i="16" s="1"/>
  <c r="D796" i="16"/>
  <c r="E796" i="16" s="1"/>
  <c r="D797" i="16"/>
  <c r="D798" i="16"/>
  <c r="D799" i="16"/>
  <c r="E799" i="16" s="1"/>
  <c r="D800" i="16"/>
  <c r="E800" i="16" s="1"/>
  <c r="D801" i="16"/>
  <c r="D802" i="16"/>
  <c r="D803" i="16"/>
  <c r="E803" i="16" s="1"/>
  <c r="D804" i="16"/>
  <c r="E804" i="16" s="1"/>
  <c r="D805" i="16"/>
  <c r="E805" i="16" s="1"/>
  <c r="D806" i="16"/>
  <c r="E806" i="16" s="1"/>
  <c r="D807" i="16"/>
  <c r="E807" i="16" s="1"/>
  <c r="D808" i="16"/>
  <c r="E808" i="16" s="1"/>
  <c r="D809" i="16"/>
  <c r="E809" i="16" s="1"/>
  <c r="D810" i="16"/>
  <c r="E810" i="16" s="1"/>
  <c r="D811" i="16"/>
  <c r="E811" i="16" s="1"/>
  <c r="D812" i="16"/>
  <c r="E812" i="16" s="1"/>
  <c r="D813" i="16"/>
  <c r="D814" i="16"/>
  <c r="D815" i="16"/>
  <c r="E815" i="16" s="1"/>
  <c r="D816" i="16"/>
  <c r="E816" i="16" s="1"/>
  <c r="D817" i="16"/>
  <c r="D818" i="16"/>
  <c r="D819" i="16"/>
  <c r="E819" i="16" s="1"/>
  <c r="D820" i="16"/>
  <c r="E820" i="16" s="1"/>
  <c r="D821" i="16"/>
  <c r="E821" i="16" s="1"/>
  <c r="D822" i="16"/>
  <c r="E822" i="16" s="1"/>
  <c r="D823" i="16"/>
  <c r="E823" i="16" s="1"/>
  <c r="D824" i="16"/>
  <c r="E824" i="16" s="1"/>
  <c r="D825" i="16"/>
  <c r="E825" i="16" s="1"/>
  <c r="D826" i="16"/>
  <c r="E826" i="16" s="1"/>
  <c r="D827" i="16"/>
  <c r="E827" i="16" s="1"/>
  <c r="D828" i="16"/>
  <c r="E828" i="16" s="1"/>
  <c r="D829" i="16"/>
  <c r="D830" i="16"/>
  <c r="D831" i="16"/>
  <c r="E831" i="16" s="1"/>
  <c r="D832" i="16"/>
  <c r="E832" i="16" s="1"/>
  <c r="D833" i="16"/>
  <c r="D834" i="16"/>
  <c r="D835" i="16"/>
  <c r="E835" i="16" s="1"/>
  <c r="D836" i="16"/>
  <c r="E836" i="16" s="1"/>
  <c r="D837" i="16"/>
  <c r="E837" i="16" s="1"/>
  <c r="D838" i="16"/>
  <c r="E838" i="16" s="1"/>
  <c r="D839" i="16"/>
  <c r="E839" i="16" s="1"/>
  <c r="D840" i="16"/>
  <c r="E840" i="16" s="1"/>
  <c r="D841" i="16"/>
  <c r="E841" i="16" s="1"/>
  <c r="D842" i="16"/>
  <c r="E842" i="16" s="1"/>
  <c r="D843" i="16"/>
  <c r="E843" i="16" s="1"/>
  <c r="D844" i="16"/>
  <c r="E844" i="16" s="1"/>
  <c r="D845" i="16"/>
  <c r="D846" i="16"/>
  <c r="D847" i="16"/>
  <c r="E847" i="16" s="1"/>
  <c r="D848" i="16"/>
  <c r="E848" i="16" s="1"/>
  <c r="D849" i="16"/>
  <c r="D850" i="16"/>
  <c r="D851" i="16"/>
  <c r="E851" i="16" s="1"/>
  <c r="D852" i="16"/>
  <c r="E852" i="16" s="1"/>
  <c r="D853" i="16"/>
  <c r="E853" i="16" s="1"/>
  <c r="D854" i="16"/>
  <c r="E854" i="16" s="1"/>
  <c r="D855" i="16"/>
  <c r="E855" i="16" s="1"/>
  <c r="D856" i="16"/>
  <c r="E856" i="16" s="1"/>
  <c r="D857" i="16"/>
  <c r="E857" i="16" s="1"/>
  <c r="D858" i="16"/>
  <c r="E858" i="16" s="1"/>
  <c r="D859" i="16"/>
  <c r="E859" i="16" s="1"/>
  <c r="D860" i="16"/>
  <c r="E860" i="16" s="1"/>
  <c r="D861" i="16"/>
  <c r="D862" i="16"/>
  <c r="D863" i="16"/>
  <c r="E863" i="16" s="1"/>
  <c r="D864" i="16"/>
  <c r="E864" i="16" s="1"/>
  <c r="D865" i="16"/>
  <c r="D866" i="16"/>
  <c r="D867" i="16"/>
  <c r="E867" i="16" s="1"/>
  <c r="D868" i="16"/>
  <c r="E868" i="16" s="1"/>
  <c r="D869" i="16"/>
  <c r="E869" i="16" s="1"/>
  <c r="D870" i="16"/>
  <c r="E870" i="16" s="1"/>
  <c r="D871" i="16"/>
  <c r="E871" i="16" s="1"/>
  <c r="D872" i="16"/>
  <c r="E872" i="16" s="1"/>
  <c r="D873" i="16"/>
  <c r="E873" i="16" s="1"/>
  <c r="D874" i="16"/>
  <c r="E874" i="16" s="1"/>
  <c r="D875" i="16"/>
  <c r="E875" i="16" s="1"/>
  <c r="D876" i="16"/>
  <c r="E876" i="16" s="1"/>
  <c r="D877" i="16"/>
  <c r="D878" i="16"/>
  <c r="D879" i="16"/>
  <c r="E879" i="16" s="1"/>
  <c r="D880" i="16"/>
  <c r="E880" i="16" s="1"/>
  <c r="D881" i="16"/>
  <c r="D882" i="16"/>
  <c r="D883" i="16"/>
  <c r="E883" i="16" s="1"/>
  <c r="D884" i="16"/>
  <c r="E884" i="16" s="1"/>
  <c r="D885" i="16"/>
  <c r="E885" i="16" s="1"/>
  <c r="D886" i="16"/>
  <c r="E886" i="16" s="1"/>
  <c r="D887" i="16"/>
  <c r="E887" i="16" s="1"/>
  <c r="D888" i="16"/>
  <c r="E888" i="16" s="1"/>
  <c r="D889" i="16"/>
  <c r="E889" i="16" s="1"/>
  <c r="D890" i="16"/>
  <c r="E890" i="16" s="1"/>
  <c r="D891" i="16"/>
  <c r="E891" i="16" s="1"/>
  <c r="D892" i="16"/>
  <c r="E892" i="16" s="1"/>
  <c r="D893" i="16"/>
  <c r="D894" i="16"/>
  <c r="D895" i="16"/>
  <c r="E895" i="16" s="1"/>
  <c r="D896" i="16"/>
  <c r="E896" i="16" s="1"/>
  <c r="D897" i="16"/>
  <c r="D898" i="16"/>
  <c r="D899" i="16"/>
  <c r="E899" i="16" s="1"/>
  <c r="D900" i="16"/>
  <c r="E900" i="16" s="1"/>
  <c r="D901" i="16"/>
  <c r="E901" i="16" s="1"/>
  <c r="D902" i="16"/>
  <c r="E902" i="16" s="1"/>
  <c r="D903" i="16"/>
  <c r="E903" i="16" s="1"/>
  <c r="D904" i="16"/>
  <c r="E904" i="16" s="1"/>
  <c r="D905" i="16"/>
  <c r="E905" i="16" s="1"/>
  <c r="D906" i="16"/>
  <c r="E906" i="16" s="1"/>
  <c r="D907" i="16"/>
  <c r="E907" i="16" s="1"/>
  <c r="D908" i="16"/>
  <c r="E908" i="16" s="1"/>
  <c r="D909" i="16"/>
  <c r="D910" i="16"/>
  <c r="D911" i="16"/>
  <c r="E911" i="16" s="1"/>
  <c r="D912" i="16"/>
  <c r="E912" i="16" s="1"/>
  <c r="D913" i="16"/>
  <c r="D914" i="16"/>
  <c r="D915" i="16"/>
  <c r="E915" i="16" s="1"/>
  <c r="D916" i="16"/>
  <c r="E916" i="16" s="1"/>
  <c r="D917" i="16"/>
  <c r="E917" i="16" s="1"/>
  <c r="D918" i="16"/>
  <c r="E918" i="16" s="1"/>
  <c r="D919" i="16"/>
  <c r="E919" i="16" s="1"/>
  <c r="D920" i="16"/>
  <c r="E920" i="16" s="1"/>
  <c r="D921" i="16"/>
  <c r="E921" i="16" s="1"/>
  <c r="D922" i="16"/>
  <c r="E922" i="16" s="1"/>
  <c r="D923" i="16"/>
  <c r="E923" i="16" s="1"/>
  <c r="D924" i="16"/>
  <c r="E924" i="16" s="1"/>
  <c r="D925" i="16"/>
  <c r="D926" i="16"/>
  <c r="D927" i="16"/>
  <c r="E927" i="16" s="1"/>
  <c r="D928" i="16"/>
  <c r="E928" i="16" s="1"/>
  <c r="D929" i="16"/>
  <c r="D930" i="16"/>
  <c r="D931" i="16"/>
  <c r="E931" i="16" s="1"/>
  <c r="D932" i="16"/>
  <c r="E932" i="16" s="1"/>
  <c r="D933" i="16"/>
  <c r="E933" i="16" s="1"/>
  <c r="D934" i="16"/>
  <c r="E934" i="16" s="1"/>
  <c r="D935" i="16"/>
  <c r="E935" i="16" s="1"/>
  <c r="D936" i="16"/>
  <c r="E936" i="16" s="1"/>
  <c r="D937" i="16"/>
  <c r="E937" i="16" s="1"/>
  <c r="D938" i="16"/>
  <c r="E938" i="16" s="1"/>
  <c r="D939" i="16"/>
  <c r="E939" i="16" s="1"/>
  <c r="D940" i="16"/>
  <c r="E940" i="16" s="1"/>
  <c r="D941" i="16"/>
  <c r="D942" i="16"/>
  <c r="D943" i="16"/>
  <c r="E943" i="16" s="1"/>
  <c r="D944" i="16"/>
  <c r="E944" i="16" s="1"/>
  <c r="D945" i="16"/>
  <c r="D946" i="16"/>
  <c r="D947" i="16"/>
  <c r="E947" i="16" s="1"/>
  <c r="D948" i="16"/>
  <c r="E948" i="16" s="1"/>
  <c r="D949" i="16"/>
  <c r="E949" i="16" s="1"/>
  <c r="D950" i="16"/>
  <c r="E950" i="16" s="1"/>
  <c r="D951" i="16"/>
  <c r="E951" i="16" s="1"/>
  <c r="D952" i="16"/>
  <c r="E952" i="16" s="1"/>
  <c r="D953" i="16"/>
  <c r="E953" i="16" s="1"/>
  <c r="D954" i="16"/>
  <c r="E954" i="16" s="1"/>
  <c r="D955" i="16"/>
  <c r="E955" i="16" s="1"/>
  <c r="D956" i="16"/>
  <c r="E956" i="16" s="1"/>
  <c r="D957" i="16"/>
  <c r="D958" i="16"/>
  <c r="D959" i="16"/>
  <c r="E959" i="16" s="1"/>
  <c r="D960" i="16"/>
  <c r="E960" i="16" s="1"/>
  <c r="D961" i="16"/>
  <c r="D962" i="16"/>
  <c r="D963" i="16"/>
  <c r="E963" i="16" s="1"/>
  <c r="D964" i="16"/>
  <c r="E964" i="16" s="1"/>
  <c r="D965" i="16"/>
  <c r="E965" i="16" s="1"/>
  <c r="D966" i="16"/>
  <c r="E966" i="16" s="1"/>
  <c r="D967" i="16"/>
  <c r="E967" i="16" s="1"/>
  <c r="D968" i="16"/>
  <c r="E968" i="16" s="1"/>
  <c r="D969" i="16"/>
  <c r="E969" i="16" s="1"/>
  <c r="D970" i="16"/>
  <c r="E970" i="16" s="1"/>
  <c r="D971" i="16"/>
  <c r="E971" i="16" s="1"/>
  <c r="D972" i="16"/>
  <c r="E972" i="16" s="1"/>
  <c r="D973" i="16"/>
  <c r="D974" i="16"/>
  <c r="D975" i="16"/>
  <c r="E975" i="16" s="1"/>
  <c r="D976" i="16"/>
  <c r="E976" i="16" s="1"/>
  <c r="D977" i="16"/>
  <c r="D978" i="16"/>
  <c r="D979" i="16"/>
  <c r="E979" i="16" s="1"/>
  <c r="D980" i="16"/>
  <c r="E980" i="16" s="1"/>
  <c r="D981" i="16"/>
  <c r="E981" i="16" s="1"/>
  <c r="D982" i="16"/>
  <c r="E982" i="16" s="1"/>
  <c r="D983" i="16"/>
  <c r="E983" i="16" s="1"/>
  <c r="D984" i="16"/>
  <c r="E984" i="16" s="1"/>
  <c r="D985" i="16"/>
  <c r="E985" i="16" s="1"/>
  <c r="D986" i="16"/>
  <c r="E986" i="16" s="1"/>
  <c r="D987" i="16"/>
  <c r="E987" i="16" s="1"/>
  <c r="D988" i="16"/>
  <c r="E988" i="16" s="1"/>
  <c r="D989" i="16"/>
  <c r="D990" i="16"/>
  <c r="D991" i="16"/>
  <c r="E991" i="16" s="1"/>
  <c r="D992" i="16"/>
  <c r="E992" i="16" s="1"/>
  <c r="D993" i="16"/>
  <c r="D994" i="16"/>
  <c r="D995" i="16"/>
  <c r="E995" i="16" s="1"/>
  <c r="D996" i="16"/>
  <c r="E996" i="16" s="1"/>
  <c r="D997" i="16"/>
  <c r="E997" i="16" s="1"/>
  <c r="D998" i="16"/>
  <c r="E998" i="16" s="1"/>
  <c r="D999" i="16"/>
  <c r="E999" i="16" s="1"/>
  <c r="D1000" i="16"/>
  <c r="E1000" i="16" s="1"/>
  <c r="D1001" i="16"/>
  <c r="E1001" i="16" s="1"/>
  <c r="D2" i="16"/>
  <c r="E2" i="16" s="1" a="1"/>
  <c r="E2" i="16" s="1"/>
  <c r="D129" i="20" l="1" a="1"/>
  <c r="D129" i="20" s="1"/>
  <c r="E129" i="20" s="1"/>
  <c r="D113" i="20" a="1"/>
  <c r="D113" i="20" s="1"/>
  <c r="E113" i="20" s="1"/>
  <c r="D97" i="20" a="1"/>
  <c r="D97" i="20" s="1"/>
  <c r="E97" i="20" s="1"/>
  <c r="D81" i="20" a="1"/>
  <c r="D81" i="20" s="1"/>
  <c r="E81" i="20" s="1"/>
  <c r="D65" i="20" a="1"/>
  <c r="D65" i="20" s="1"/>
  <c r="E65" i="20" s="1"/>
  <c r="D49" i="20" a="1"/>
  <c r="D49" i="20" s="1"/>
  <c r="E49" i="20" s="1"/>
  <c r="D33" i="20" a="1"/>
  <c r="D33" i="20" s="1"/>
  <c r="E33" i="20" s="1"/>
  <c r="D17" i="20" a="1"/>
  <c r="D17" i="20" s="1"/>
  <c r="E17" i="20" s="1"/>
  <c r="D123" i="20" a="1"/>
  <c r="D123" i="20" s="1"/>
  <c r="E123" i="20" s="1"/>
  <c r="D107" i="20" a="1"/>
  <c r="D107" i="20" s="1"/>
  <c r="E107" i="20" s="1"/>
  <c r="D91" i="20" a="1"/>
  <c r="D91" i="20" s="1"/>
  <c r="E91" i="20" s="1"/>
  <c r="D75" i="20" a="1"/>
  <c r="D75" i="20" s="1"/>
  <c r="E75" i="20" s="1"/>
  <c r="D59" i="20" a="1"/>
  <c r="D59" i="20" s="1"/>
  <c r="E59" i="20" s="1"/>
  <c r="D43" i="20" a="1"/>
  <c r="D43" i="20" s="1"/>
  <c r="E43" i="20" s="1"/>
  <c r="D27" i="20" a="1"/>
  <c r="D27" i="20" s="1"/>
  <c r="E27" i="20" s="1"/>
  <c r="D11" i="20" a="1"/>
  <c r="D11" i="20" s="1"/>
  <c r="E11" i="20" s="1"/>
  <c r="D128" i="20" a="1"/>
  <c r="D128" i="20" s="1"/>
  <c r="E128" i="20" s="1"/>
  <c r="D112" i="20" a="1"/>
  <c r="D112" i="20" s="1"/>
  <c r="E112" i="20" s="1"/>
  <c r="D96" i="20" a="1"/>
  <c r="D96" i="20" s="1"/>
  <c r="E96" i="20" s="1"/>
  <c r="D80" i="20" a="1"/>
  <c r="D80" i="20" s="1"/>
  <c r="E80" i="20" s="1"/>
  <c r="D64" i="20" a="1"/>
  <c r="D64" i="20" s="1"/>
  <c r="E64" i="20" s="1"/>
  <c r="D48" i="20" a="1"/>
  <c r="D48" i="20" s="1"/>
  <c r="E48" i="20" s="1"/>
  <c r="D32" i="20" a="1"/>
  <c r="D32" i="20" s="1"/>
  <c r="E32" i="20" s="1"/>
  <c r="D16" i="20" a="1"/>
  <c r="D16" i="20" s="1"/>
  <c r="E16" i="20" s="1"/>
  <c r="D117" i="20" a="1"/>
  <c r="D117" i="20" s="1"/>
  <c r="E117" i="20" s="1"/>
  <c r="D101" i="20" a="1"/>
  <c r="D101" i="20" s="1"/>
  <c r="E101" i="20" s="1"/>
  <c r="D85" i="20" a="1"/>
  <c r="D85" i="20" s="1"/>
  <c r="E85" i="20" s="1"/>
  <c r="D69" i="20" a="1"/>
  <c r="D69" i="20" s="1"/>
  <c r="E69" i="20" s="1"/>
  <c r="D53" i="20" a="1"/>
  <c r="D53" i="20" s="1"/>
  <c r="E53" i="20" s="1"/>
  <c r="D37" i="20" a="1"/>
  <c r="D37" i="20" s="1"/>
  <c r="E37" i="20" s="1"/>
  <c r="D21" i="20" a="1"/>
  <c r="D21" i="20" s="1"/>
  <c r="E21" i="20" s="1"/>
  <c r="D5" i="20" a="1"/>
  <c r="D5" i="20" s="1"/>
  <c r="E5" i="20" s="1"/>
  <c r="D122" i="20" a="1"/>
  <c r="D122" i="20" s="1"/>
  <c r="E122" i="20" s="1"/>
  <c r="D106" i="20" a="1"/>
  <c r="D106" i="20" s="1"/>
  <c r="E106" i="20" s="1"/>
  <c r="D90" i="20" a="1"/>
  <c r="D90" i="20" s="1"/>
  <c r="E90" i="20" s="1"/>
  <c r="D74" i="20" a="1"/>
  <c r="D74" i="20" s="1"/>
  <c r="E74" i="20" s="1"/>
  <c r="D58" i="20" a="1"/>
  <c r="D58" i="20" s="1"/>
  <c r="E58" i="20" s="1"/>
  <c r="D42" i="20" a="1"/>
  <c r="D42" i="20" s="1"/>
  <c r="E42" i="20" s="1"/>
  <c r="D26" i="20" a="1"/>
  <c r="D26" i="20" s="1"/>
  <c r="E26" i="20" s="1"/>
  <c r="D10" i="20" a="1"/>
  <c r="D10" i="20" s="1"/>
  <c r="E10" i="20" s="1"/>
  <c r="D127" i="20" a="1"/>
  <c r="D127" i="20" s="1"/>
  <c r="E127" i="20" s="1"/>
  <c r="D111" i="20" a="1"/>
  <c r="D111" i="20" s="1"/>
  <c r="E111" i="20" s="1"/>
  <c r="D95" i="20" a="1"/>
  <c r="D95" i="20" s="1"/>
  <c r="E95" i="20" s="1"/>
  <c r="D79" i="20" a="1"/>
  <c r="D79" i="20" s="1"/>
  <c r="E79" i="20" s="1"/>
  <c r="D63" i="20" a="1"/>
  <c r="D63" i="20" s="1"/>
  <c r="E63" i="20" s="1"/>
  <c r="D47" i="20" a="1"/>
  <c r="D47" i="20" s="1"/>
  <c r="E47" i="20" s="1"/>
  <c r="D31" i="20" a="1"/>
  <c r="D31" i="20" s="1"/>
  <c r="E31" i="20" s="1"/>
  <c r="D15" i="20" a="1"/>
  <c r="D15" i="20" s="1"/>
  <c r="E15" i="20" s="1"/>
  <c r="D116" i="20" a="1"/>
  <c r="D116" i="20" s="1"/>
  <c r="E116" i="20" s="1"/>
  <c r="D100" i="20" a="1"/>
  <c r="D100" i="20" s="1"/>
  <c r="E100" i="20" s="1"/>
  <c r="D84" i="20" a="1"/>
  <c r="D84" i="20" s="1"/>
  <c r="E84" i="20" s="1"/>
  <c r="D68" i="20" a="1"/>
  <c r="D68" i="20" s="1"/>
  <c r="E68" i="20" s="1"/>
  <c r="D52" i="20" a="1"/>
  <c r="D52" i="20" s="1"/>
  <c r="E52" i="20" s="1"/>
  <c r="D36" i="20" a="1"/>
  <c r="D36" i="20" s="1"/>
  <c r="E36" i="20" s="1"/>
  <c r="D20" i="20" a="1"/>
  <c r="D20" i="20" s="1"/>
  <c r="E20" i="20" s="1"/>
  <c r="D4" i="20" a="1"/>
  <c r="D4" i="20" s="1"/>
  <c r="E4" i="20" s="1"/>
  <c r="D121" i="20" a="1"/>
  <c r="D121" i="20" s="1"/>
  <c r="E121" i="20" s="1"/>
  <c r="D105" i="20" a="1"/>
  <c r="D105" i="20" s="1"/>
  <c r="E105" i="20" s="1"/>
  <c r="D89" i="20" a="1"/>
  <c r="D89" i="20" s="1"/>
  <c r="E89" i="20" s="1"/>
  <c r="D73" i="20" a="1"/>
  <c r="D73" i="20" s="1"/>
  <c r="E73" i="20" s="1"/>
  <c r="D57" i="20" a="1"/>
  <c r="D57" i="20" s="1"/>
  <c r="E57" i="20" s="1"/>
  <c r="D41" i="20" a="1"/>
  <c r="D41" i="20" s="1"/>
  <c r="E41" i="20" s="1"/>
  <c r="D25" i="20" a="1"/>
  <c r="D25" i="20" s="1"/>
  <c r="E25" i="20" s="1"/>
  <c r="D9" i="20" a="1"/>
  <c r="D9" i="20" s="1"/>
  <c r="E9" i="20" s="1"/>
  <c r="D126" i="20" a="1"/>
  <c r="D126" i="20" s="1"/>
  <c r="E126" i="20" s="1"/>
  <c r="D110" i="20" a="1"/>
  <c r="D110" i="20" s="1"/>
  <c r="E110" i="20" s="1"/>
  <c r="D94" i="20" a="1"/>
  <c r="D94" i="20" s="1"/>
  <c r="E94" i="20" s="1"/>
  <c r="D78" i="20" a="1"/>
  <c r="D78" i="20" s="1"/>
  <c r="E78" i="20" s="1"/>
  <c r="D62" i="20" a="1"/>
  <c r="D62" i="20" s="1"/>
  <c r="E62" i="20" s="1"/>
  <c r="D46" i="20" a="1"/>
  <c r="D46" i="20" s="1"/>
  <c r="E46" i="20" s="1"/>
  <c r="D30" i="20" a="1"/>
  <c r="D30" i="20" s="1"/>
  <c r="E30" i="20" s="1"/>
  <c r="D14" i="20" a="1"/>
  <c r="D14" i="20" s="1"/>
  <c r="E14" i="20" s="1"/>
  <c r="D115" i="20" a="1"/>
  <c r="D115" i="20" s="1"/>
  <c r="E115" i="20" s="1"/>
  <c r="D99" i="20" a="1"/>
  <c r="D99" i="20" s="1"/>
  <c r="E99" i="20" s="1"/>
  <c r="D83" i="20" a="1"/>
  <c r="D83" i="20" s="1"/>
  <c r="E83" i="20" s="1"/>
  <c r="D67" i="20" a="1"/>
  <c r="D67" i="20" s="1"/>
  <c r="E67" i="20" s="1"/>
  <c r="D51" i="20" a="1"/>
  <c r="D51" i="20" s="1"/>
  <c r="E51" i="20" s="1"/>
  <c r="D35" i="20" a="1"/>
  <c r="D35" i="20" s="1"/>
  <c r="E35" i="20" s="1"/>
  <c r="D19" i="20" a="1"/>
  <c r="D19" i="20" s="1"/>
  <c r="E19" i="20" s="1"/>
  <c r="D3" i="20" a="1"/>
  <c r="D3" i="20" s="1"/>
  <c r="E3" i="20" s="1"/>
  <c r="D120" i="20" a="1"/>
  <c r="D120" i="20" s="1"/>
  <c r="E120" i="20" s="1"/>
  <c r="D104" i="20" a="1"/>
  <c r="D104" i="20" s="1"/>
  <c r="E104" i="20" s="1"/>
  <c r="D88" i="20" a="1"/>
  <c r="D88" i="20" s="1"/>
  <c r="E88" i="20" s="1"/>
  <c r="D72" i="20" a="1"/>
  <c r="D72" i="20" s="1"/>
  <c r="E72" i="20" s="1"/>
  <c r="D56" i="20" a="1"/>
  <c r="D56" i="20" s="1"/>
  <c r="E56" i="20" s="1"/>
  <c r="D40" i="20" a="1"/>
  <c r="D40" i="20" s="1"/>
  <c r="E40" i="20" s="1"/>
  <c r="D24" i="20" a="1"/>
  <c r="D24" i="20" s="1"/>
  <c r="E24" i="20" s="1"/>
  <c r="D8" i="20" a="1"/>
  <c r="D8" i="20" s="1"/>
  <c r="E8" i="20" s="1"/>
  <c r="D125" i="20" a="1"/>
  <c r="D125" i="20" s="1"/>
  <c r="E125" i="20" s="1"/>
  <c r="D109" i="20" a="1"/>
  <c r="D109" i="20" s="1"/>
  <c r="E109" i="20" s="1"/>
  <c r="D93" i="20" a="1"/>
  <c r="D93" i="20" s="1"/>
  <c r="E93" i="20" s="1"/>
  <c r="D77" i="20" a="1"/>
  <c r="D77" i="20" s="1"/>
  <c r="E77" i="20" s="1"/>
  <c r="D61" i="20" a="1"/>
  <c r="D61" i="20" s="1"/>
  <c r="E61" i="20" s="1"/>
  <c r="D45" i="20" a="1"/>
  <c r="D45" i="20" s="1"/>
  <c r="E45" i="20" s="1"/>
  <c r="D29" i="20" a="1"/>
  <c r="D29" i="20" s="1"/>
  <c r="E29" i="20" s="1"/>
  <c r="D13" i="20" a="1"/>
  <c r="D13" i="20" s="1"/>
  <c r="E13" i="20" s="1"/>
  <c r="D130" i="20" a="1"/>
  <c r="D130" i="20" s="1"/>
  <c r="E130" i="20" s="1"/>
  <c r="D50" i="20" a="1"/>
  <c r="D50" i="20" s="1"/>
  <c r="E50" i="20" s="1"/>
  <c r="D18" i="20" a="1"/>
  <c r="D18" i="20" s="1"/>
  <c r="E18" i="20" s="1"/>
  <c r="D708" i="20" a="1"/>
  <c r="D708" i="20" s="1"/>
  <c r="E708" i="20" s="1"/>
  <c r="D696" i="20" a="1"/>
  <c r="D696" i="20" s="1"/>
  <c r="E696" i="20" s="1"/>
  <c r="D684" i="20" a="1"/>
  <c r="D684" i="20" s="1"/>
  <c r="E684" i="20" s="1"/>
  <c r="D565" i="20" a="1"/>
  <c r="D565" i="20" s="1"/>
  <c r="E565" i="20" s="1"/>
  <c r="D773" i="20" a="1"/>
  <c r="D773" i="20" s="1"/>
  <c r="E773" i="20" s="1"/>
  <c r="D772" i="20" a="1"/>
  <c r="D772" i="20" s="1"/>
  <c r="E772" i="20" s="1"/>
  <c r="D771" i="20" a="1"/>
  <c r="D771" i="20" s="1"/>
  <c r="E771" i="20" s="1"/>
  <c r="D564" i="20" a="1"/>
  <c r="D564" i="20" s="1"/>
  <c r="E564" i="20" s="1"/>
  <c r="D550" i="20" a="1"/>
  <c r="D550" i="20" s="1"/>
  <c r="E550" i="20" s="1"/>
  <c r="D445" i="20" a="1"/>
  <c r="D445" i="20" s="1"/>
  <c r="E445" i="20" s="1"/>
  <c r="D431" i="20" a="1"/>
  <c r="D431" i="20" s="1"/>
  <c r="E431" i="20" s="1"/>
  <c r="D430" i="20" a="1"/>
  <c r="D430" i="20" s="1"/>
  <c r="E430" i="20" s="1"/>
  <c r="D133" i="20" a="1"/>
  <c r="D133" i="20" s="1"/>
  <c r="E133" i="20" s="1"/>
  <c r="D991" i="20" a="1"/>
  <c r="D991" i="20" s="1"/>
  <c r="E991" i="20" s="1"/>
  <c r="D990" i="20" a="1"/>
  <c r="D990" i="20" s="1"/>
  <c r="E990" i="20" s="1"/>
  <c r="D911" i="20" a="1"/>
  <c r="D911" i="20" s="1"/>
  <c r="E911" i="20" s="1"/>
  <c r="D296" i="20" a="1"/>
  <c r="D296" i="20" s="1"/>
  <c r="E296" i="20" s="1"/>
  <c r="D984" i="20" a="1"/>
  <c r="D984" i="20" s="1"/>
  <c r="E984" i="20" s="1"/>
  <c r="D930" i="20" a="1"/>
  <c r="D930" i="20" s="1"/>
  <c r="E930" i="20" s="1"/>
  <c r="D905" i="20" a="1"/>
  <c r="D905" i="20" s="1"/>
  <c r="E905" i="20" s="1"/>
  <c r="D770" i="20" a="1"/>
  <c r="D770" i="20" s="1"/>
  <c r="E770" i="20" s="1"/>
  <c r="D670" i="20" a="1"/>
  <c r="D670" i="20" s="1"/>
  <c r="E670" i="20" s="1"/>
  <c r="D549" i="20" a="1"/>
  <c r="D549" i="20" s="1"/>
  <c r="E549" i="20" s="1"/>
  <c r="D416" i="20" a="1"/>
  <c r="D416" i="20" s="1"/>
  <c r="E416" i="20" s="1"/>
  <c r="D295" i="20" a="1"/>
  <c r="D295" i="20" s="1"/>
  <c r="E295" i="20" s="1"/>
  <c r="D983" i="20" a="1"/>
  <c r="D983" i="20" s="1"/>
  <c r="E983" i="20" s="1"/>
  <c r="D955" i="20" a="1"/>
  <c r="D955" i="20" s="1"/>
  <c r="E955" i="20" s="1"/>
  <c r="D929" i="20" a="1"/>
  <c r="D929" i="20" s="1"/>
  <c r="E929" i="20" s="1"/>
  <c r="D904" i="20" a="1"/>
  <c r="D904" i="20" s="1"/>
  <c r="E904" i="20" s="1"/>
  <c r="D769" i="20" a="1"/>
  <c r="D769" i="20" s="1"/>
  <c r="E769" i="20" s="1"/>
  <c r="D669" i="20" a="1"/>
  <c r="D669" i="20" s="1"/>
  <c r="E669" i="20" s="1"/>
  <c r="D536" i="20" a="1"/>
  <c r="D536" i="20" s="1"/>
  <c r="E536" i="20" s="1"/>
  <c r="D415" i="20" a="1"/>
  <c r="D415" i="20" s="1"/>
  <c r="E415" i="20" s="1"/>
  <c r="D281" i="20" a="1"/>
  <c r="D281" i="20" s="1"/>
  <c r="E281" i="20" s="1"/>
  <c r="D980" i="20" a="1"/>
  <c r="D980" i="20" s="1"/>
  <c r="E980" i="20" s="1"/>
  <c r="D952" i="20" a="1"/>
  <c r="D952" i="20" s="1"/>
  <c r="E952" i="20" s="1"/>
  <c r="D927" i="20" a="1"/>
  <c r="D927" i="20" s="1"/>
  <c r="E927" i="20" s="1"/>
  <c r="D901" i="20" a="1"/>
  <c r="D901" i="20" s="1"/>
  <c r="E901" i="20" s="1"/>
  <c r="D764" i="20" a="1"/>
  <c r="D764" i="20" s="1"/>
  <c r="E764" i="20" s="1"/>
  <c r="D656" i="20" a="1"/>
  <c r="D656" i="20" s="1"/>
  <c r="E656" i="20" s="1"/>
  <c r="D535" i="20" a="1"/>
  <c r="D535" i="20" s="1"/>
  <c r="E535" i="20" s="1"/>
  <c r="D401" i="20" a="1"/>
  <c r="D401" i="20" s="1"/>
  <c r="E401" i="20" s="1"/>
  <c r="D267" i="20" a="1"/>
  <c r="D267" i="20" s="1"/>
  <c r="E267" i="20" s="1"/>
  <c r="D978" i="20" a="1"/>
  <c r="D978" i="20" s="1"/>
  <c r="E978" i="20" s="1"/>
  <c r="D950" i="20" a="1"/>
  <c r="D950" i="20" s="1"/>
  <c r="E950" i="20" s="1"/>
  <c r="D926" i="20" a="1"/>
  <c r="D926" i="20" s="1"/>
  <c r="E926" i="20" s="1"/>
  <c r="D900" i="20" a="1"/>
  <c r="D900" i="20" s="1"/>
  <c r="E900" i="20" s="1"/>
  <c r="D760" i="20" a="1"/>
  <c r="D760" i="20" s="1"/>
  <c r="E760" i="20" s="1"/>
  <c r="D655" i="20" a="1"/>
  <c r="D655" i="20" s="1"/>
  <c r="E655" i="20" s="1"/>
  <c r="D521" i="20" a="1"/>
  <c r="D521" i="20" s="1"/>
  <c r="E521" i="20" s="1"/>
  <c r="D387" i="20" a="1"/>
  <c r="D387" i="20" s="1"/>
  <c r="E387" i="20" s="1"/>
  <c r="D266" i="20" a="1"/>
  <c r="D266" i="20" s="1"/>
  <c r="E266" i="20" s="1"/>
  <c r="D985" i="20" a="1"/>
  <c r="D985" i="20" s="1"/>
  <c r="E985" i="20" s="1"/>
  <c r="D977" i="20" a="1"/>
  <c r="D977" i="20" s="1"/>
  <c r="E977" i="20" s="1"/>
  <c r="D949" i="20" a="1"/>
  <c r="D949" i="20" s="1"/>
  <c r="E949" i="20" s="1"/>
  <c r="D924" i="20" a="1"/>
  <c r="D924" i="20" s="1"/>
  <c r="E924" i="20" s="1"/>
  <c r="D899" i="20" a="1"/>
  <c r="D899" i="20" s="1"/>
  <c r="E899" i="20" s="1"/>
  <c r="D758" i="20" a="1"/>
  <c r="D758" i="20" s="1"/>
  <c r="E758" i="20" s="1"/>
  <c r="D641" i="20" a="1"/>
  <c r="D641" i="20" s="1"/>
  <c r="E641" i="20" s="1"/>
  <c r="D506" i="20" a="1"/>
  <c r="D506" i="20" s="1"/>
  <c r="E506" i="20" s="1"/>
  <c r="D386" i="20" a="1"/>
  <c r="D386" i="20" s="1"/>
  <c r="E386" i="20" s="1"/>
  <c r="D252" i="20" a="1"/>
  <c r="D252" i="20" s="1"/>
  <c r="E252" i="20" s="1"/>
  <c r="D909" i="20" a="1"/>
  <c r="D909" i="20" s="1"/>
  <c r="E909" i="20" s="1"/>
  <c r="D976" i="20" a="1"/>
  <c r="D976" i="20" s="1"/>
  <c r="E976" i="20" s="1"/>
  <c r="D948" i="20" a="1"/>
  <c r="D948" i="20" s="1"/>
  <c r="E948" i="20" s="1"/>
  <c r="D898" i="20" a="1"/>
  <c r="D898" i="20" s="1"/>
  <c r="E898" i="20" s="1"/>
  <c r="D757" i="20" a="1"/>
  <c r="D757" i="20" s="1"/>
  <c r="E757" i="20" s="1"/>
  <c r="D640" i="20" a="1"/>
  <c r="D640" i="20" s="1"/>
  <c r="E640" i="20" s="1"/>
  <c r="D505" i="20" a="1"/>
  <c r="D505" i="20" s="1"/>
  <c r="E505" i="20" s="1"/>
  <c r="D371" i="20" a="1"/>
  <c r="D371" i="20" s="1"/>
  <c r="E371" i="20" s="1"/>
  <c r="D251" i="20" a="1"/>
  <c r="D251" i="20" s="1"/>
  <c r="E251" i="20" s="1"/>
  <c r="D311" i="20" a="1"/>
  <c r="D311" i="20" s="1"/>
  <c r="E311" i="20" s="1"/>
  <c r="D310" i="20" a="1"/>
  <c r="D310" i="20" s="1"/>
  <c r="E310" i="20" s="1"/>
  <c r="D956" i="20" a="1"/>
  <c r="D956" i="20" s="1"/>
  <c r="E956" i="20" s="1"/>
  <c r="D975" i="20" a="1"/>
  <c r="D975" i="20" s="1"/>
  <c r="E975" i="20" s="1"/>
  <c r="D923" i="20" a="1"/>
  <c r="D923" i="20" s="1"/>
  <c r="E923" i="20" s="1"/>
  <c r="D897" i="20" a="1"/>
  <c r="D897" i="20" s="1"/>
  <c r="E897" i="20" s="1"/>
  <c r="D625" i="20" a="1"/>
  <c r="D625" i="20" s="1"/>
  <c r="E625" i="20" s="1"/>
  <c r="D491" i="20" a="1"/>
  <c r="D491" i="20" s="1"/>
  <c r="E491" i="20" s="1"/>
  <c r="D370" i="20" a="1"/>
  <c r="D370" i="20" s="1"/>
  <c r="E370" i="20" s="1"/>
  <c r="D237" i="20" a="1"/>
  <c r="D237" i="20" s="1"/>
  <c r="E237" i="20" s="1"/>
  <c r="D935" i="20" a="1"/>
  <c r="D935" i="20" s="1"/>
  <c r="E935" i="20" s="1"/>
  <c r="D971" i="20" a="1"/>
  <c r="D971" i="20" s="1"/>
  <c r="E971" i="20" s="1"/>
  <c r="D943" i="20" a="1"/>
  <c r="D943" i="20" s="1"/>
  <c r="E943" i="20" s="1"/>
  <c r="D922" i="20" a="1"/>
  <c r="D922" i="20" s="1"/>
  <c r="E922" i="20" s="1"/>
  <c r="D896" i="20" a="1"/>
  <c r="D896" i="20" s="1"/>
  <c r="E896" i="20" s="1"/>
  <c r="D747" i="20" a="1"/>
  <c r="D747" i="20" s="1"/>
  <c r="E747" i="20" s="1"/>
  <c r="D610" i="20" a="1"/>
  <c r="D610" i="20" s="1"/>
  <c r="E610" i="20" s="1"/>
  <c r="D490" i="20" a="1"/>
  <c r="D490" i="20" s="1"/>
  <c r="E490" i="20" s="1"/>
  <c r="D356" i="20" a="1"/>
  <c r="D356" i="20" s="1"/>
  <c r="E356" i="20" s="1"/>
  <c r="D236" i="20" a="1"/>
  <c r="D236" i="20" s="1"/>
  <c r="E236" i="20" s="1"/>
  <c r="D961" i="20" a="1"/>
  <c r="D961" i="20" s="1"/>
  <c r="E961" i="20" s="1"/>
  <c r="D931" i="20" a="1"/>
  <c r="D931" i="20" s="1"/>
  <c r="E931" i="20" s="1"/>
  <c r="D999" i="20" a="1"/>
  <c r="D999" i="20" s="1"/>
  <c r="E999" i="20" s="1"/>
  <c r="D970" i="20" a="1"/>
  <c r="D970" i="20" s="1"/>
  <c r="E970" i="20" s="1"/>
  <c r="D942" i="20" a="1"/>
  <c r="D942" i="20" s="1"/>
  <c r="E942" i="20" s="1"/>
  <c r="D918" i="20" a="1"/>
  <c r="D918" i="20" s="1"/>
  <c r="E918" i="20" s="1"/>
  <c r="D892" i="20" a="1"/>
  <c r="D892" i="20" s="1"/>
  <c r="E892" i="20" s="1"/>
  <c r="D735" i="20" a="1"/>
  <c r="D735" i="20" s="1"/>
  <c r="E735" i="20" s="1"/>
  <c r="D609" i="20" a="1"/>
  <c r="D609" i="20" s="1"/>
  <c r="E609" i="20" s="1"/>
  <c r="D476" i="20" a="1"/>
  <c r="D476" i="20" s="1"/>
  <c r="E476" i="20" s="1"/>
  <c r="D355" i="20" a="1"/>
  <c r="D355" i="20" s="1"/>
  <c r="E355" i="20" s="1"/>
  <c r="D222" i="20" a="1"/>
  <c r="D222" i="20" s="1"/>
  <c r="E222" i="20" s="1"/>
  <c r="D998" i="20" a="1"/>
  <c r="D998" i="20" s="1"/>
  <c r="E998" i="20" s="1"/>
  <c r="D969" i="20" a="1"/>
  <c r="D969" i="20" s="1"/>
  <c r="E969" i="20" s="1"/>
  <c r="D917" i="20" a="1"/>
  <c r="D917" i="20" s="1"/>
  <c r="E917" i="20" s="1"/>
  <c r="D734" i="20" a="1"/>
  <c r="D734" i="20" s="1"/>
  <c r="E734" i="20" s="1"/>
  <c r="D595" i="20" a="1"/>
  <c r="D595" i="20" s="1"/>
  <c r="E595" i="20" s="1"/>
  <c r="D475" i="20" a="1"/>
  <c r="D475" i="20" s="1"/>
  <c r="E475" i="20" s="1"/>
  <c r="D341" i="20" a="1"/>
  <c r="D341" i="20" s="1"/>
  <c r="E341" i="20" s="1"/>
  <c r="D221" i="20" a="1"/>
  <c r="D221" i="20" s="1"/>
  <c r="E221" i="20" s="1"/>
  <c r="D962" i="20" a="1"/>
  <c r="D962" i="20" s="1"/>
  <c r="E962" i="20" s="1"/>
  <c r="D910" i="20" a="1"/>
  <c r="D910" i="20" s="1"/>
  <c r="E910" i="20" s="1"/>
  <c r="D995" i="20" a="1"/>
  <c r="D995" i="20" s="1"/>
  <c r="E995" i="20" s="1"/>
  <c r="D966" i="20" a="1"/>
  <c r="D966" i="20" s="1"/>
  <c r="E966" i="20" s="1"/>
  <c r="D939" i="20" a="1"/>
  <c r="D939" i="20" s="1"/>
  <c r="E939" i="20" s="1"/>
  <c r="D916" i="20" a="1"/>
  <c r="D916" i="20" s="1"/>
  <c r="E916" i="20" s="1"/>
  <c r="D891" i="20" a="1"/>
  <c r="D891" i="20" s="1"/>
  <c r="E891" i="20" s="1"/>
  <c r="D722" i="20" a="1"/>
  <c r="D722" i="20" s="1"/>
  <c r="E722" i="20" s="1"/>
  <c r="D594" i="20" a="1"/>
  <c r="D594" i="20" s="1"/>
  <c r="E594" i="20" s="1"/>
  <c r="D460" i="20" a="1"/>
  <c r="D460" i="20" s="1"/>
  <c r="E460" i="20" s="1"/>
  <c r="D340" i="20" a="1"/>
  <c r="D340" i="20" s="1"/>
  <c r="E340" i="20" s="1"/>
  <c r="D177" i="20" a="1"/>
  <c r="D177" i="20" s="1"/>
  <c r="E177" i="20" s="1"/>
  <c r="D994" i="20" a="1"/>
  <c r="D994" i="20" s="1"/>
  <c r="E994" i="20" s="1"/>
  <c r="D965" i="20" a="1"/>
  <c r="D965" i="20" s="1"/>
  <c r="E965" i="20" s="1"/>
  <c r="D937" i="20" a="1"/>
  <c r="D937" i="20" s="1"/>
  <c r="E937" i="20" s="1"/>
  <c r="D914" i="20" a="1"/>
  <c r="D914" i="20" s="1"/>
  <c r="E914" i="20" s="1"/>
  <c r="D888" i="20" a="1"/>
  <c r="D888" i="20" s="1"/>
  <c r="E888" i="20" s="1"/>
  <c r="D721" i="20" a="1"/>
  <c r="D721" i="20" s="1"/>
  <c r="E721" i="20" s="1"/>
  <c r="D580" i="20" a="1"/>
  <c r="D580" i="20" s="1"/>
  <c r="E580" i="20" s="1"/>
  <c r="D459" i="20" a="1"/>
  <c r="D459" i="20" s="1"/>
  <c r="E459" i="20" s="1"/>
  <c r="D326" i="20" a="1"/>
  <c r="D326" i="20" s="1"/>
  <c r="E326" i="20" s="1"/>
  <c r="D162" i="20" a="1"/>
  <c r="D162" i="20" s="1"/>
  <c r="E162" i="20" s="1"/>
  <c r="D992" i="20" a="1"/>
  <c r="D992" i="20" s="1"/>
  <c r="E992" i="20" s="1"/>
  <c r="D963" i="20" a="1"/>
  <c r="D963" i="20" s="1"/>
  <c r="E963" i="20" s="1"/>
  <c r="D936" i="20" a="1"/>
  <c r="D936" i="20" s="1"/>
  <c r="E936" i="20" s="1"/>
  <c r="D913" i="20" a="1"/>
  <c r="D913" i="20" s="1"/>
  <c r="E913" i="20" s="1"/>
  <c r="D709" i="20" a="1"/>
  <c r="D709" i="20" s="1"/>
  <c r="E709" i="20" s="1"/>
  <c r="D579" i="20" a="1"/>
  <c r="D579" i="20" s="1"/>
  <c r="E579" i="20" s="1"/>
  <c r="D446" i="20" a="1"/>
  <c r="D446" i="20" s="1"/>
  <c r="E446" i="20" s="1"/>
  <c r="D325" i="20" a="1"/>
  <c r="D325" i="20" s="1"/>
  <c r="E325" i="20" s="1"/>
  <c r="D148" i="20" a="1"/>
  <c r="D148" i="20" s="1"/>
  <c r="E148" i="20" s="1"/>
  <c r="D838" i="20" a="1"/>
  <c r="D838" i="20" s="1"/>
  <c r="E838" i="20" s="1"/>
  <c r="D851" i="20" a="1"/>
  <c r="D851" i="20" s="1"/>
  <c r="E851" i="20" s="1"/>
  <c r="D876" i="20" a="1"/>
  <c r="D876" i="20" s="1"/>
  <c r="E876" i="20" s="1"/>
  <c r="D889" i="20" a="1"/>
  <c r="D889" i="20" s="1"/>
  <c r="E889" i="20" s="1"/>
  <c r="D839" i="20" a="1"/>
  <c r="D839" i="20" s="1"/>
  <c r="E839" i="20" s="1"/>
  <c r="D864" i="20" a="1"/>
  <c r="D864" i="20" s="1"/>
  <c r="E864" i="20" s="1"/>
  <c r="D877" i="20" a="1"/>
  <c r="D877" i="20" s="1"/>
  <c r="E877" i="20" s="1"/>
  <c r="D827" i="20" a="1"/>
  <c r="D827" i="20" s="1"/>
  <c r="E827" i="20" s="1"/>
  <c r="D852" i="20" a="1"/>
  <c r="D852" i="20" s="1"/>
  <c r="E852" i="20" s="1"/>
  <c r="D865" i="20" a="1"/>
  <c r="D865" i="20" s="1"/>
  <c r="E865" i="20" s="1"/>
  <c r="D878" i="20" a="1"/>
  <c r="D878" i="20" s="1"/>
  <c r="E878" i="20" s="1"/>
  <c r="D862" i="20" a="1"/>
  <c r="D862" i="20" s="1"/>
  <c r="E862" i="20" s="1"/>
  <c r="D840" i="20" a="1"/>
  <c r="D840" i="20" s="1"/>
  <c r="E840" i="20" s="1"/>
  <c r="D853" i="20" a="1"/>
  <c r="D853" i="20" s="1"/>
  <c r="E853" i="20" s="1"/>
  <c r="D866" i="20" a="1"/>
  <c r="D866" i="20" s="1"/>
  <c r="E866" i="20" s="1"/>
  <c r="D879" i="20" a="1"/>
  <c r="D879" i="20" s="1"/>
  <c r="E879" i="20" s="1"/>
  <c r="D849" i="20" a="1"/>
  <c r="D849" i="20" s="1"/>
  <c r="E849" i="20" s="1"/>
  <c r="D828" i="20" a="1"/>
  <c r="D828" i="20" s="1"/>
  <c r="E828" i="20" s="1"/>
  <c r="D841" i="20" a="1"/>
  <c r="D841" i="20" s="1"/>
  <c r="E841" i="20" s="1"/>
  <c r="D854" i="20" a="1"/>
  <c r="D854" i="20" s="1"/>
  <c r="E854" i="20" s="1"/>
  <c r="D867" i="20" a="1"/>
  <c r="D867" i="20" s="1"/>
  <c r="E867" i="20" s="1"/>
  <c r="D829" i="20" a="1"/>
  <c r="D829" i="20" s="1"/>
  <c r="E829" i="20" s="1"/>
  <c r="D842" i="20" a="1"/>
  <c r="D842" i="20" s="1"/>
  <c r="E842" i="20" s="1"/>
  <c r="D855" i="20" a="1"/>
  <c r="D855" i="20" s="1"/>
  <c r="E855" i="20" s="1"/>
  <c r="D880" i="20" a="1"/>
  <c r="D880" i="20" s="1"/>
  <c r="E880" i="20" s="1"/>
  <c r="D830" i="20" a="1"/>
  <c r="D830" i="20" s="1"/>
  <c r="E830" i="20" s="1"/>
  <c r="D843" i="20" a="1"/>
  <c r="D843" i="20" s="1"/>
  <c r="E843" i="20" s="1"/>
  <c r="D868" i="20" a="1"/>
  <c r="D868" i="20" s="1"/>
  <c r="E868" i="20" s="1"/>
  <c r="D881" i="20" a="1"/>
  <c r="D881" i="20" s="1"/>
  <c r="E881" i="20" s="1"/>
  <c r="D836" i="20" a="1"/>
  <c r="D836" i="20" s="1"/>
  <c r="E836" i="20" s="1"/>
  <c r="D831" i="20" a="1"/>
  <c r="D831" i="20" s="1"/>
  <c r="E831" i="20" s="1"/>
  <c r="D856" i="20" a="1"/>
  <c r="D856" i="20" s="1"/>
  <c r="E856" i="20" s="1"/>
  <c r="D869" i="20" a="1"/>
  <c r="D869" i="20" s="1"/>
  <c r="E869" i="20" s="1"/>
  <c r="D882" i="20" a="1"/>
  <c r="D882" i="20" s="1"/>
  <c r="E882" i="20" s="1"/>
  <c r="D844" i="20" a="1"/>
  <c r="D844" i="20" s="1"/>
  <c r="E844" i="20" s="1"/>
  <c r="D857" i="20" a="1"/>
  <c r="D857" i="20" s="1"/>
  <c r="E857" i="20" s="1"/>
  <c r="D870" i="20" a="1"/>
  <c r="D870" i="20" s="1"/>
  <c r="E870" i="20" s="1"/>
  <c r="D883" i="20" a="1"/>
  <c r="D883" i="20" s="1"/>
  <c r="E883" i="20" s="1"/>
  <c r="D832" i="20" a="1"/>
  <c r="D832" i="20" s="1"/>
  <c r="E832" i="20" s="1"/>
  <c r="D845" i="20" a="1"/>
  <c r="D845" i="20" s="1"/>
  <c r="E845" i="20" s="1"/>
  <c r="D858" i="20" a="1"/>
  <c r="D858" i="20" s="1"/>
  <c r="E858" i="20" s="1"/>
  <c r="D871" i="20" a="1"/>
  <c r="D871" i="20" s="1"/>
  <c r="E871" i="20" s="1"/>
  <c r="D833" i="20" a="1"/>
  <c r="D833" i="20" s="1"/>
  <c r="E833" i="20" s="1"/>
  <c r="D846" i="20" a="1"/>
  <c r="D846" i="20" s="1"/>
  <c r="E846" i="20" s="1"/>
  <c r="D859" i="20" a="1"/>
  <c r="D859" i="20" s="1"/>
  <c r="E859" i="20" s="1"/>
  <c r="D884" i="20" a="1"/>
  <c r="D884" i="20" s="1"/>
  <c r="E884" i="20" s="1"/>
  <c r="D834" i="20" a="1"/>
  <c r="D834" i="20" s="1"/>
  <c r="E834" i="20" s="1"/>
  <c r="D847" i="20" a="1"/>
  <c r="D847" i="20" s="1"/>
  <c r="E847" i="20" s="1"/>
  <c r="D872" i="20" a="1"/>
  <c r="D872" i="20" s="1"/>
  <c r="E872" i="20" s="1"/>
  <c r="D885" i="20" a="1"/>
  <c r="D885" i="20" s="1"/>
  <c r="E885" i="20" s="1"/>
  <c r="D835" i="20" a="1"/>
  <c r="D835" i="20" s="1"/>
  <c r="E835" i="20" s="1"/>
  <c r="D860" i="20" a="1"/>
  <c r="D860" i="20" s="1"/>
  <c r="E860" i="20" s="1"/>
  <c r="D873" i="20" a="1"/>
  <c r="D873" i="20" s="1"/>
  <c r="E873" i="20" s="1"/>
  <c r="D886" i="20" a="1"/>
  <c r="D886" i="20" s="1"/>
  <c r="E886" i="20" s="1"/>
  <c r="D848" i="20" a="1"/>
  <c r="D848" i="20" s="1"/>
  <c r="E848" i="20" s="1"/>
  <c r="D861" i="20" a="1"/>
  <c r="D861" i="20" s="1"/>
  <c r="E861" i="20" s="1"/>
  <c r="D874" i="20" a="1"/>
  <c r="D874" i="20" s="1"/>
  <c r="E874" i="20" s="1"/>
  <c r="D887" i="20" a="1"/>
  <c r="D887" i="20" s="1"/>
  <c r="E887" i="20" s="1"/>
  <c r="D875" i="20" a="1"/>
  <c r="D875" i="20" s="1"/>
  <c r="E875" i="20" s="1"/>
  <c r="D208" i="20" a="1"/>
  <c r="D208" i="20" s="1"/>
  <c r="E208" i="20" s="1"/>
  <c r="D209" i="20" a="1"/>
  <c r="D209" i="20" s="1"/>
  <c r="E209" i="20" s="1"/>
  <c r="D210" i="20" a="1"/>
  <c r="D210" i="20" s="1"/>
  <c r="E210" i="20" s="1"/>
  <c r="D211" i="20" a="1"/>
  <c r="D211" i="20" s="1"/>
  <c r="E211" i="20" s="1"/>
  <c r="D212" i="20" a="1"/>
  <c r="D212" i="20" s="1"/>
  <c r="E212" i="20" s="1"/>
  <c r="D213" i="20" a="1"/>
  <c r="D213" i="20" s="1"/>
  <c r="E213" i="20" s="1"/>
  <c r="D850" i="20" a="1"/>
  <c r="D850" i="20" s="1"/>
  <c r="E850" i="20" s="1"/>
  <c r="D193" i="20" a="1"/>
  <c r="D193" i="20" s="1"/>
  <c r="E193" i="20" s="1"/>
  <c r="D194" i="20" a="1"/>
  <c r="D194" i="20" s="1"/>
  <c r="E194" i="20" s="1"/>
  <c r="D195" i="20" a="1"/>
  <c r="D195" i="20" s="1"/>
  <c r="E195" i="20" s="1"/>
  <c r="D196" i="20" a="1"/>
  <c r="D196" i="20" s="1"/>
  <c r="E196" i="20" s="1"/>
  <c r="D197" i="20" a="1"/>
  <c r="D197" i="20" s="1"/>
  <c r="E197" i="20" s="1"/>
  <c r="D198" i="20" a="1"/>
  <c r="D198" i="20" s="1"/>
  <c r="E198" i="20" s="1"/>
  <c r="D199" i="20" a="1"/>
  <c r="D199" i="20" s="1"/>
  <c r="E199" i="20" s="1"/>
  <c r="D200" i="20" a="1"/>
  <c r="D200" i="20" s="1"/>
  <c r="E200" i="20" s="1"/>
  <c r="D201" i="20" a="1"/>
  <c r="D201" i="20" s="1"/>
  <c r="E201" i="20" s="1"/>
  <c r="D188" i="20" a="1"/>
  <c r="D188" i="20" s="1"/>
  <c r="E188" i="20" s="1"/>
  <c r="D202" i="20" a="1"/>
  <c r="D202" i="20" s="1"/>
  <c r="E202" i="20" s="1"/>
  <c r="D189" i="20" a="1"/>
  <c r="D189" i="20" s="1"/>
  <c r="E189" i="20" s="1"/>
  <c r="D203" i="20" a="1"/>
  <c r="D203" i="20" s="1"/>
  <c r="E203" i="20" s="1"/>
  <c r="D190" i="20" a="1"/>
  <c r="D190" i="20" s="1"/>
  <c r="E190" i="20" s="1"/>
  <c r="D204" i="20" a="1"/>
  <c r="D204" i="20" s="1"/>
  <c r="E204" i="20" s="1"/>
  <c r="D191" i="20" a="1"/>
  <c r="D191" i="20" s="1"/>
  <c r="E191" i="20" s="1"/>
  <c r="D205" i="20" a="1"/>
  <c r="D205" i="20" s="1"/>
  <c r="E205" i="20" s="1"/>
  <c r="D192" i="20" a="1"/>
  <c r="D192" i="20" s="1"/>
  <c r="E192" i="20" s="1"/>
  <c r="D206" i="20" a="1"/>
  <c r="D206" i="20" s="1"/>
  <c r="E206" i="20" s="1"/>
  <c r="D837" i="20" a="1"/>
  <c r="D837" i="20" s="1"/>
  <c r="E837" i="20" s="1"/>
  <c r="D787" i="20" a="1"/>
  <c r="D787" i="20" s="1"/>
  <c r="E787" i="20" s="1"/>
  <c r="D812" i="20" a="1"/>
  <c r="D812" i="20" s="1"/>
  <c r="E812" i="20" s="1"/>
  <c r="D825" i="20" a="1"/>
  <c r="D825" i="20" s="1"/>
  <c r="E825" i="20" s="1"/>
  <c r="D775" i="20" a="1"/>
  <c r="D775" i="20" s="1"/>
  <c r="E775" i="20" s="1"/>
  <c r="D800" i="20" a="1"/>
  <c r="D800" i="20" s="1"/>
  <c r="E800" i="20" s="1"/>
  <c r="D813" i="20" a="1"/>
  <c r="D813" i="20" s="1"/>
  <c r="E813" i="20" s="1"/>
  <c r="D826" i="20" a="1"/>
  <c r="D826" i="20" s="1"/>
  <c r="E826" i="20" s="1"/>
  <c r="D785" i="20" a="1"/>
  <c r="D785" i="20" s="1"/>
  <c r="E785" i="20" s="1"/>
  <c r="D788" i="20" a="1"/>
  <c r="D788" i="20" s="1"/>
  <c r="E788" i="20" s="1"/>
  <c r="D801" i="20" a="1"/>
  <c r="D801" i="20" s="1"/>
  <c r="E801" i="20" s="1"/>
  <c r="D814" i="20" a="1"/>
  <c r="D814" i="20" s="1"/>
  <c r="E814" i="20" s="1"/>
  <c r="D776" i="20" a="1"/>
  <c r="D776" i="20" s="1"/>
  <c r="E776" i="20" s="1"/>
  <c r="D789" i="20" a="1"/>
  <c r="D789" i="20" s="1"/>
  <c r="E789" i="20" s="1"/>
  <c r="D802" i="20" a="1"/>
  <c r="D802" i="20" s="1"/>
  <c r="E802" i="20" s="1"/>
  <c r="D815" i="20" a="1"/>
  <c r="D815" i="20" s="1"/>
  <c r="E815" i="20" s="1"/>
  <c r="D777" i="20" a="1"/>
  <c r="D777" i="20" s="1"/>
  <c r="E777" i="20" s="1"/>
  <c r="D790" i="20" a="1"/>
  <c r="D790" i="20" s="1"/>
  <c r="E790" i="20" s="1"/>
  <c r="D803" i="20" a="1"/>
  <c r="D803" i="20" s="1"/>
  <c r="E803" i="20" s="1"/>
  <c r="D778" i="20" a="1"/>
  <c r="D778" i="20" s="1"/>
  <c r="E778" i="20" s="1"/>
  <c r="D791" i="20" a="1"/>
  <c r="D791" i="20" s="1"/>
  <c r="E791" i="20" s="1"/>
  <c r="D816" i="20" a="1"/>
  <c r="D816" i="20" s="1"/>
  <c r="E816" i="20" s="1"/>
  <c r="D811" i="20" a="1"/>
  <c r="D811" i="20" s="1"/>
  <c r="E811" i="20" s="1"/>
  <c r="D779" i="20" a="1"/>
  <c r="D779" i="20" s="1"/>
  <c r="E779" i="20" s="1"/>
  <c r="D804" i="20" a="1"/>
  <c r="D804" i="20" s="1"/>
  <c r="E804" i="20" s="1"/>
  <c r="D817" i="20" a="1"/>
  <c r="D817" i="20" s="1"/>
  <c r="E817" i="20" s="1"/>
  <c r="D792" i="20" a="1"/>
  <c r="D792" i="20" s="1"/>
  <c r="E792" i="20" s="1"/>
  <c r="D805" i="20" a="1"/>
  <c r="D805" i="20" s="1"/>
  <c r="E805" i="20" s="1"/>
  <c r="D818" i="20" a="1"/>
  <c r="D818" i="20" s="1"/>
  <c r="E818" i="20" s="1"/>
  <c r="D780" i="20" a="1"/>
  <c r="D780" i="20" s="1"/>
  <c r="E780" i="20" s="1"/>
  <c r="D793" i="20" a="1"/>
  <c r="D793" i="20" s="1"/>
  <c r="E793" i="20" s="1"/>
  <c r="D806" i="20" a="1"/>
  <c r="D806" i="20" s="1"/>
  <c r="E806" i="20" s="1"/>
  <c r="D819" i="20" a="1"/>
  <c r="D819" i="20" s="1"/>
  <c r="E819" i="20" s="1"/>
  <c r="D781" i="20" a="1"/>
  <c r="D781" i="20" s="1"/>
  <c r="E781" i="20" s="1"/>
  <c r="D794" i="20" a="1"/>
  <c r="D794" i="20" s="1"/>
  <c r="E794" i="20" s="1"/>
  <c r="D807" i="20" a="1"/>
  <c r="D807" i="20" s="1"/>
  <c r="E807" i="20" s="1"/>
  <c r="D782" i="20" a="1"/>
  <c r="D782" i="20" s="1"/>
  <c r="E782" i="20" s="1"/>
  <c r="D795" i="20" a="1"/>
  <c r="D795" i="20" s="1"/>
  <c r="E795" i="20" s="1"/>
  <c r="D820" i="20" a="1"/>
  <c r="D820" i="20" s="1"/>
  <c r="E820" i="20" s="1"/>
  <c r="D783" i="20" a="1"/>
  <c r="D783" i="20" s="1"/>
  <c r="E783" i="20" s="1"/>
  <c r="D808" i="20" a="1"/>
  <c r="D808" i="20" s="1"/>
  <c r="E808" i="20" s="1"/>
  <c r="D821" i="20" a="1"/>
  <c r="D821" i="20" s="1"/>
  <c r="E821" i="20" s="1"/>
  <c r="D796" i="20" a="1"/>
  <c r="D796" i="20" s="1"/>
  <c r="E796" i="20" s="1"/>
  <c r="D809" i="20" a="1"/>
  <c r="D809" i="20" s="1"/>
  <c r="E809" i="20" s="1"/>
  <c r="D822" i="20" a="1"/>
  <c r="D822" i="20" s="1"/>
  <c r="E822" i="20" s="1"/>
  <c r="D784" i="20" a="1"/>
  <c r="D784" i="20" s="1"/>
  <c r="E784" i="20" s="1"/>
  <c r="D797" i="20" a="1"/>
  <c r="D797" i="20" s="1"/>
  <c r="E797" i="20" s="1"/>
  <c r="D810" i="20" a="1"/>
  <c r="D810" i="20" s="1"/>
  <c r="E810" i="20" s="1"/>
  <c r="D823" i="20" a="1"/>
  <c r="D823" i="20" s="1"/>
  <c r="E823" i="20" s="1"/>
  <c r="D798" i="20" a="1"/>
  <c r="D798" i="20" s="1"/>
  <c r="E798" i="20" s="1"/>
  <c r="D824" i="20" a="1"/>
  <c r="D824" i="20" s="1"/>
  <c r="E824" i="20" s="1"/>
  <c r="D207" i="20" a="1"/>
  <c r="D207" i="20" s="1"/>
  <c r="E207" i="20" s="1"/>
  <c r="D799" i="20" a="1"/>
  <c r="D799" i="20" s="1"/>
  <c r="E799" i="20" s="1"/>
  <c r="D786" i="20" a="1"/>
  <c r="D786" i="20" s="1"/>
  <c r="E786" i="20" s="1"/>
  <c r="D161" i="20" a="1"/>
  <c r="D161" i="20" s="1"/>
  <c r="E161" i="20" s="1"/>
  <c r="D147" i="20" a="1"/>
  <c r="D147" i="20" s="1"/>
  <c r="E147" i="20" s="1"/>
  <c r="D132" i="20" a="1"/>
  <c r="D132" i="20" s="1"/>
  <c r="E132" i="20" s="1"/>
  <c r="D993" i="20" a="1"/>
  <c r="D993" i="20" s="1"/>
  <c r="E993" i="20" s="1"/>
  <c r="D979" i="20" a="1"/>
  <c r="D979" i="20" s="1"/>
  <c r="E979" i="20" s="1"/>
  <c r="D964" i="20" a="1"/>
  <c r="D964" i="20" s="1"/>
  <c r="E964" i="20" s="1"/>
  <c r="D951" i="20" a="1"/>
  <c r="D951" i="20" s="1"/>
  <c r="E951" i="20" s="1"/>
  <c r="D938" i="20" a="1"/>
  <c r="D938" i="20" s="1"/>
  <c r="E938" i="20" s="1"/>
  <c r="D925" i="20" a="1"/>
  <c r="D925" i="20" s="1"/>
  <c r="E925" i="20" s="1"/>
  <c r="D912" i="20" a="1"/>
  <c r="D912" i="20" s="1"/>
  <c r="E912" i="20" s="1"/>
  <c r="D759" i="20" a="1"/>
  <c r="D759" i="20" s="1"/>
  <c r="E759" i="20" s="1"/>
  <c r="D746" i="20" a="1"/>
  <c r="D746" i="20" s="1"/>
  <c r="E746" i="20" s="1"/>
  <c r="D733" i="20" a="1"/>
  <c r="D733" i="20" s="1"/>
  <c r="E733" i="20" s="1"/>
  <c r="D720" i="20" a="1"/>
  <c r="D720" i="20" s="1"/>
  <c r="E720" i="20" s="1"/>
  <c r="D695" i="20" a="1"/>
  <c r="D695" i="20" s="1"/>
  <c r="E695" i="20" s="1"/>
  <c r="D683" i="20" a="1"/>
  <c r="D683" i="20" s="1"/>
  <c r="E683" i="20" s="1"/>
  <c r="D668" i="20" a="1"/>
  <c r="D668" i="20" s="1"/>
  <c r="E668" i="20" s="1"/>
  <c r="D654" i="20" a="1"/>
  <c r="D654" i="20" s="1"/>
  <c r="E654" i="20" s="1"/>
  <c r="D639" i="20" a="1"/>
  <c r="D639" i="20" s="1"/>
  <c r="E639" i="20" s="1"/>
  <c r="D624" i="20" a="1"/>
  <c r="D624" i="20" s="1"/>
  <c r="E624" i="20" s="1"/>
  <c r="D593" i="20" a="1"/>
  <c r="D593" i="20" s="1"/>
  <c r="E593" i="20" s="1"/>
  <c r="D578" i="20" a="1"/>
  <c r="D578" i="20" s="1"/>
  <c r="E578" i="20" s="1"/>
  <c r="D563" i="20" a="1"/>
  <c r="D563" i="20" s="1"/>
  <c r="E563" i="20" s="1"/>
  <c r="D548" i="20" a="1"/>
  <c r="D548" i="20" s="1"/>
  <c r="E548" i="20" s="1"/>
  <c r="D534" i="20" a="1"/>
  <c r="D534" i="20" s="1"/>
  <c r="E534" i="20" s="1"/>
  <c r="D520" i="20" a="1"/>
  <c r="D520" i="20" s="1"/>
  <c r="E520" i="20" s="1"/>
  <c r="D504" i="20" a="1"/>
  <c r="D504" i="20" s="1"/>
  <c r="E504" i="20" s="1"/>
  <c r="D489" i="20" a="1"/>
  <c r="D489" i="20" s="1"/>
  <c r="E489" i="20" s="1"/>
  <c r="D474" i="20" a="1"/>
  <c r="D474" i="20" s="1"/>
  <c r="E474" i="20" s="1"/>
  <c r="D458" i="20" a="1"/>
  <c r="D458" i="20" s="1"/>
  <c r="E458" i="20" s="1"/>
  <c r="D444" i="20" a="1"/>
  <c r="D444" i="20" s="1"/>
  <c r="E444" i="20" s="1"/>
  <c r="D429" i="20" a="1"/>
  <c r="D429" i="20" s="1"/>
  <c r="E429" i="20" s="1"/>
  <c r="D414" i="20" a="1"/>
  <c r="D414" i="20" s="1"/>
  <c r="E414" i="20" s="1"/>
  <c r="D400" i="20" a="1"/>
  <c r="D400" i="20" s="1"/>
  <c r="E400" i="20" s="1"/>
  <c r="D385" i="20" a="1"/>
  <c r="D385" i="20" s="1"/>
  <c r="E385" i="20" s="1"/>
  <c r="D369" i="20" a="1"/>
  <c r="D369" i="20" s="1"/>
  <c r="E369" i="20" s="1"/>
  <c r="D354" i="20" a="1"/>
  <c r="D354" i="20" s="1"/>
  <c r="E354" i="20" s="1"/>
  <c r="D339" i="20" a="1"/>
  <c r="D339" i="20" s="1"/>
  <c r="E339" i="20" s="1"/>
  <c r="D324" i="20" a="1"/>
  <c r="D324" i="20" s="1"/>
  <c r="E324" i="20" s="1"/>
  <c r="D309" i="20" a="1"/>
  <c r="D309" i="20" s="1"/>
  <c r="E309" i="20" s="1"/>
  <c r="D294" i="20" a="1"/>
  <c r="D294" i="20" s="1"/>
  <c r="E294" i="20" s="1"/>
  <c r="D280" i="20" a="1"/>
  <c r="D280" i="20" s="1"/>
  <c r="E280" i="20" s="1"/>
  <c r="D265" i="20" a="1"/>
  <c r="D265" i="20" s="1"/>
  <c r="E265" i="20" s="1"/>
  <c r="D250" i="20" a="1"/>
  <c r="D250" i="20" s="1"/>
  <c r="E250" i="20" s="1"/>
  <c r="D235" i="20" a="1"/>
  <c r="D235" i="20" s="1"/>
  <c r="E235" i="20" s="1"/>
  <c r="D220" i="20" a="1"/>
  <c r="D220" i="20" s="1"/>
  <c r="E220" i="20" s="1"/>
  <c r="D176" i="20" a="1"/>
  <c r="D176" i="20" s="1"/>
  <c r="E176" i="20" s="1"/>
  <c r="D146" i="20" a="1"/>
  <c r="D146" i="20" s="1"/>
  <c r="E146" i="20" s="1"/>
  <c r="D131" i="20" a="1"/>
  <c r="D131" i="20" s="1"/>
  <c r="E131" i="20" s="1"/>
  <c r="D745" i="20" a="1"/>
  <c r="D745" i="20" s="1"/>
  <c r="E745" i="20" s="1"/>
  <c r="D732" i="20" a="1"/>
  <c r="D732" i="20" s="1"/>
  <c r="E732" i="20" s="1"/>
  <c r="D707" i="20" a="1"/>
  <c r="D707" i="20" s="1"/>
  <c r="E707" i="20" s="1"/>
  <c r="D694" i="20" a="1"/>
  <c r="D694" i="20" s="1"/>
  <c r="E694" i="20" s="1"/>
  <c r="D682" i="20" a="1"/>
  <c r="D682" i="20" s="1"/>
  <c r="E682" i="20" s="1"/>
  <c r="D667" i="20" a="1"/>
  <c r="D667" i="20" s="1"/>
  <c r="E667" i="20" s="1"/>
  <c r="D653" i="20" a="1"/>
  <c r="D653" i="20" s="1"/>
  <c r="E653" i="20" s="1"/>
  <c r="D638" i="20" a="1"/>
  <c r="D638" i="20" s="1"/>
  <c r="E638" i="20" s="1"/>
  <c r="D623" i="20" a="1"/>
  <c r="D623" i="20" s="1"/>
  <c r="E623" i="20" s="1"/>
  <c r="D608" i="20" a="1"/>
  <c r="D608" i="20" s="1"/>
  <c r="E608" i="20" s="1"/>
  <c r="D592" i="20" a="1"/>
  <c r="D592" i="20" s="1"/>
  <c r="E592" i="20" s="1"/>
  <c r="D577" i="20" a="1"/>
  <c r="D577" i="20" s="1"/>
  <c r="E577" i="20" s="1"/>
  <c r="D562" i="20" a="1"/>
  <c r="D562" i="20" s="1"/>
  <c r="E562" i="20" s="1"/>
  <c r="D547" i="20" a="1"/>
  <c r="D547" i="20" s="1"/>
  <c r="E547" i="20" s="1"/>
  <c r="D533" i="20" a="1"/>
  <c r="D533" i="20" s="1"/>
  <c r="E533" i="20" s="1"/>
  <c r="D519" i="20" a="1"/>
  <c r="D519" i="20" s="1"/>
  <c r="E519" i="20" s="1"/>
  <c r="D503" i="20" a="1"/>
  <c r="D503" i="20" s="1"/>
  <c r="E503" i="20" s="1"/>
  <c r="D488" i="20" a="1"/>
  <c r="D488" i="20" s="1"/>
  <c r="E488" i="20" s="1"/>
  <c r="D473" i="20" a="1"/>
  <c r="D473" i="20" s="1"/>
  <c r="E473" i="20" s="1"/>
  <c r="D457" i="20" a="1"/>
  <c r="D457" i="20" s="1"/>
  <c r="E457" i="20" s="1"/>
  <c r="D443" i="20" a="1"/>
  <c r="D443" i="20" s="1"/>
  <c r="E443" i="20" s="1"/>
  <c r="D428" i="20" a="1"/>
  <c r="D428" i="20" s="1"/>
  <c r="E428" i="20" s="1"/>
  <c r="D413" i="20" a="1"/>
  <c r="D413" i="20" s="1"/>
  <c r="E413" i="20" s="1"/>
  <c r="D399" i="20" a="1"/>
  <c r="D399" i="20" s="1"/>
  <c r="E399" i="20" s="1"/>
  <c r="D384" i="20" a="1"/>
  <c r="D384" i="20" s="1"/>
  <c r="E384" i="20" s="1"/>
  <c r="D353" i="20" a="1"/>
  <c r="D353" i="20" s="1"/>
  <c r="E353" i="20" s="1"/>
  <c r="D338" i="20" a="1"/>
  <c r="D338" i="20" s="1"/>
  <c r="E338" i="20" s="1"/>
  <c r="D323" i="20" a="1"/>
  <c r="D323" i="20" s="1"/>
  <c r="E323" i="20" s="1"/>
  <c r="D308" i="20" a="1"/>
  <c r="D308" i="20" s="1"/>
  <c r="E308" i="20" s="1"/>
  <c r="D293" i="20" a="1"/>
  <c r="D293" i="20" s="1"/>
  <c r="E293" i="20" s="1"/>
  <c r="D279" i="20" a="1"/>
  <c r="D279" i="20" s="1"/>
  <c r="E279" i="20" s="1"/>
  <c r="D249" i="20" a="1"/>
  <c r="D249" i="20" s="1"/>
  <c r="E249" i="20" s="1"/>
  <c r="D234" i="20" a="1"/>
  <c r="D234" i="20" s="1"/>
  <c r="E234" i="20" s="1"/>
  <c r="D219" i="20" a="1"/>
  <c r="D219" i="20" s="1"/>
  <c r="E219" i="20" s="1"/>
  <c r="D175" i="20" a="1"/>
  <c r="D175" i="20" s="1"/>
  <c r="E175" i="20" s="1"/>
  <c r="D160" i="20" a="1"/>
  <c r="D160" i="20" s="1"/>
  <c r="E160" i="20" s="1"/>
  <c r="D145" i="20" a="1"/>
  <c r="D145" i="20" s="1"/>
  <c r="E145" i="20" s="1"/>
  <c r="D744" i="20" a="1"/>
  <c r="D744" i="20" s="1"/>
  <c r="E744" i="20" s="1"/>
  <c r="D719" i="20" a="1"/>
  <c r="D719" i="20" s="1"/>
  <c r="E719" i="20" s="1"/>
  <c r="D706" i="20" a="1"/>
  <c r="D706" i="20" s="1"/>
  <c r="E706" i="20" s="1"/>
  <c r="D693" i="20" a="1"/>
  <c r="D693" i="20" s="1"/>
  <c r="E693" i="20" s="1"/>
  <c r="D681" i="20" a="1"/>
  <c r="D681" i="20" s="1"/>
  <c r="E681" i="20" s="1"/>
  <c r="D666" i="20" a="1"/>
  <c r="D666" i="20" s="1"/>
  <c r="E666" i="20" s="1"/>
  <c r="D652" i="20" a="1"/>
  <c r="D652" i="20" s="1"/>
  <c r="E652" i="20" s="1"/>
  <c r="D637" i="20" a="1"/>
  <c r="D637" i="20" s="1"/>
  <c r="E637" i="20" s="1"/>
  <c r="D622" i="20" a="1"/>
  <c r="D622" i="20" s="1"/>
  <c r="E622" i="20" s="1"/>
  <c r="D607" i="20" a="1"/>
  <c r="D607" i="20" s="1"/>
  <c r="E607" i="20" s="1"/>
  <c r="D591" i="20" a="1"/>
  <c r="D591" i="20" s="1"/>
  <c r="E591" i="20" s="1"/>
  <c r="D561" i="20" a="1"/>
  <c r="D561" i="20" s="1"/>
  <c r="E561" i="20" s="1"/>
  <c r="D546" i="20" a="1"/>
  <c r="D546" i="20" s="1"/>
  <c r="E546" i="20" s="1"/>
  <c r="D532" i="20" a="1"/>
  <c r="D532" i="20" s="1"/>
  <c r="E532" i="20" s="1"/>
  <c r="D518" i="20" a="1"/>
  <c r="D518" i="20" s="1"/>
  <c r="E518" i="20" s="1"/>
  <c r="D502" i="20" a="1"/>
  <c r="D502" i="20" s="1"/>
  <c r="E502" i="20" s="1"/>
  <c r="D487" i="20" a="1"/>
  <c r="D487" i="20" s="1"/>
  <c r="E487" i="20" s="1"/>
  <c r="D472" i="20" a="1"/>
  <c r="D472" i="20" s="1"/>
  <c r="E472" i="20" s="1"/>
  <c r="D442" i="20" a="1"/>
  <c r="D442" i="20" s="1"/>
  <c r="E442" i="20" s="1"/>
  <c r="D427" i="20" a="1"/>
  <c r="D427" i="20" s="1"/>
  <c r="E427" i="20" s="1"/>
  <c r="D412" i="20" a="1"/>
  <c r="D412" i="20" s="1"/>
  <c r="E412" i="20" s="1"/>
  <c r="D398" i="20" a="1"/>
  <c r="D398" i="20" s="1"/>
  <c r="E398" i="20" s="1"/>
  <c r="D383" i="20" a="1"/>
  <c r="D383" i="20" s="1"/>
  <c r="E383" i="20" s="1"/>
  <c r="D368" i="20" a="1"/>
  <c r="D368" i="20" s="1"/>
  <c r="E368" i="20" s="1"/>
  <c r="D337" i="20" a="1"/>
  <c r="D337" i="20" s="1"/>
  <c r="E337" i="20" s="1"/>
  <c r="D322" i="20" a="1"/>
  <c r="D322" i="20" s="1"/>
  <c r="E322" i="20" s="1"/>
  <c r="D307" i="20" a="1"/>
  <c r="D307" i="20" s="1"/>
  <c r="E307" i="20" s="1"/>
  <c r="D292" i="20" a="1"/>
  <c r="D292" i="20" s="1"/>
  <c r="E292" i="20" s="1"/>
  <c r="D278" i="20" a="1"/>
  <c r="D278" i="20" s="1"/>
  <c r="E278" i="20" s="1"/>
  <c r="D264" i="20" a="1"/>
  <c r="D264" i="20" s="1"/>
  <c r="E264" i="20" s="1"/>
  <c r="D248" i="20" a="1"/>
  <c r="D248" i="20" s="1"/>
  <c r="E248" i="20" s="1"/>
  <c r="D233" i="20" a="1"/>
  <c r="D233" i="20" s="1"/>
  <c r="E233" i="20" s="1"/>
  <c r="D218" i="20" a="1"/>
  <c r="D218" i="20" s="1"/>
  <c r="E218" i="20" s="1"/>
  <c r="D174" i="20" a="1"/>
  <c r="D174" i="20" s="1"/>
  <c r="E174" i="20" s="1"/>
  <c r="D159" i="20" a="1"/>
  <c r="D159" i="20" s="1"/>
  <c r="E159" i="20" s="1"/>
  <c r="D756" i="20" a="1"/>
  <c r="D756" i="20" s="1"/>
  <c r="E756" i="20" s="1"/>
  <c r="D731" i="20" a="1"/>
  <c r="D731" i="20" s="1"/>
  <c r="E731" i="20" s="1"/>
  <c r="D718" i="20" a="1"/>
  <c r="D718" i="20" s="1"/>
  <c r="E718" i="20" s="1"/>
  <c r="D705" i="20" a="1"/>
  <c r="D705" i="20" s="1"/>
  <c r="E705" i="20" s="1"/>
  <c r="D692" i="20" a="1"/>
  <c r="D692" i="20" s="1"/>
  <c r="E692" i="20" s="1"/>
  <c r="D680" i="20" a="1"/>
  <c r="D680" i="20" s="1"/>
  <c r="E680" i="20" s="1"/>
  <c r="D665" i="20" a="1"/>
  <c r="D665" i="20" s="1"/>
  <c r="E665" i="20" s="1"/>
  <c r="D651" i="20" a="1"/>
  <c r="D651" i="20" s="1"/>
  <c r="E651" i="20" s="1"/>
  <c r="D636" i="20" a="1"/>
  <c r="D636" i="20" s="1"/>
  <c r="E636" i="20" s="1"/>
  <c r="D621" i="20" a="1"/>
  <c r="D621" i="20" s="1"/>
  <c r="E621" i="20" s="1"/>
  <c r="D606" i="20" a="1"/>
  <c r="D606" i="20" s="1"/>
  <c r="E606" i="20" s="1"/>
  <c r="D590" i="20" a="1"/>
  <c r="D590" i="20" s="1"/>
  <c r="E590" i="20" s="1"/>
  <c r="D576" i="20" a="1"/>
  <c r="D576" i="20" s="1"/>
  <c r="E576" i="20" s="1"/>
  <c r="D545" i="20" a="1"/>
  <c r="D545" i="20" s="1"/>
  <c r="E545" i="20" s="1"/>
  <c r="D531" i="20" a="1"/>
  <c r="D531" i="20" s="1"/>
  <c r="E531" i="20" s="1"/>
  <c r="D517" i="20" a="1"/>
  <c r="D517" i="20" s="1"/>
  <c r="E517" i="20" s="1"/>
  <c r="D501" i="20" a="1"/>
  <c r="D501" i="20" s="1"/>
  <c r="E501" i="20" s="1"/>
  <c r="D486" i="20" a="1"/>
  <c r="D486" i="20" s="1"/>
  <c r="E486" i="20" s="1"/>
  <c r="D471" i="20" a="1"/>
  <c r="D471" i="20" s="1"/>
  <c r="E471" i="20" s="1"/>
  <c r="D456" i="20" a="1"/>
  <c r="D456" i="20" s="1"/>
  <c r="E456" i="20" s="1"/>
  <c r="D441" i="20" a="1"/>
  <c r="D441" i="20" s="1"/>
  <c r="E441" i="20" s="1"/>
  <c r="D426" i="20" a="1"/>
  <c r="D426" i="20" s="1"/>
  <c r="E426" i="20" s="1"/>
  <c r="D411" i="20" a="1"/>
  <c r="D411" i="20" s="1"/>
  <c r="E411" i="20" s="1"/>
  <c r="D397" i="20" a="1"/>
  <c r="D397" i="20" s="1"/>
  <c r="E397" i="20" s="1"/>
  <c r="D382" i="20" a="1"/>
  <c r="D382" i="20" s="1"/>
  <c r="E382" i="20" s="1"/>
  <c r="D367" i="20" a="1"/>
  <c r="D367" i="20" s="1"/>
  <c r="E367" i="20" s="1"/>
  <c r="D352" i="20" a="1"/>
  <c r="D352" i="20" s="1"/>
  <c r="E352" i="20" s="1"/>
  <c r="D336" i="20" a="1"/>
  <c r="D336" i="20" s="1"/>
  <c r="E336" i="20" s="1"/>
  <c r="D321" i="20" a="1"/>
  <c r="D321" i="20" s="1"/>
  <c r="E321" i="20" s="1"/>
  <c r="D306" i="20" a="1"/>
  <c r="D306" i="20" s="1"/>
  <c r="E306" i="20" s="1"/>
  <c r="D291" i="20" a="1"/>
  <c r="D291" i="20" s="1"/>
  <c r="E291" i="20" s="1"/>
  <c r="D277" i="20" a="1"/>
  <c r="D277" i="20" s="1"/>
  <c r="E277" i="20" s="1"/>
  <c r="D263" i="20" a="1"/>
  <c r="D263" i="20" s="1"/>
  <c r="E263" i="20" s="1"/>
  <c r="D247" i="20" a="1"/>
  <c r="D247" i="20" s="1"/>
  <c r="E247" i="20" s="1"/>
  <c r="D232" i="20" a="1"/>
  <c r="D232" i="20" s="1"/>
  <c r="E232" i="20" s="1"/>
  <c r="D217" i="20" a="1"/>
  <c r="D217" i="20" s="1"/>
  <c r="E217" i="20" s="1"/>
  <c r="D173" i="20" a="1"/>
  <c r="D173" i="20" s="1"/>
  <c r="E173" i="20" s="1"/>
  <c r="D158" i="20" a="1"/>
  <c r="D158" i="20" s="1"/>
  <c r="E158" i="20" s="1"/>
  <c r="D144" i="20" a="1"/>
  <c r="D144" i="20" s="1"/>
  <c r="E144" i="20" s="1"/>
  <c r="D768" i="20" a="1"/>
  <c r="D768" i="20" s="1"/>
  <c r="E768" i="20" s="1"/>
  <c r="D743" i="20" a="1"/>
  <c r="D743" i="20" s="1"/>
  <c r="E743" i="20" s="1"/>
  <c r="D730" i="20" a="1"/>
  <c r="D730" i="20" s="1"/>
  <c r="E730" i="20" s="1"/>
  <c r="D717" i="20" a="1"/>
  <c r="D717" i="20" s="1"/>
  <c r="E717" i="20" s="1"/>
  <c r="D704" i="20" a="1"/>
  <c r="D704" i="20" s="1"/>
  <c r="E704" i="20" s="1"/>
  <c r="D679" i="20" a="1"/>
  <c r="D679" i="20" s="1"/>
  <c r="E679" i="20" s="1"/>
  <c r="D650" i="20" a="1"/>
  <c r="D650" i="20" s="1"/>
  <c r="E650" i="20" s="1"/>
  <c r="D635" i="20" a="1"/>
  <c r="D635" i="20" s="1"/>
  <c r="E635" i="20" s="1"/>
  <c r="D620" i="20" a="1"/>
  <c r="D620" i="20" s="1"/>
  <c r="E620" i="20" s="1"/>
  <c r="D605" i="20" a="1"/>
  <c r="D605" i="20" s="1"/>
  <c r="E605" i="20" s="1"/>
  <c r="D589" i="20" a="1"/>
  <c r="D589" i="20" s="1"/>
  <c r="E589" i="20" s="1"/>
  <c r="D575" i="20" a="1"/>
  <c r="D575" i="20" s="1"/>
  <c r="E575" i="20" s="1"/>
  <c r="D560" i="20" a="1"/>
  <c r="D560" i="20" s="1"/>
  <c r="E560" i="20" s="1"/>
  <c r="D530" i="20" a="1"/>
  <c r="D530" i="20" s="1"/>
  <c r="E530" i="20" s="1"/>
  <c r="D516" i="20" a="1"/>
  <c r="D516" i="20" s="1"/>
  <c r="E516" i="20" s="1"/>
  <c r="D500" i="20" a="1"/>
  <c r="D500" i="20" s="1"/>
  <c r="E500" i="20" s="1"/>
  <c r="D485" i="20" a="1"/>
  <c r="D485" i="20" s="1"/>
  <c r="E485" i="20" s="1"/>
  <c r="D470" i="20" a="1"/>
  <c r="D470" i="20" s="1"/>
  <c r="E470" i="20" s="1"/>
  <c r="D455" i="20" a="1"/>
  <c r="D455" i="20" s="1"/>
  <c r="E455" i="20" s="1"/>
  <c r="D440" i="20" a="1"/>
  <c r="D440" i="20" s="1"/>
  <c r="E440" i="20" s="1"/>
  <c r="D425" i="20" a="1"/>
  <c r="D425" i="20" s="1"/>
  <c r="E425" i="20" s="1"/>
  <c r="D410" i="20" a="1"/>
  <c r="D410" i="20" s="1"/>
  <c r="E410" i="20" s="1"/>
  <c r="D396" i="20" a="1"/>
  <c r="D396" i="20" s="1"/>
  <c r="E396" i="20" s="1"/>
  <c r="D381" i="20" a="1"/>
  <c r="D381" i="20" s="1"/>
  <c r="E381" i="20" s="1"/>
  <c r="D366" i="20" a="1"/>
  <c r="D366" i="20" s="1"/>
  <c r="E366" i="20" s="1"/>
  <c r="D351" i="20" a="1"/>
  <c r="D351" i="20" s="1"/>
  <c r="E351" i="20" s="1"/>
  <c r="D335" i="20" a="1"/>
  <c r="D335" i="20" s="1"/>
  <c r="E335" i="20" s="1"/>
  <c r="D305" i="20" a="1"/>
  <c r="D305" i="20" s="1"/>
  <c r="E305" i="20" s="1"/>
  <c r="D290" i="20" a="1"/>
  <c r="D290" i="20" s="1"/>
  <c r="E290" i="20" s="1"/>
  <c r="D276" i="20" a="1"/>
  <c r="D276" i="20" s="1"/>
  <c r="E276" i="20" s="1"/>
  <c r="D262" i="20" a="1"/>
  <c r="D262" i="20" s="1"/>
  <c r="E262" i="20" s="1"/>
  <c r="D246" i="20" a="1"/>
  <c r="D246" i="20" s="1"/>
  <c r="E246" i="20" s="1"/>
  <c r="D231" i="20" a="1"/>
  <c r="D231" i="20" s="1"/>
  <c r="E231" i="20" s="1"/>
  <c r="D216" i="20" a="1"/>
  <c r="D216" i="20" s="1"/>
  <c r="E216" i="20" s="1"/>
  <c r="D187" i="20" a="1"/>
  <c r="D187" i="20" s="1"/>
  <c r="E187" i="20" s="1"/>
  <c r="D172" i="20" a="1"/>
  <c r="D172" i="20" s="1"/>
  <c r="E172" i="20" s="1"/>
  <c r="D157" i="20" a="1"/>
  <c r="D157" i="20" s="1"/>
  <c r="E157" i="20" s="1"/>
  <c r="D143" i="20" a="1"/>
  <c r="D143" i="20" s="1"/>
  <c r="E143" i="20" s="1"/>
  <c r="D988" i="20" a="1"/>
  <c r="D988" i="20" s="1"/>
  <c r="E988" i="20" s="1"/>
  <c r="D974" i="20" a="1"/>
  <c r="D974" i="20" s="1"/>
  <c r="E974" i="20" s="1"/>
  <c r="D960" i="20" a="1"/>
  <c r="D960" i="20" s="1"/>
  <c r="E960" i="20" s="1"/>
  <c r="D947" i="20" a="1"/>
  <c r="D947" i="20" s="1"/>
  <c r="E947" i="20" s="1"/>
  <c r="D934" i="20" a="1"/>
  <c r="D934" i="20" s="1"/>
  <c r="E934" i="20" s="1"/>
  <c r="D921" i="20" a="1"/>
  <c r="D921" i="20" s="1"/>
  <c r="E921" i="20" s="1"/>
  <c r="D908" i="20" a="1"/>
  <c r="D908" i="20" s="1"/>
  <c r="E908" i="20" s="1"/>
  <c r="D755" i="20" a="1"/>
  <c r="D755" i="20" s="1"/>
  <c r="E755" i="20" s="1"/>
  <c r="D742" i="20" a="1"/>
  <c r="D742" i="20" s="1"/>
  <c r="E742" i="20" s="1"/>
  <c r="D729" i="20" a="1"/>
  <c r="D729" i="20" s="1"/>
  <c r="E729" i="20" s="1"/>
  <c r="D716" i="20" a="1"/>
  <c r="D716" i="20" s="1"/>
  <c r="E716" i="20" s="1"/>
  <c r="D691" i="20" a="1"/>
  <c r="D691" i="20" s="1"/>
  <c r="E691" i="20" s="1"/>
  <c r="D678" i="20" a="1"/>
  <c r="D678" i="20" s="1"/>
  <c r="E678" i="20" s="1"/>
  <c r="D664" i="20" a="1"/>
  <c r="D664" i="20" s="1"/>
  <c r="E664" i="20" s="1"/>
  <c r="D649" i="20" a="1"/>
  <c r="D649" i="20" s="1"/>
  <c r="E649" i="20" s="1"/>
  <c r="D634" i="20" a="1"/>
  <c r="D634" i="20" s="1"/>
  <c r="E634" i="20" s="1"/>
  <c r="D619" i="20" a="1"/>
  <c r="D619" i="20" s="1"/>
  <c r="E619" i="20" s="1"/>
  <c r="D604" i="20" a="1"/>
  <c r="D604" i="20" s="1"/>
  <c r="E604" i="20" s="1"/>
  <c r="D588" i="20" a="1"/>
  <c r="D588" i="20" s="1"/>
  <c r="E588" i="20" s="1"/>
  <c r="D574" i="20" a="1"/>
  <c r="D574" i="20" s="1"/>
  <c r="E574" i="20" s="1"/>
  <c r="D559" i="20" a="1"/>
  <c r="D559" i="20" s="1"/>
  <c r="E559" i="20" s="1"/>
  <c r="D544" i="20" a="1"/>
  <c r="D544" i="20" s="1"/>
  <c r="E544" i="20" s="1"/>
  <c r="D529" i="20" a="1"/>
  <c r="D529" i="20" s="1"/>
  <c r="E529" i="20" s="1"/>
  <c r="D515" i="20" a="1"/>
  <c r="D515" i="20" s="1"/>
  <c r="E515" i="20" s="1"/>
  <c r="D499" i="20" a="1"/>
  <c r="D499" i="20" s="1"/>
  <c r="E499" i="20" s="1"/>
  <c r="D484" i="20" a="1"/>
  <c r="D484" i="20" s="1"/>
  <c r="E484" i="20" s="1"/>
  <c r="D469" i="20" a="1"/>
  <c r="D469" i="20" s="1"/>
  <c r="E469" i="20" s="1"/>
  <c r="D454" i="20" a="1"/>
  <c r="D454" i="20" s="1"/>
  <c r="E454" i="20" s="1"/>
  <c r="D439" i="20" a="1"/>
  <c r="D439" i="20" s="1"/>
  <c r="E439" i="20" s="1"/>
  <c r="D424" i="20" a="1"/>
  <c r="D424" i="20" s="1"/>
  <c r="E424" i="20" s="1"/>
  <c r="D409" i="20" a="1"/>
  <c r="D409" i="20" s="1"/>
  <c r="E409" i="20" s="1"/>
  <c r="D395" i="20" a="1"/>
  <c r="D395" i="20" s="1"/>
  <c r="E395" i="20" s="1"/>
  <c r="D380" i="20" a="1"/>
  <c r="D380" i="20" s="1"/>
  <c r="E380" i="20" s="1"/>
  <c r="D365" i="20" a="1"/>
  <c r="D365" i="20" s="1"/>
  <c r="E365" i="20" s="1"/>
  <c r="D350" i="20" a="1"/>
  <c r="D350" i="20" s="1"/>
  <c r="E350" i="20" s="1"/>
  <c r="D334" i="20" a="1"/>
  <c r="D334" i="20" s="1"/>
  <c r="E334" i="20" s="1"/>
  <c r="D320" i="20" a="1"/>
  <c r="D320" i="20" s="1"/>
  <c r="E320" i="20" s="1"/>
  <c r="D289" i="20" a="1"/>
  <c r="D289" i="20" s="1"/>
  <c r="E289" i="20" s="1"/>
  <c r="D275" i="20" a="1"/>
  <c r="D275" i="20" s="1"/>
  <c r="E275" i="20" s="1"/>
  <c r="D261" i="20" a="1"/>
  <c r="D261" i="20" s="1"/>
  <c r="E261" i="20" s="1"/>
  <c r="D245" i="20" a="1"/>
  <c r="D245" i="20" s="1"/>
  <c r="E245" i="20" s="1"/>
  <c r="D230" i="20" a="1"/>
  <c r="D230" i="20" s="1"/>
  <c r="E230" i="20" s="1"/>
  <c r="D215" i="20" a="1"/>
  <c r="D215" i="20" s="1"/>
  <c r="E215" i="20" s="1"/>
  <c r="D186" i="20" a="1"/>
  <c r="D186" i="20" s="1"/>
  <c r="E186" i="20" s="1"/>
  <c r="D171" i="20" a="1"/>
  <c r="D171" i="20" s="1"/>
  <c r="E171" i="20" s="1"/>
  <c r="D156" i="20" a="1"/>
  <c r="D156" i="20" s="1"/>
  <c r="E156" i="20" s="1"/>
  <c r="D142" i="20" a="1"/>
  <c r="D142" i="20" s="1"/>
  <c r="E142" i="20" s="1"/>
  <c r="D973" i="20" a="1"/>
  <c r="D973" i="20" s="1"/>
  <c r="E973" i="20" s="1"/>
  <c r="D959" i="20" a="1"/>
  <c r="D959" i="20" s="1"/>
  <c r="E959" i="20" s="1"/>
  <c r="D946" i="20" a="1"/>
  <c r="D946" i="20" s="1"/>
  <c r="E946" i="20" s="1"/>
  <c r="D933" i="20" a="1"/>
  <c r="D933" i="20" s="1"/>
  <c r="E933" i="20" s="1"/>
  <c r="D920" i="20" a="1"/>
  <c r="D920" i="20" s="1"/>
  <c r="E920" i="20" s="1"/>
  <c r="D895" i="20" a="1"/>
  <c r="D895" i="20" s="1"/>
  <c r="E895" i="20" s="1"/>
  <c r="D767" i="20" a="1"/>
  <c r="D767" i="20" s="1"/>
  <c r="E767" i="20" s="1"/>
  <c r="D754" i="20" a="1"/>
  <c r="D754" i="20" s="1"/>
  <c r="E754" i="20" s="1"/>
  <c r="D741" i="20" a="1"/>
  <c r="D741" i="20" s="1"/>
  <c r="E741" i="20" s="1"/>
  <c r="D728" i="20" a="1"/>
  <c r="D728" i="20" s="1"/>
  <c r="E728" i="20" s="1"/>
  <c r="D703" i="20" a="1"/>
  <c r="D703" i="20" s="1"/>
  <c r="E703" i="20" s="1"/>
  <c r="D690" i="20" a="1"/>
  <c r="D690" i="20" s="1"/>
  <c r="E690" i="20" s="1"/>
  <c r="D677" i="20" a="1"/>
  <c r="D677" i="20" s="1"/>
  <c r="E677" i="20" s="1"/>
  <c r="D663" i="20" a="1"/>
  <c r="D663" i="20" s="1"/>
  <c r="E663" i="20" s="1"/>
  <c r="D633" i="20" a="1"/>
  <c r="D633" i="20" s="1"/>
  <c r="E633" i="20" s="1"/>
  <c r="D618" i="20" a="1"/>
  <c r="D618" i="20" s="1"/>
  <c r="E618" i="20" s="1"/>
  <c r="D603" i="20" a="1"/>
  <c r="D603" i="20" s="1"/>
  <c r="E603" i="20" s="1"/>
  <c r="D587" i="20" a="1"/>
  <c r="D587" i="20" s="1"/>
  <c r="E587" i="20" s="1"/>
  <c r="D573" i="20" a="1"/>
  <c r="D573" i="20" s="1"/>
  <c r="E573" i="20" s="1"/>
  <c r="D558" i="20" a="1"/>
  <c r="D558" i="20" s="1"/>
  <c r="E558" i="20" s="1"/>
  <c r="D543" i="20" a="1"/>
  <c r="D543" i="20" s="1"/>
  <c r="E543" i="20" s="1"/>
  <c r="D514" i="20" a="1"/>
  <c r="D514" i="20" s="1"/>
  <c r="E514" i="20" s="1"/>
  <c r="D498" i="20" a="1"/>
  <c r="D498" i="20" s="1"/>
  <c r="E498" i="20" s="1"/>
  <c r="D483" i="20" a="1"/>
  <c r="D483" i="20" s="1"/>
  <c r="E483" i="20" s="1"/>
  <c r="D468" i="20" a="1"/>
  <c r="D468" i="20" s="1"/>
  <c r="E468" i="20" s="1"/>
  <c r="D453" i="20" a="1"/>
  <c r="D453" i="20" s="1"/>
  <c r="E453" i="20" s="1"/>
  <c r="D438" i="20" a="1"/>
  <c r="D438" i="20" s="1"/>
  <c r="E438" i="20" s="1"/>
  <c r="D423" i="20" a="1"/>
  <c r="D423" i="20" s="1"/>
  <c r="E423" i="20" s="1"/>
  <c r="D394" i="20" a="1"/>
  <c r="D394" i="20" s="1"/>
  <c r="E394" i="20" s="1"/>
  <c r="D379" i="20" a="1"/>
  <c r="D379" i="20" s="1"/>
  <c r="E379" i="20" s="1"/>
  <c r="D364" i="20" a="1"/>
  <c r="D364" i="20" s="1"/>
  <c r="E364" i="20" s="1"/>
  <c r="D349" i="20" a="1"/>
  <c r="D349" i="20" s="1"/>
  <c r="E349" i="20" s="1"/>
  <c r="D333" i="20" a="1"/>
  <c r="D333" i="20" s="1"/>
  <c r="E333" i="20" s="1"/>
  <c r="D319" i="20" a="1"/>
  <c r="D319" i="20" s="1"/>
  <c r="E319" i="20" s="1"/>
  <c r="D304" i="20" a="1"/>
  <c r="D304" i="20" s="1"/>
  <c r="E304" i="20" s="1"/>
  <c r="D274" i="20" a="1"/>
  <c r="D274" i="20" s="1"/>
  <c r="E274" i="20" s="1"/>
  <c r="D260" i="20" a="1"/>
  <c r="D260" i="20" s="1"/>
  <c r="E260" i="20" s="1"/>
  <c r="D244" i="20" a="1"/>
  <c r="D244" i="20" s="1"/>
  <c r="E244" i="20" s="1"/>
  <c r="D229" i="20" a="1"/>
  <c r="D229" i="20" s="1"/>
  <c r="E229" i="20" s="1"/>
  <c r="D214" i="20" a="1"/>
  <c r="D214" i="20" s="1"/>
  <c r="E214" i="20" s="1"/>
  <c r="D185" i="20" a="1"/>
  <c r="D185" i="20" s="1"/>
  <c r="E185" i="20" s="1"/>
  <c r="D170" i="20" a="1"/>
  <c r="D170" i="20" s="1"/>
  <c r="E170" i="20" s="1"/>
  <c r="D155" i="20" a="1"/>
  <c r="D155" i="20" s="1"/>
  <c r="E155" i="20" s="1"/>
  <c r="D141" i="20" a="1"/>
  <c r="D141" i="20" s="1"/>
  <c r="E141" i="20" s="1"/>
  <c r="D989" i="20" a="1"/>
  <c r="D989" i="20" s="1"/>
  <c r="E989" i="20" s="1"/>
  <c r="D1001" i="20" a="1"/>
  <c r="D1001" i="20" s="1"/>
  <c r="E1001" i="20" s="1"/>
  <c r="D987" i="20" a="1"/>
  <c r="D987" i="20" s="1"/>
  <c r="E987" i="20" s="1"/>
  <c r="D972" i="20" a="1"/>
  <c r="D972" i="20" s="1"/>
  <c r="E972" i="20" s="1"/>
  <c r="D958" i="20" a="1"/>
  <c r="D958" i="20" s="1"/>
  <c r="E958" i="20" s="1"/>
  <c r="D945" i="20" a="1"/>
  <c r="D945" i="20" s="1"/>
  <c r="E945" i="20" s="1"/>
  <c r="D932" i="20" a="1"/>
  <c r="D932" i="20" s="1"/>
  <c r="E932" i="20" s="1"/>
  <c r="D907" i="20" a="1"/>
  <c r="D907" i="20" s="1"/>
  <c r="E907" i="20" s="1"/>
  <c r="D894" i="20" a="1"/>
  <c r="D894" i="20" s="1"/>
  <c r="E894" i="20" s="1"/>
  <c r="D766" i="20" a="1"/>
  <c r="D766" i="20" s="1"/>
  <c r="E766" i="20" s="1"/>
  <c r="D753" i="20" a="1"/>
  <c r="D753" i="20" s="1"/>
  <c r="E753" i="20" s="1"/>
  <c r="D740" i="20" a="1"/>
  <c r="D740" i="20" s="1"/>
  <c r="E740" i="20" s="1"/>
  <c r="D715" i="20" a="1"/>
  <c r="D715" i="20" s="1"/>
  <c r="E715" i="20" s="1"/>
  <c r="D702" i="20" a="1"/>
  <c r="D702" i="20" s="1"/>
  <c r="E702" i="20" s="1"/>
  <c r="D689" i="20" a="1"/>
  <c r="D689" i="20" s="1"/>
  <c r="E689" i="20" s="1"/>
  <c r="D676" i="20" a="1"/>
  <c r="D676" i="20" s="1"/>
  <c r="E676" i="20" s="1"/>
  <c r="D662" i="20" a="1"/>
  <c r="D662" i="20" s="1"/>
  <c r="E662" i="20" s="1"/>
  <c r="D648" i="20" a="1"/>
  <c r="D648" i="20" s="1"/>
  <c r="E648" i="20" s="1"/>
  <c r="D632" i="20" a="1"/>
  <c r="D632" i="20" s="1"/>
  <c r="E632" i="20" s="1"/>
  <c r="D617" i="20" a="1"/>
  <c r="D617" i="20" s="1"/>
  <c r="E617" i="20" s="1"/>
  <c r="D602" i="20" a="1"/>
  <c r="D602" i="20" s="1"/>
  <c r="E602" i="20" s="1"/>
  <c r="D586" i="20" a="1"/>
  <c r="D586" i="20" s="1"/>
  <c r="E586" i="20" s="1"/>
  <c r="D572" i="20" a="1"/>
  <c r="D572" i="20" s="1"/>
  <c r="E572" i="20" s="1"/>
  <c r="D557" i="20" a="1"/>
  <c r="D557" i="20" s="1"/>
  <c r="E557" i="20" s="1"/>
  <c r="D542" i="20" a="1"/>
  <c r="D542" i="20" s="1"/>
  <c r="E542" i="20" s="1"/>
  <c r="D528" i="20" a="1"/>
  <c r="D528" i="20" s="1"/>
  <c r="E528" i="20" s="1"/>
  <c r="D513" i="20" a="1"/>
  <c r="D513" i="20" s="1"/>
  <c r="E513" i="20" s="1"/>
  <c r="D497" i="20" a="1"/>
  <c r="D497" i="20" s="1"/>
  <c r="E497" i="20" s="1"/>
  <c r="D482" i="20" a="1"/>
  <c r="D482" i="20" s="1"/>
  <c r="E482" i="20" s="1"/>
  <c r="D467" i="20" a="1"/>
  <c r="D467" i="20" s="1"/>
  <c r="E467" i="20" s="1"/>
  <c r="D452" i="20" a="1"/>
  <c r="D452" i="20" s="1"/>
  <c r="E452" i="20" s="1"/>
  <c r="D437" i="20" a="1"/>
  <c r="D437" i="20" s="1"/>
  <c r="E437" i="20" s="1"/>
  <c r="D422" i="20" a="1"/>
  <c r="D422" i="20" s="1"/>
  <c r="E422" i="20" s="1"/>
  <c r="D408" i="20" a="1"/>
  <c r="D408" i="20" s="1"/>
  <c r="E408" i="20" s="1"/>
  <c r="D393" i="20" a="1"/>
  <c r="D393" i="20" s="1"/>
  <c r="E393" i="20" s="1"/>
  <c r="D378" i="20" a="1"/>
  <c r="D378" i="20" s="1"/>
  <c r="E378" i="20" s="1"/>
  <c r="D363" i="20" a="1"/>
  <c r="D363" i="20" s="1"/>
  <c r="E363" i="20" s="1"/>
  <c r="D348" i="20" a="1"/>
  <c r="D348" i="20" s="1"/>
  <c r="E348" i="20" s="1"/>
  <c r="D332" i="20" a="1"/>
  <c r="D332" i="20" s="1"/>
  <c r="E332" i="20" s="1"/>
  <c r="D318" i="20" a="1"/>
  <c r="D318" i="20" s="1"/>
  <c r="E318" i="20" s="1"/>
  <c r="D303" i="20" a="1"/>
  <c r="D303" i="20" s="1"/>
  <c r="E303" i="20" s="1"/>
  <c r="D288" i="20" a="1"/>
  <c r="D288" i="20" s="1"/>
  <c r="E288" i="20" s="1"/>
  <c r="D273" i="20" a="1"/>
  <c r="D273" i="20" s="1"/>
  <c r="E273" i="20" s="1"/>
  <c r="D259" i="20" a="1"/>
  <c r="D259" i="20" s="1"/>
  <c r="E259" i="20" s="1"/>
  <c r="D243" i="20" a="1"/>
  <c r="D243" i="20" s="1"/>
  <c r="E243" i="20" s="1"/>
  <c r="D228" i="20" a="1"/>
  <c r="D228" i="20" s="1"/>
  <c r="E228" i="20" s="1"/>
  <c r="D184" i="20" a="1"/>
  <c r="D184" i="20" s="1"/>
  <c r="E184" i="20" s="1"/>
  <c r="D169" i="20" a="1"/>
  <c r="D169" i="20" s="1"/>
  <c r="E169" i="20" s="1"/>
  <c r="D154" i="20" a="1"/>
  <c r="D154" i="20" s="1"/>
  <c r="E154" i="20" s="1"/>
  <c r="D140" i="20" a="1"/>
  <c r="D140" i="20" s="1"/>
  <c r="E140" i="20" s="1"/>
  <c r="D1000" i="20" a="1"/>
  <c r="D1000" i="20" s="1"/>
  <c r="E1000" i="20" s="1"/>
  <c r="D986" i="20" a="1"/>
  <c r="D986" i="20" s="1"/>
  <c r="E986" i="20" s="1"/>
  <c r="D957" i="20" a="1"/>
  <c r="D957" i="20" s="1"/>
  <c r="E957" i="20" s="1"/>
  <c r="D944" i="20" a="1"/>
  <c r="D944" i="20" s="1"/>
  <c r="E944" i="20" s="1"/>
  <c r="D919" i="20" a="1"/>
  <c r="D919" i="20" s="1"/>
  <c r="E919" i="20" s="1"/>
  <c r="D906" i="20" a="1"/>
  <c r="D906" i="20" s="1"/>
  <c r="E906" i="20" s="1"/>
  <c r="D893" i="20" a="1"/>
  <c r="D893" i="20" s="1"/>
  <c r="E893" i="20" s="1"/>
  <c r="D765" i="20" a="1"/>
  <c r="D765" i="20" s="1"/>
  <c r="E765" i="20" s="1"/>
  <c r="D752" i="20" a="1"/>
  <c r="D752" i="20" s="1"/>
  <c r="E752" i="20" s="1"/>
  <c r="D727" i="20" a="1"/>
  <c r="D727" i="20" s="1"/>
  <c r="E727" i="20" s="1"/>
  <c r="D714" i="20" a="1"/>
  <c r="D714" i="20" s="1"/>
  <c r="E714" i="20" s="1"/>
  <c r="D701" i="20" a="1"/>
  <c r="D701" i="20" s="1"/>
  <c r="E701" i="20" s="1"/>
  <c r="D675" i="20" a="1"/>
  <c r="D675" i="20" s="1"/>
  <c r="E675" i="20" s="1"/>
  <c r="D661" i="20" a="1"/>
  <c r="D661" i="20" s="1"/>
  <c r="E661" i="20" s="1"/>
  <c r="D647" i="20" a="1"/>
  <c r="D647" i="20" s="1"/>
  <c r="E647" i="20" s="1"/>
  <c r="D631" i="20" a="1"/>
  <c r="D631" i="20" s="1"/>
  <c r="E631" i="20" s="1"/>
  <c r="D616" i="20" a="1"/>
  <c r="D616" i="20" s="1"/>
  <c r="E616" i="20" s="1"/>
  <c r="D601" i="20" a="1"/>
  <c r="D601" i="20" s="1"/>
  <c r="E601" i="20" s="1"/>
  <c r="D585" i="20" a="1"/>
  <c r="D585" i="20" s="1"/>
  <c r="E585" i="20" s="1"/>
  <c r="D571" i="20" a="1"/>
  <c r="D571" i="20" s="1"/>
  <c r="E571" i="20" s="1"/>
  <c r="D556" i="20" a="1"/>
  <c r="D556" i="20" s="1"/>
  <c r="E556" i="20" s="1"/>
  <c r="D541" i="20" a="1"/>
  <c r="D541" i="20" s="1"/>
  <c r="E541" i="20" s="1"/>
  <c r="D527" i="20" a="1"/>
  <c r="D527" i="20" s="1"/>
  <c r="E527" i="20" s="1"/>
  <c r="D512" i="20" a="1"/>
  <c r="D512" i="20" s="1"/>
  <c r="E512" i="20" s="1"/>
  <c r="D481" i="20" a="1"/>
  <c r="D481" i="20" s="1"/>
  <c r="E481" i="20" s="1"/>
  <c r="D466" i="20" a="1"/>
  <c r="D466" i="20" s="1"/>
  <c r="E466" i="20" s="1"/>
  <c r="D451" i="20" a="1"/>
  <c r="D451" i="20" s="1"/>
  <c r="E451" i="20" s="1"/>
  <c r="D436" i="20" a="1"/>
  <c r="D436" i="20" s="1"/>
  <c r="E436" i="20" s="1"/>
  <c r="D421" i="20" a="1"/>
  <c r="D421" i="20" s="1"/>
  <c r="E421" i="20" s="1"/>
  <c r="D407" i="20" a="1"/>
  <c r="D407" i="20" s="1"/>
  <c r="E407" i="20" s="1"/>
  <c r="D377" i="20" a="1"/>
  <c r="D377" i="20" s="1"/>
  <c r="E377" i="20" s="1"/>
  <c r="D362" i="20" a="1"/>
  <c r="D362" i="20" s="1"/>
  <c r="E362" i="20" s="1"/>
  <c r="D347" i="20" a="1"/>
  <c r="D347" i="20" s="1"/>
  <c r="E347" i="20" s="1"/>
  <c r="D331" i="20" a="1"/>
  <c r="D331" i="20" s="1"/>
  <c r="E331" i="20" s="1"/>
  <c r="D317" i="20" a="1"/>
  <c r="D317" i="20" s="1"/>
  <c r="E317" i="20" s="1"/>
  <c r="D302" i="20" a="1"/>
  <c r="D302" i="20" s="1"/>
  <c r="E302" i="20" s="1"/>
  <c r="D287" i="20" a="1"/>
  <c r="D287" i="20" s="1"/>
  <c r="E287" i="20" s="1"/>
  <c r="D258" i="20" a="1"/>
  <c r="D258" i="20" s="1"/>
  <c r="E258" i="20" s="1"/>
  <c r="D242" i="20" a="1"/>
  <c r="D242" i="20" s="1"/>
  <c r="E242" i="20" s="1"/>
  <c r="D227" i="20" a="1"/>
  <c r="D227" i="20" s="1"/>
  <c r="E227" i="20" s="1"/>
  <c r="D183" i="20" a="1"/>
  <c r="D183" i="20" s="1"/>
  <c r="E183" i="20" s="1"/>
  <c r="D168" i="20" a="1"/>
  <c r="D168" i="20" s="1"/>
  <c r="E168" i="20" s="1"/>
  <c r="D153" i="20" a="1"/>
  <c r="D153" i="20" s="1"/>
  <c r="E153" i="20" s="1"/>
  <c r="D139" i="20" a="1"/>
  <c r="D139" i="20" s="1"/>
  <c r="E139" i="20" s="1"/>
  <c r="D739" i="20" a="1"/>
  <c r="D739" i="20" s="1"/>
  <c r="E739" i="20" s="1"/>
  <c r="D726" i="20" a="1"/>
  <c r="D726" i="20" s="1"/>
  <c r="E726" i="20" s="1"/>
  <c r="D713" i="20" a="1"/>
  <c r="D713" i="20" s="1"/>
  <c r="E713" i="20" s="1"/>
  <c r="D700" i="20" a="1"/>
  <c r="D700" i="20" s="1"/>
  <c r="E700" i="20" s="1"/>
  <c r="D688" i="20" a="1"/>
  <c r="D688" i="20" s="1"/>
  <c r="E688" i="20" s="1"/>
  <c r="D674" i="20" a="1"/>
  <c r="D674" i="20" s="1"/>
  <c r="E674" i="20" s="1"/>
  <c r="D660" i="20" a="1"/>
  <c r="D660" i="20" s="1"/>
  <c r="E660" i="20" s="1"/>
  <c r="D646" i="20" a="1"/>
  <c r="D646" i="20" s="1"/>
  <c r="E646" i="20" s="1"/>
  <c r="D630" i="20" a="1"/>
  <c r="D630" i="20" s="1"/>
  <c r="E630" i="20" s="1"/>
  <c r="D615" i="20" a="1"/>
  <c r="D615" i="20" s="1"/>
  <c r="E615" i="20" s="1"/>
  <c r="D600" i="20" a="1"/>
  <c r="D600" i="20" s="1"/>
  <c r="E600" i="20" s="1"/>
  <c r="D570" i="20" a="1"/>
  <c r="D570" i="20" s="1"/>
  <c r="E570" i="20" s="1"/>
  <c r="D555" i="20" a="1"/>
  <c r="D555" i="20" s="1"/>
  <c r="E555" i="20" s="1"/>
  <c r="D540" i="20" a="1"/>
  <c r="D540" i="20" s="1"/>
  <c r="E540" i="20" s="1"/>
  <c r="D526" i="20" a="1"/>
  <c r="D526" i="20" s="1"/>
  <c r="E526" i="20" s="1"/>
  <c r="D511" i="20" a="1"/>
  <c r="D511" i="20" s="1"/>
  <c r="E511" i="20" s="1"/>
  <c r="D496" i="20" a="1"/>
  <c r="D496" i="20" s="1"/>
  <c r="E496" i="20" s="1"/>
  <c r="D465" i="20" a="1"/>
  <c r="D465" i="20" s="1"/>
  <c r="E465" i="20" s="1"/>
  <c r="D450" i="20" a="1"/>
  <c r="D450" i="20" s="1"/>
  <c r="E450" i="20" s="1"/>
  <c r="D435" i="20" a="1"/>
  <c r="D435" i="20" s="1"/>
  <c r="E435" i="20" s="1"/>
  <c r="D420" i="20" a="1"/>
  <c r="D420" i="20" s="1"/>
  <c r="E420" i="20" s="1"/>
  <c r="D406" i="20" a="1"/>
  <c r="D406" i="20" s="1"/>
  <c r="E406" i="20" s="1"/>
  <c r="D392" i="20" a="1"/>
  <c r="D392" i="20" s="1"/>
  <c r="E392" i="20" s="1"/>
  <c r="D376" i="20" a="1"/>
  <c r="D376" i="20" s="1"/>
  <c r="E376" i="20" s="1"/>
  <c r="D361" i="20" a="1"/>
  <c r="D361" i="20" s="1"/>
  <c r="E361" i="20" s="1"/>
  <c r="D346" i="20" a="1"/>
  <c r="D346" i="20" s="1"/>
  <c r="E346" i="20" s="1"/>
  <c r="D330" i="20" a="1"/>
  <c r="D330" i="20" s="1"/>
  <c r="E330" i="20" s="1"/>
  <c r="D316" i="20" a="1"/>
  <c r="D316" i="20" s="1"/>
  <c r="E316" i="20" s="1"/>
  <c r="D301" i="20" a="1"/>
  <c r="D301" i="20" s="1"/>
  <c r="E301" i="20" s="1"/>
  <c r="D286" i="20" a="1"/>
  <c r="D286" i="20" s="1"/>
  <c r="E286" i="20" s="1"/>
  <c r="D272" i="20" a="1"/>
  <c r="D272" i="20" s="1"/>
  <c r="E272" i="20" s="1"/>
  <c r="D257" i="20" a="1"/>
  <c r="D257" i="20" s="1"/>
  <c r="E257" i="20" s="1"/>
  <c r="D241" i="20" a="1"/>
  <c r="D241" i="20" s="1"/>
  <c r="E241" i="20" s="1"/>
  <c r="D226" i="20" a="1"/>
  <c r="D226" i="20" s="1"/>
  <c r="E226" i="20" s="1"/>
  <c r="D182" i="20" a="1"/>
  <c r="D182" i="20" s="1"/>
  <c r="E182" i="20" s="1"/>
  <c r="D167" i="20" a="1"/>
  <c r="D167" i="20" s="1"/>
  <c r="E167" i="20" s="1"/>
  <c r="D138" i="20" a="1"/>
  <c r="D138" i="20" s="1"/>
  <c r="E138" i="20" s="1"/>
  <c r="D751" i="20" a="1"/>
  <c r="D751" i="20" s="1"/>
  <c r="E751" i="20" s="1"/>
  <c r="D738" i="20" a="1"/>
  <c r="D738" i="20" s="1"/>
  <c r="E738" i="20" s="1"/>
  <c r="D725" i="20" a="1"/>
  <c r="D725" i="20" s="1"/>
  <c r="E725" i="20" s="1"/>
  <c r="D712" i="20" a="1"/>
  <c r="D712" i="20" s="1"/>
  <c r="E712" i="20" s="1"/>
  <c r="D673" i="20" a="1"/>
  <c r="D673" i="20" s="1"/>
  <c r="E673" i="20" s="1"/>
  <c r="D659" i="20" a="1"/>
  <c r="D659" i="20" s="1"/>
  <c r="E659" i="20" s="1"/>
  <c r="D645" i="20" a="1"/>
  <c r="D645" i="20" s="1"/>
  <c r="E645" i="20" s="1"/>
  <c r="D629" i="20" a="1"/>
  <c r="D629" i="20" s="1"/>
  <c r="E629" i="20" s="1"/>
  <c r="D614" i="20" a="1"/>
  <c r="D614" i="20" s="1"/>
  <c r="E614" i="20" s="1"/>
  <c r="D599" i="20" a="1"/>
  <c r="D599" i="20" s="1"/>
  <c r="E599" i="20" s="1"/>
  <c r="D584" i="20" a="1"/>
  <c r="D584" i="20" s="1"/>
  <c r="E584" i="20" s="1"/>
  <c r="D569" i="20" a="1"/>
  <c r="D569" i="20" s="1"/>
  <c r="E569" i="20" s="1"/>
  <c r="D554" i="20" a="1"/>
  <c r="D554" i="20" s="1"/>
  <c r="E554" i="20" s="1"/>
  <c r="D539" i="20" a="1"/>
  <c r="D539" i="20" s="1"/>
  <c r="E539" i="20" s="1"/>
  <c r="D525" i="20" a="1"/>
  <c r="D525" i="20" s="1"/>
  <c r="E525" i="20" s="1"/>
  <c r="D510" i="20" a="1"/>
  <c r="D510" i="20" s="1"/>
  <c r="E510" i="20" s="1"/>
  <c r="D495" i="20" a="1"/>
  <c r="D495" i="20" s="1"/>
  <c r="E495" i="20" s="1"/>
  <c r="D480" i="20" a="1"/>
  <c r="D480" i="20" s="1"/>
  <c r="E480" i="20" s="1"/>
  <c r="D464" i="20" a="1"/>
  <c r="D464" i="20" s="1"/>
  <c r="E464" i="20" s="1"/>
  <c r="D449" i="20" a="1"/>
  <c r="D449" i="20" s="1"/>
  <c r="E449" i="20" s="1"/>
  <c r="D434" i="20" a="1"/>
  <c r="D434" i="20" s="1"/>
  <c r="E434" i="20" s="1"/>
  <c r="D419" i="20" a="1"/>
  <c r="D419" i="20" s="1"/>
  <c r="E419" i="20" s="1"/>
  <c r="D405" i="20" a="1"/>
  <c r="D405" i="20" s="1"/>
  <c r="E405" i="20" s="1"/>
  <c r="D391" i="20" a="1"/>
  <c r="D391" i="20" s="1"/>
  <c r="E391" i="20" s="1"/>
  <c r="D375" i="20" a="1"/>
  <c r="D375" i="20" s="1"/>
  <c r="E375" i="20" s="1"/>
  <c r="D360" i="20" a="1"/>
  <c r="D360" i="20" s="1"/>
  <c r="E360" i="20" s="1"/>
  <c r="D345" i="20" a="1"/>
  <c r="D345" i="20" s="1"/>
  <c r="E345" i="20" s="1"/>
  <c r="D329" i="20" a="1"/>
  <c r="D329" i="20" s="1"/>
  <c r="E329" i="20" s="1"/>
  <c r="D315" i="20" a="1"/>
  <c r="D315" i="20" s="1"/>
  <c r="E315" i="20" s="1"/>
  <c r="D300" i="20" a="1"/>
  <c r="D300" i="20" s="1"/>
  <c r="E300" i="20" s="1"/>
  <c r="D285" i="20" a="1"/>
  <c r="D285" i="20" s="1"/>
  <c r="E285" i="20" s="1"/>
  <c r="D271" i="20" a="1"/>
  <c r="D271" i="20" s="1"/>
  <c r="E271" i="20" s="1"/>
  <c r="D256" i="20" a="1"/>
  <c r="D256" i="20" s="1"/>
  <c r="E256" i="20" s="1"/>
  <c r="D225" i="20" a="1"/>
  <c r="D225" i="20" s="1"/>
  <c r="E225" i="20" s="1"/>
  <c r="D181" i="20" a="1"/>
  <c r="D181" i="20" s="1"/>
  <c r="E181" i="20" s="1"/>
  <c r="D166" i="20" a="1"/>
  <c r="D166" i="20" s="1"/>
  <c r="E166" i="20" s="1"/>
  <c r="D152" i="20" a="1"/>
  <c r="D152" i="20" s="1"/>
  <c r="E152" i="20" s="1"/>
  <c r="D137" i="20" a="1"/>
  <c r="D137" i="20" s="1"/>
  <c r="E137" i="20" s="1"/>
  <c r="D763" i="20" a="1"/>
  <c r="D763" i="20" s="1"/>
  <c r="E763" i="20" s="1"/>
  <c r="D750" i="20" a="1"/>
  <c r="D750" i="20" s="1"/>
  <c r="E750" i="20" s="1"/>
  <c r="D737" i="20" a="1"/>
  <c r="D737" i="20" s="1"/>
  <c r="E737" i="20" s="1"/>
  <c r="D724" i="20" a="1"/>
  <c r="D724" i="20" s="1"/>
  <c r="E724" i="20" s="1"/>
  <c r="D699" i="20" a="1"/>
  <c r="D699" i="20" s="1"/>
  <c r="E699" i="20" s="1"/>
  <c r="D687" i="20" a="1"/>
  <c r="D687" i="20" s="1"/>
  <c r="E687" i="20" s="1"/>
  <c r="D658" i="20" a="1"/>
  <c r="D658" i="20" s="1"/>
  <c r="E658" i="20" s="1"/>
  <c r="D644" i="20" a="1"/>
  <c r="D644" i="20" s="1"/>
  <c r="E644" i="20" s="1"/>
  <c r="D628" i="20" a="1"/>
  <c r="D628" i="20" s="1"/>
  <c r="E628" i="20" s="1"/>
  <c r="D613" i="20" a="1"/>
  <c r="D613" i="20" s="1"/>
  <c r="E613" i="20" s="1"/>
  <c r="D598" i="20" a="1"/>
  <c r="D598" i="20" s="1"/>
  <c r="E598" i="20" s="1"/>
  <c r="D583" i="20" a="1"/>
  <c r="D583" i="20" s="1"/>
  <c r="E583" i="20" s="1"/>
  <c r="D568" i="20" a="1"/>
  <c r="D568" i="20" s="1"/>
  <c r="E568" i="20" s="1"/>
  <c r="D553" i="20" a="1"/>
  <c r="D553" i="20" s="1"/>
  <c r="E553" i="20" s="1"/>
  <c r="D538" i="20" a="1"/>
  <c r="D538" i="20" s="1"/>
  <c r="E538" i="20" s="1"/>
  <c r="D524" i="20" a="1"/>
  <c r="D524" i="20" s="1"/>
  <c r="E524" i="20" s="1"/>
  <c r="D509" i="20" a="1"/>
  <c r="D509" i="20" s="1"/>
  <c r="E509" i="20" s="1"/>
  <c r="D494" i="20" a="1"/>
  <c r="D494" i="20" s="1"/>
  <c r="E494" i="20" s="1"/>
  <c r="D479" i="20" a="1"/>
  <c r="D479" i="20" s="1"/>
  <c r="E479" i="20" s="1"/>
  <c r="D463" i="20" a="1"/>
  <c r="D463" i="20" s="1"/>
  <c r="E463" i="20" s="1"/>
  <c r="D433" i="20" a="1"/>
  <c r="D433" i="20" s="1"/>
  <c r="E433" i="20" s="1"/>
  <c r="D418" i="20" a="1"/>
  <c r="D418" i="20" s="1"/>
  <c r="E418" i="20" s="1"/>
  <c r="D404" i="20" a="1"/>
  <c r="D404" i="20" s="1"/>
  <c r="E404" i="20" s="1"/>
  <c r="D390" i="20" a="1"/>
  <c r="D390" i="20" s="1"/>
  <c r="E390" i="20" s="1"/>
  <c r="D374" i="20" a="1"/>
  <c r="D374" i="20" s="1"/>
  <c r="E374" i="20" s="1"/>
  <c r="D359" i="20" a="1"/>
  <c r="D359" i="20" s="1"/>
  <c r="E359" i="20" s="1"/>
  <c r="D344" i="20" a="1"/>
  <c r="D344" i="20" s="1"/>
  <c r="E344" i="20" s="1"/>
  <c r="D314" i="20" a="1"/>
  <c r="D314" i="20" s="1"/>
  <c r="E314" i="20" s="1"/>
  <c r="D299" i="20" a="1"/>
  <c r="D299" i="20" s="1"/>
  <c r="E299" i="20" s="1"/>
  <c r="D284" i="20" a="1"/>
  <c r="D284" i="20" s="1"/>
  <c r="E284" i="20" s="1"/>
  <c r="D270" i="20" a="1"/>
  <c r="D270" i="20" s="1"/>
  <c r="E270" i="20" s="1"/>
  <c r="D255" i="20" a="1"/>
  <c r="D255" i="20" s="1"/>
  <c r="E255" i="20" s="1"/>
  <c r="D240" i="20" a="1"/>
  <c r="D240" i="20" s="1"/>
  <c r="E240" i="20" s="1"/>
  <c r="D180" i="20" a="1"/>
  <c r="D180" i="20" s="1"/>
  <c r="E180" i="20" s="1"/>
  <c r="D165" i="20" a="1"/>
  <c r="D165" i="20" s="1"/>
  <c r="E165" i="20" s="1"/>
  <c r="D151" i="20" a="1"/>
  <c r="D151" i="20" s="1"/>
  <c r="E151" i="20" s="1"/>
  <c r="D136" i="20" a="1"/>
  <c r="D136" i="20" s="1"/>
  <c r="E136" i="20" s="1"/>
  <c r="D996" i="20" a="1"/>
  <c r="D996" i="20" s="1"/>
  <c r="E996" i="20" s="1"/>
  <c r="D982" i="20" a="1"/>
  <c r="D982" i="20" s="1"/>
  <c r="E982" i="20" s="1"/>
  <c r="D968" i="20" a="1"/>
  <c r="D968" i="20" s="1"/>
  <c r="E968" i="20" s="1"/>
  <c r="D954" i="20" a="1"/>
  <c r="D954" i="20" s="1"/>
  <c r="E954" i="20" s="1"/>
  <c r="D941" i="20" a="1"/>
  <c r="D941" i="20" s="1"/>
  <c r="E941" i="20" s="1"/>
  <c r="D928" i="20" a="1"/>
  <c r="D928" i="20" s="1"/>
  <c r="E928" i="20" s="1"/>
  <c r="D903" i="20" a="1"/>
  <c r="D903" i="20" s="1"/>
  <c r="E903" i="20" s="1"/>
  <c r="D890" i="20" a="1"/>
  <c r="D890" i="20" s="1"/>
  <c r="E890" i="20" s="1"/>
  <c r="D762" i="20" a="1"/>
  <c r="D762" i="20" s="1"/>
  <c r="E762" i="20" s="1"/>
  <c r="D749" i="20" a="1"/>
  <c r="D749" i="20" s="1"/>
  <c r="E749" i="20" s="1"/>
  <c r="D736" i="20" a="1"/>
  <c r="D736" i="20" s="1"/>
  <c r="E736" i="20" s="1"/>
  <c r="D711" i="20" a="1"/>
  <c r="D711" i="20" s="1"/>
  <c r="E711" i="20" s="1"/>
  <c r="D698" i="20" a="1"/>
  <c r="D698" i="20" s="1"/>
  <c r="E698" i="20" s="1"/>
  <c r="D686" i="20" a="1"/>
  <c r="D686" i="20" s="1"/>
  <c r="E686" i="20" s="1"/>
  <c r="D672" i="20" a="1"/>
  <c r="D672" i="20" s="1"/>
  <c r="E672" i="20" s="1"/>
  <c r="D657" i="20" a="1"/>
  <c r="D657" i="20" s="1"/>
  <c r="E657" i="20" s="1"/>
  <c r="D643" i="20" a="1"/>
  <c r="D643" i="20" s="1"/>
  <c r="E643" i="20" s="1"/>
  <c r="D627" i="20" a="1"/>
  <c r="D627" i="20" s="1"/>
  <c r="E627" i="20" s="1"/>
  <c r="D612" i="20" a="1"/>
  <c r="D612" i="20" s="1"/>
  <c r="E612" i="20" s="1"/>
  <c r="D597" i="20" a="1"/>
  <c r="D597" i="20" s="1"/>
  <c r="E597" i="20" s="1"/>
  <c r="D582" i="20" a="1"/>
  <c r="D582" i="20" s="1"/>
  <c r="E582" i="20" s="1"/>
  <c r="D567" i="20" a="1"/>
  <c r="D567" i="20" s="1"/>
  <c r="E567" i="20" s="1"/>
  <c r="D552" i="20" a="1"/>
  <c r="D552" i="20" s="1"/>
  <c r="E552" i="20" s="1"/>
  <c r="D537" i="20" a="1"/>
  <c r="D537" i="20" s="1"/>
  <c r="E537" i="20" s="1"/>
  <c r="D523" i="20" a="1"/>
  <c r="D523" i="20" s="1"/>
  <c r="E523" i="20" s="1"/>
  <c r="D508" i="20" a="1"/>
  <c r="D508" i="20" s="1"/>
  <c r="E508" i="20" s="1"/>
  <c r="D493" i="20" a="1"/>
  <c r="D493" i="20" s="1"/>
  <c r="E493" i="20" s="1"/>
  <c r="D478" i="20" a="1"/>
  <c r="D478" i="20" s="1"/>
  <c r="E478" i="20" s="1"/>
  <c r="D462" i="20" a="1"/>
  <c r="D462" i="20" s="1"/>
  <c r="E462" i="20" s="1"/>
  <c r="D448" i="20" a="1"/>
  <c r="D448" i="20" s="1"/>
  <c r="E448" i="20" s="1"/>
  <c r="D417" i="20" a="1"/>
  <c r="D417" i="20" s="1"/>
  <c r="E417" i="20" s="1"/>
  <c r="D403" i="20" a="1"/>
  <c r="D403" i="20" s="1"/>
  <c r="E403" i="20" s="1"/>
  <c r="D389" i="20" a="1"/>
  <c r="D389" i="20" s="1"/>
  <c r="E389" i="20" s="1"/>
  <c r="D373" i="20" a="1"/>
  <c r="D373" i="20" s="1"/>
  <c r="E373" i="20" s="1"/>
  <c r="D358" i="20" a="1"/>
  <c r="D358" i="20" s="1"/>
  <c r="E358" i="20" s="1"/>
  <c r="D343" i="20" a="1"/>
  <c r="D343" i="20" s="1"/>
  <c r="E343" i="20" s="1"/>
  <c r="D328" i="20" a="1"/>
  <c r="D328" i="20" s="1"/>
  <c r="E328" i="20" s="1"/>
  <c r="D313" i="20" a="1"/>
  <c r="D313" i="20" s="1"/>
  <c r="E313" i="20" s="1"/>
  <c r="D298" i="20" a="1"/>
  <c r="D298" i="20" s="1"/>
  <c r="E298" i="20" s="1"/>
  <c r="D283" i="20" a="1"/>
  <c r="D283" i="20" s="1"/>
  <c r="E283" i="20" s="1"/>
  <c r="D269" i="20" a="1"/>
  <c r="D269" i="20" s="1"/>
  <c r="E269" i="20" s="1"/>
  <c r="D254" i="20" a="1"/>
  <c r="D254" i="20" s="1"/>
  <c r="E254" i="20" s="1"/>
  <c r="D239" i="20" a="1"/>
  <c r="D239" i="20" s="1"/>
  <c r="E239" i="20" s="1"/>
  <c r="D224" i="20" a="1"/>
  <c r="D224" i="20" s="1"/>
  <c r="E224" i="20" s="1"/>
  <c r="D179" i="20" a="1"/>
  <c r="D179" i="20" s="1"/>
  <c r="E179" i="20" s="1"/>
  <c r="D164" i="20" a="1"/>
  <c r="D164" i="20" s="1"/>
  <c r="E164" i="20" s="1"/>
  <c r="D150" i="20" a="1"/>
  <c r="D150" i="20" s="1"/>
  <c r="E150" i="20" s="1"/>
  <c r="D135" i="20" a="1"/>
  <c r="D135" i="20" s="1"/>
  <c r="E135" i="20" s="1"/>
  <c r="D981" i="20" a="1"/>
  <c r="D981" i="20" s="1"/>
  <c r="E981" i="20" s="1"/>
  <c r="D967" i="20" a="1"/>
  <c r="D967" i="20" s="1"/>
  <c r="E967" i="20" s="1"/>
  <c r="D953" i="20" a="1"/>
  <c r="D953" i="20" s="1"/>
  <c r="E953" i="20" s="1"/>
  <c r="D915" i="20" a="1"/>
  <c r="D915" i="20" s="1"/>
  <c r="E915" i="20" s="1"/>
  <c r="D774" i="20" a="1"/>
  <c r="D774" i="20" s="1"/>
  <c r="E774" i="20" s="1"/>
  <c r="D761" i="20" a="1"/>
  <c r="D761" i="20" s="1"/>
  <c r="E761" i="20" s="1"/>
  <c r="D710" i="20" a="1"/>
  <c r="D710" i="20" s="1"/>
  <c r="E710" i="20" s="1"/>
  <c r="D697" i="20" a="1"/>
  <c r="D697" i="20" s="1"/>
  <c r="E697" i="20" s="1"/>
  <c r="D685" i="20" a="1"/>
  <c r="D685" i="20" s="1"/>
  <c r="E685" i="20" s="1"/>
  <c r="D671" i="20" a="1"/>
  <c r="D671" i="20" s="1"/>
  <c r="E671" i="20" s="1"/>
  <c r="D626" i="20" a="1"/>
  <c r="D626" i="20" s="1"/>
  <c r="E626" i="20" s="1"/>
  <c r="D611" i="20" a="1"/>
  <c r="D611" i="20" s="1"/>
  <c r="E611" i="20" s="1"/>
  <c r="D596" i="20" a="1"/>
  <c r="D596" i="20" s="1"/>
  <c r="E596" i="20" s="1"/>
  <c r="D566" i="20" a="1"/>
  <c r="D566" i="20" s="1"/>
  <c r="E566" i="20" s="1"/>
  <c r="D551" i="20" a="1"/>
  <c r="D551" i="20" s="1"/>
  <c r="E551" i="20" s="1"/>
  <c r="D522" i="20" a="1"/>
  <c r="D522" i="20" s="1"/>
  <c r="E522" i="20" s="1"/>
  <c r="D492" i="20" a="1"/>
  <c r="D492" i="20" s="1"/>
  <c r="E492" i="20" s="1"/>
  <c r="D461" i="20" a="1"/>
  <c r="D461" i="20" s="1"/>
  <c r="E461" i="20" s="1"/>
  <c r="D402" i="20" a="1"/>
  <c r="D402" i="20" s="1"/>
  <c r="E402" i="20" s="1"/>
  <c r="D342" i="20" a="1"/>
  <c r="D342" i="20" s="1"/>
  <c r="E342" i="20" s="1"/>
  <c r="D312" i="20" a="1"/>
  <c r="D312" i="20" s="1"/>
  <c r="E312" i="20" s="1"/>
  <c r="D297" i="20" a="1"/>
  <c r="D297" i="20" s="1"/>
  <c r="E297" i="20" s="1"/>
  <c r="D282" i="20" a="1"/>
  <c r="D282" i="20" s="1"/>
  <c r="E282" i="20" s="1"/>
  <c r="D268" i="20" a="1"/>
  <c r="D268" i="20" s="1"/>
  <c r="E268" i="20" s="1"/>
  <c r="D253" i="20" a="1"/>
  <c r="D253" i="20" s="1"/>
  <c r="E253" i="20" s="1"/>
  <c r="D178" i="20" a="1"/>
  <c r="D178" i="20" s="1"/>
  <c r="E178" i="20" s="1"/>
  <c r="D149" i="20" a="1"/>
  <c r="D149" i="20" s="1"/>
  <c r="E149" i="20" s="1"/>
  <c r="G5" i="19"/>
  <c r="F5" i="19"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<sst xmlns="http://schemas.openxmlformats.org/spreadsheetml/2006/main" count="7084" uniqueCount="74">
  <si>
    <t>Week Start</t>
  </si>
  <si>
    <t>Week End</t>
  </si>
  <si>
    <t>Clicks</t>
  </si>
  <si>
    <t>Earnings (?)</t>
  </si>
  <si>
    <t>Posts Made</t>
  </si>
  <si>
    <t>Days Covered</t>
  </si>
  <si>
    <t>Jan</t>
  </si>
  <si>
    <t>Feb</t>
  </si>
  <si>
    <t>Mar</t>
  </si>
  <si>
    <t>Nov</t>
  </si>
  <si>
    <t>Dec</t>
  </si>
  <si>
    <t>Apr</t>
  </si>
  <si>
    <t>May</t>
  </si>
  <si>
    <t>earnings</t>
  </si>
  <si>
    <t>week date</t>
  </si>
  <si>
    <t xml:space="preserve">top clicks </t>
  </si>
  <si>
    <t>top earnings</t>
  </si>
  <si>
    <t>lowest earnings</t>
  </si>
  <si>
    <t xml:space="preserve">Clicks </t>
  </si>
  <si>
    <t>posts</t>
  </si>
  <si>
    <t>Growth percent</t>
  </si>
  <si>
    <t>MONTHS</t>
  </si>
  <si>
    <t>Morning</t>
  </si>
  <si>
    <t>Night</t>
  </si>
  <si>
    <t>DATE</t>
  </si>
  <si>
    <t>Date</t>
  </si>
  <si>
    <t>Time</t>
  </si>
  <si>
    <t>Time_Category</t>
  </si>
  <si>
    <t>Grand Total</t>
  </si>
  <si>
    <t>WeekLabel</t>
  </si>
  <si>
    <t>Date Time</t>
  </si>
  <si>
    <t>Week Label</t>
  </si>
  <si>
    <t>top 5 weeks</t>
  </si>
  <si>
    <t>08-03-2025 to 14-03-2025</t>
  </si>
  <si>
    <t>01-04-2025 to 07-04-2025</t>
  </si>
  <si>
    <t>15-03-2025 to 21-03-2025</t>
  </si>
  <si>
    <t>01-01-2025 to 07-01-2025</t>
  </si>
  <si>
    <t>01-02-2025 to 07-02-2025</t>
  </si>
  <si>
    <t>01-03-2025 to 07-03-2025</t>
  </si>
  <si>
    <t>01-11-2024 to 07-11-2024</t>
  </si>
  <si>
    <t>01-12-2024 to 07-12-2024</t>
  </si>
  <si>
    <t>08-02-2025 to 14-02-2025</t>
  </si>
  <si>
    <t>08-04-2025 to 14-04-2025</t>
  </si>
  <si>
    <t>08-11-2024 to 14-11-2024</t>
  </si>
  <si>
    <t>08-12-2024 to 14-12-2024</t>
  </si>
  <si>
    <t>15-01-2025 to 21-01-2025</t>
  </si>
  <si>
    <t>15-02-2025 to 21-02-2025</t>
  </si>
  <si>
    <t>15-04-2025 to 21-04-2025</t>
  </si>
  <si>
    <t>15-12-2024 to 21-12-2024</t>
  </si>
  <si>
    <t>22-02-2025 to 28-02-2025</t>
  </si>
  <si>
    <t>22-03-2025 to 28-03-2025</t>
  </si>
  <si>
    <t>22-04-2025 to 28-04-2025</t>
  </si>
  <si>
    <t>22-11-2024 to 28-11-2024</t>
  </si>
  <si>
    <t>22-12-2024 to 28-12-2024</t>
  </si>
  <si>
    <t>CleanWeekLabel</t>
  </si>
  <si>
    <t>TOP 5 WEEKS MATCHING?</t>
  </si>
  <si>
    <t>Column1</t>
  </si>
  <si>
    <t>15-11-2024 to 21-11-2024</t>
  </si>
  <si>
    <t>29-11-2024 to 30-11-2024</t>
  </si>
  <si>
    <t>29-12-2024 to 31-12-2024</t>
  </si>
  <si>
    <t>08-01-2025 to 14-01-2025</t>
  </si>
  <si>
    <t>22-01-2025 to 28-01-2025</t>
  </si>
  <si>
    <t>29-01-2025 to 31-01-2025</t>
  </si>
  <si>
    <t>29-03-2025 to 31-03-2025</t>
  </si>
  <si>
    <t>29-04-2025 to 30-04-2025</t>
  </si>
  <si>
    <t xml:space="preserve"> </t>
  </si>
  <si>
    <t xml:space="preserve">Week label </t>
  </si>
  <si>
    <t>TOP COMPARISON</t>
  </si>
  <si>
    <t>No</t>
  </si>
  <si>
    <t>Yes</t>
  </si>
  <si>
    <t>After Evening</t>
  </si>
  <si>
    <t>Afternoon</t>
  </si>
  <si>
    <t>TIME CATEGORIES</t>
  </si>
  <si>
    <t>TOP EARNING WEEK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</si>
</sst>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quot;₹&quot;\ #,##0"/>
    <numFmt numFmtId="172" formatCode="[$-14009]hh:mm;@"/>
  </numFmts>
  <fonts count="24">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theme="2" tint="-9.9978637043366805E-2"/>
      <name val="Calibri"/>
      <family val="2"/>
      <scheme val="minor"/>
    </font>
    <font>
      <sz val="10"/>
      <color theme="1"/>
      <name val="Arial Unicode MS"/>
    </font>
    <font>
      <sz val="8"/>
      <name val="Calibri"/>
      <family val="2"/>
      <scheme val="minor"/>
    </font>
    <font>
      <sz val="20"/>
      <color theme="1"/>
      <name val="Calibri"/>
      <family val="2"/>
      <scheme val="minor"/>
    </font>
    <font>
      <sz val="20"/>
      <color theme="0"/>
      <name val="Calibri"/>
      <family val="2"/>
      <scheme val="minor"/>
    </font>
    <font>
      <sz val="24"/>
      <color theme="0"/>
      <name val="Calibri"/>
      <family val="2"/>
      <scheme val="minor"/>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9.9978637043366805E-2"/>
        <bgColor indexed="64"/>
      </patternFill>
    </fill>
    <fill>
      <patternFill patternType="solid">
        <fgColor theme="4"/>
        <bgColor indexed="64"/>
      </patternFill>
    </fill>
    <fill>
      <patternFill patternType="solid">
        <fgColor theme="7" tint="0.79998168889431442"/>
        <bgColor indexed="64"/>
      </patternFill>
    </fill>
    <fill>
      <patternFill patternType="solid">
        <fgColor theme="1" tint="0.34998626667073579"/>
        <bgColor indexed="64"/>
      </patternFill>
    </fill>
    <fill>
      <patternFill patternType="solid">
        <fgColor theme="5"/>
        <bgColor indexed="64"/>
      </patternFill>
    </fill>
    <fill>
      <patternFill patternType="solid">
        <fgColor theme="2" tint="-0.249977111117893"/>
        <bgColor indexed="64"/>
      </patternFill>
    </fill>
    <fill>
      <patternFill patternType="solid">
        <fgColor theme="2" tint="-0.499984740745262"/>
        <bgColor indexed="64"/>
      </patternFill>
    </fill>
    <fill>
      <patternFill patternType="solid">
        <fgColor theme="2" tint="-0.74999237037263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5">
    <xf numFmtId="0" fontId="0" fillId="0" borderId="0" xfId="0"/>
    <xf numFmtId="14" fontId="0" fillId="0" borderId="0" xfId="0" applyNumberFormat="1"/>
    <xf numFmtId="0" fontId="0" fillId="33" borderId="0" xfId="0" applyFill="1"/>
    <xf numFmtId="164" fontId="0" fillId="0" borderId="0" xfId="0" applyNumberFormat="1"/>
    <xf numFmtId="0" fontId="18" fillId="33" borderId="0" xfId="0" applyFont="1" applyFill="1"/>
    <xf numFmtId="0" fontId="0" fillId="0" borderId="0" xfId="0" applyAlignment="1">
      <alignment horizontal="left" vertical="center" indent="1"/>
    </xf>
    <xf numFmtId="172" fontId="0" fillId="0" borderId="0" xfId="0" applyNumberFormat="1"/>
    <xf numFmtId="22" fontId="0" fillId="0" borderId="0" xfId="0" applyNumberFormat="1"/>
    <xf numFmtId="0" fontId="0" fillId="0" borderId="0" xfId="0" applyNumberFormat="1" applyAlignment="1">
      <alignment horizontal="left" vertical="center" indent="1"/>
    </xf>
    <xf numFmtId="0" fontId="19" fillId="0" borderId="0" xfId="0" applyFont="1"/>
    <xf numFmtId="0" fontId="0" fillId="0" borderId="0" xfId="0"/>
    <xf numFmtId="14" fontId="0" fillId="0" borderId="0" xfId="0" applyNumberFormat="1"/>
    <xf numFmtId="0" fontId="0" fillId="33" borderId="0" xfId="0" applyFill="1"/>
    <xf numFmtId="0" fontId="18" fillId="33" borderId="0" xfId="0" applyFont="1" applyFill="1"/>
    <xf numFmtId="172" fontId="0" fillId="0" borderId="0" xfId="0" applyNumberFormat="1"/>
    <xf numFmtId="0" fontId="0" fillId="34" borderId="0" xfId="0" applyFill="1"/>
    <xf numFmtId="0" fontId="21" fillId="0" borderId="0" xfId="0" applyFont="1"/>
    <xf numFmtId="0" fontId="21" fillId="0" borderId="0" xfId="0" pivotButton="1" applyFont="1"/>
    <xf numFmtId="0" fontId="0" fillId="0" borderId="0" xfId="0" applyFill="1"/>
    <xf numFmtId="14" fontId="21" fillId="35" borderId="0" xfId="0" applyNumberFormat="1" applyFont="1" applyFill="1" applyAlignment="1">
      <alignment horizontal="left"/>
    </xf>
    <xf numFmtId="164" fontId="21" fillId="35" borderId="0" xfId="0" applyNumberFormat="1" applyFont="1" applyFill="1"/>
    <xf numFmtId="0" fontId="21" fillId="35" borderId="0" xfId="0" applyFont="1" applyFill="1"/>
    <xf numFmtId="0" fontId="22" fillId="37" borderId="0" xfId="0" applyNumberFormat="1" applyFont="1" applyFill="1"/>
    <xf numFmtId="0" fontId="22" fillId="34" borderId="0" xfId="0" applyNumberFormat="1" applyFont="1" applyFill="1"/>
    <xf numFmtId="0" fontId="22" fillId="38" borderId="0" xfId="0" applyNumberFormat="1" applyFont="1" applyFill="1"/>
    <xf numFmtId="0" fontId="22" fillId="39" borderId="0" xfId="0" applyFont="1" applyFill="1" applyAlignment="1">
      <alignment horizontal="left"/>
    </xf>
    <xf numFmtId="0" fontId="22" fillId="39" borderId="0" xfId="0" applyFont="1" applyFill="1" applyAlignment="1">
      <alignment horizontal="left" indent="1"/>
    </xf>
    <xf numFmtId="0" fontId="22" fillId="40" borderId="0" xfId="0" applyFont="1" applyFill="1"/>
    <xf numFmtId="0" fontId="22" fillId="40" borderId="0" xfId="0" applyFont="1" applyFill="1" applyAlignment="1">
      <alignment horizontal="left"/>
    </xf>
    <xf numFmtId="0" fontId="22" fillId="40" borderId="0" xfId="0" applyNumberFormat="1" applyFont="1" applyFill="1"/>
    <xf numFmtId="0" fontId="22" fillId="40" borderId="0" xfId="0" applyFont="1" applyFill="1" applyAlignment="1">
      <alignment horizontal="center"/>
    </xf>
    <xf numFmtId="0" fontId="21" fillId="34" borderId="0" xfId="0" applyFont="1" applyFill="1" applyAlignment="1">
      <alignment horizontal="center"/>
    </xf>
    <xf numFmtId="0" fontId="23" fillId="36" borderId="0" xfId="0" applyFont="1" applyFill="1" applyAlignment="1">
      <alignment horizontal="left"/>
    </xf>
    <xf numFmtId="164" fontId="23" fillId="36" borderId="0" xfId="0" applyNumberFormat="1" applyFont="1" applyFill="1"/>
    <xf numFmtId="10" fontId="23" fillId="36" borderId="0" xfId="0" applyNumberFormat="1" applyFont="1"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15">
    <dxf>
      <alignment horizontal="center"/>
    </dxf>
    <dxf>
      <font>
        <color rgb="FFC00000"/>
      </font>
    </dxf>
    <dxf>
      <fill>
        <patternFill patternType="solid">
          <bgColor theme="4"/>
        </patternFill>
      </fill>
    </dxf>
    <dxf>
      <fill>
        <patternFill patternType="solid">
          <bgColor theme="4" tint="0.59999389629810485"/>
        </patternFill>
      </fill>
    </dxf>
    <dxf>
      <fill>
        <patternFill patternType="solid">
          <bgColor theme="4" tint="0.59999389629810485"/>
        </patternFill>
      </fill>
    </dxf>
    <dxf>
      <font>
        <sz val="20"/>
      </font>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bgColor theme="0" tint="-0.14999847407452621"/>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ont>
        <color theme="0"/>
      </font>
    </dxf>
    <dxf>
      <font>
        <color theme="0"/>
      </font>
    </dxf>
    <dxf>
      <font>
        <color theme="0"/>
      </font>
    </dxf>
    <dxf>
      <font>
        <color theme="1" tint="4.9989318521683403E-2"/>
      </font>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theme="5"/>
        </patternFill>
      </fill>
    </dxf>
    <dxf>
      <fill>
        <patternFill>
          <bgColor theme="5"/>
        </patternFill>
      </fill>
    </dxf>
    <dxf>
      <fill>
        <patternFill>
          <bgColor rgb="FF00B0F0"/>
        </patternFill>
      </fill>
    </dxf>
    <dxf>
      <font>
        <color theme="1" tint="4.9989318521683403E-2"/>
      </font>
    </dxf>
    <dxf>
      <fill>
        <patternFill>
          <bgColor theme="6" tint="0.79998168889431442"/>
        </patternFill>
      </fill>
    </dxf>
    <dxf>
      <font>
        <color theme="1"/>
      </font>
    </dxf>
    <dxf>
      <fill>
        <patternFill>
          <bgColor theme="1"/>
        </patternFill>
      </fill>
    </dxf>
    <dxf>
      <font>
        <color theme="0"/>
      </font>
    </dxf>
    <dxf>
      <fill>
        <patternFill>
          <bgColor theme="5"/>
        </patternFill>
      </fill>
    </dxf>
    <dxf>
      <font>
        <color theme="0"/>
      </font>
    </dxf>
    <dxf>
      <fill>
        <patternFill>
          <bgColor theme="4"/>
        </patternFill>
      </fill>
    </dxf>
    <dxf>
      <font>
        <color theme="0"/>
      </font>
    </dxf>
    <dxf>
      <fill>
        <patternFill>
          <bgColor theme="2" tint="-0.249977111117893"/>
        </patternFill>
      </fill>
    </dxf>
    <dxf>
      <font>
        <color theme="0"/>
      </font>
    </dxf>
    <dxf>
      <fill>
        <patternFill patternType="solid">
          <bgColor theme="2" tint="-0.499984740745262"/>
        </patternFill>
      </fill>
    </dxf>
    <dxf>
      <font>
        <color theme="0"/>
      </font>
    </dxf>
    <dxf>
      <fill>
        <patternFill patternType="solid">
          <bgColor theme="2" tint="-0.499984740745262"/>
        </patternFill>
      </fill>
    </dxf>
    <dxf>
      <font>
        <color theme="0"/>
      </font>
    </dxf>
    <dxf>
      <fill>
        <patternFill patternType="solid">
          <bgColor theme="2" tint="-0.499984740745262"/>
        </patternFill>
      </fill>
    </dxf>
    <dxf>
      <font>
        <color theme="0"/>
      </font>
    </dxf>
    <dxf>
      <font>
        <color theme="0"/>
      </font>
    </dxf>
    <dxf>
      <fill>
        <patternFill patternType="solid">
          <bgColor theme="2" tint="-0.499984740745262"/>
        </patternFill>
      </fill>
    </dxf>
    <dxf>
      <fill>
        <patternFill patternType="solid">
          <bgColor theme="1"/>
        </patternFill>
      </fill>
    </dxf>
    <dxf>
      <font>
        <color theme="0"/>
      </font>
    </dxf>
    <dxf>
      <fill>
        <patternFill>
          <bgColor theme="2" tint="-0.749992370372631"/>
        </patternFill>
      </fill>
    </dxf>
    <dxf>
      <fill>
        <patternFill>
          <bgColor theme="2" tint="-0.749992370372631"/>
        </patternFill>
      </fill>
    </dxf>
    <dxf>
      <fill>
        <patternFill>
          <bgColor theme="2" tint="-0.749992370372631"/>
        </patternFill>
      </fill>
    </dxf>
    <dxf>
      <fill>
        <patternFill>
          <bgColor theme="2" tint="-0.749992370372631"/>
        </patternFill>
      </fill>
    </dxf>
    <dxf>
      <fill>
        <patternFill>
          <bgColor theme="2" tint="-0.749992370372631"/>
        </patternFill>
      </fill>
    </dxf>
    <dxf>
      <fill>
        <patternFill>
          <bgColor theme="2" tint="-0.749992370372631"/>
        </patternFill>
      </fill>
    </dxf>
    <dxf>
      <fill>
        <patternFill>
          <bgColor theme="2" tint="-0.749992370372631"/>
        </patternFill>
      </fill>
    </dxf>
    <dxf>
      <fill>
        <patternFill>
          <bgColor theme="2" tint="-0.749992370372631"/>
        </patternFill>
      </fill>
    </dxf>
    <dxf>
      <fill>
        <patternFill>
          <bgColor theme="2" tint="-0.749992370372631"/>
        </patternFill>
      </fill>
    </dxf>
    <dxf>
      <fill>
        <patternFill>
          <bgColor theme="2" tint="-0.749992370372631"/>
        </patternFill>
      </fill>
    </dxf>
    <dxf>
      <fill>
        <patternFill>
          <bgColor theme="2" tint="-0.749992370372631"/>
        </patternFill>
      </fill>
    </dxf>
    <dxf>
      <fill>
        <patternFill>
          <bgColor theme="2" tint="-0.749992370372631"/>
        </patternFill>
      </fill>
    </dxf>
    <dxf>
      <fill>
        <patternFill>
          <bgColor theme="2" tint="-0.749992370372631"/>
        </patternFill>
      </fill>
    </dxf>
    <dxf>
      <font>
        <color theme="0"/>
      </font>
    </dxf>
    <dxf>
      <font>
        <color theme="0"/>
      </font>
    </dxf>
    <dxf>
      <font>
        <color theme="0"/>
      </font>
    </dxf>
    <dxf>
      <alignment horizontal="center"/>
    </dxf>
    <dxf>
      <alignment horizontal="center"/>
    </dxf>
    <dxf>
      <alignment horizontal="center"/>
    </dxf>
    <dxf>
      <font>
        <color theme="0"/>
      </font>
    </dxf>
    <dxf>
      <font>
        <color theme="0"/>
      </font>
    </dxf>
    <dxf>
      <alignment horizontal="center"/>
    </dxf>
    <dxf>
      <alignment horizontal="center"/>
    </dxf>
    <dxf>
      <alignment horizontal="center"/>
    </dxf>
    <dxf>
      <alignment horizontal="center"/>
    </dxf>
    <dxf>
      <alignment horizontal="center"/>
    </dxf>
    <dxf>
      <alignment horizontal="center"/>
    </dxf>
    <dxf>
      <font>
        <color theme="0"/>
      </font>
    </dxf>
    <dxf>
      <font>
        <color theme="0"/>
      </font>
    </dxf>
    <dxf>
      <font>
        <color theme="0"/>
      </font>
    </dxf>
    <dxf>
      <fill>
        <patternFill>
          <bgColor theme="2" tint="-0.749992370372631"/>
        </patternFill>
      </fill>
    </dxf>
    <dxf>
      <fill>
        <patternFill>
          <bgColor theme="2" tint="-0.749992370372631"/>
        </patternFill>
      </fill>
    </dxf>
    <dxf>
      <fill>
        <patternFill>
          <bgColor theme="2" tint="-0.749992370372631"/>
        </patternFill>
      </fill>
    </dxf>
    <dxf>
      <fill>
        <patternFill>
          <bgColor theme="2" tint="-0.749992370372631"/>
        </patternFill>
      </fill>
    </dxf>
    <dxf>
      <fill>
        <patternFill>
          <bgColor theme="2" tint="-0.749992370372631"/>
        </patternFill>
      </fill>
    </dxf>
    <dxf>
      <fill>
        <patternFill>
          <bgColor theme="2" tint="-0.749992370372631"/>
        </patternFill>
      </fill>
    </dxf>
    <dxf>
      <fill>
        <patternFill>
          <bgColor theme="2" tint="-0.749992370372631"/>
        </patternFill>
      </fill>
    </dxf>
    <dxf>
      <fill>
        <patternFill>
          <bgColor theme="2" tint="-0.749992370372631"/>
        </patternFill>
      </fill>
    </dxf>
    <dxf>
      <fill>
        <patternFill>
          <bgColor theme="2" tint="-0.749992370372631"/>
        </patternFill>
      </fill>
    </dxf>
    <dxf>
      <font>
        <color rgb="FFC00000"/>
      </font>
    </dxf>
    <dxf>
      <fill>
        <patternFill patternType="solid">
          <bgColor theme="4"/>
        </patternFill>
      </fill>
    </dxf>
    <dxf>
      <fill>
        <patternFill patternType="solid">
          <bgColor theme="4" tint="0.59999389629810485"/>
        </patternFill>
      </fill>
    </dxf>
    <dxf>
      <fill>
        <patternFill patternType="solid">
          <bgColor theme="4" tint="0.59999389629810485"/>
        </patternFill>
      </fill>
    </dxf>
    <dxf>
      <font>
        <sz val="20"/>
      </font>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bgColor theme="0" tint="-0.14999847407452621"/>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ont>
        <color theme="0"/>
      </font>
    </dxf>
    <dxf>
      <font>
        <color theme="0"/>
      </font>
    </dxf>
    <dxf>
      <font>
        <color theme="0"/>
      </font>
    </dxf>
    <dxf>
      <font>
        <color theme="1" tint="4.9989318521683403E-2"/>
      </font>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theme="5"/>
        </patternFill>
      </fill>
    </dxf>
    <dxf>
      <fill>
        <patternFill>
          <bgColor theme="5"/>
        </patternFill>
      </fill>
    </dxf>
    <dxf>
      <fill>
        <patternFill>
          <bgColor rgb="FF00B0F0"/>
        </patternFill>
      </fill>
    </dxf>
    <dxf>
      <font>
        <color theme="1" tint="4.9989318521683403E-2"/>
      </font>
    </dxf>
    <dxf>
      <fill>
        <patternFill>
          <bgColor theme="6" tint="0.79998168889431442"/>
        </patternFill>
      </fill>
    </dxf>
    <dxf>
      <font>
        <color theme="1"/>
      </font>
    </dxf>
    <dxf>
      <fill>
        <patternFill>
          <bgColor theme="1"/>
        </patternFill>
      </fill>
    </dxf>
    <dxf>
      <font>
        <color theme="0"/>
      </font>
    </dxf>
    <dxf>
      <fill>
        <patternFill>
          <bgColor theme="5"/>
        </patternFill>
      </fill>
    </dxf>
    <dxf>
      <font>
        <color theme="0"/>
      </font>
    </dxf>
    <dxf>
      <fill>
        <patternFill>
          <bgColor theme="4"/>
        </patternFill>
      </fill>
    </dxf>
    <dxf>
      <font>
        <color theme="0"/>
      </font>
    </dxf>
    <dxf>
      <fill>
        <patternFill>
          <bgColor theme="2" tint="-0.249977111117893"/>
        </patternFill>
      </fill>
    </dxf>
    <dxf>
      <font>
        <color theme="0"/>
      </font>
    </dxf>
    <dxf>
      <fill>
        <patternFill patternType="solid">
          <bgColor theme="2" tint="-0.499984740745262"/>
        </patternFill>
      </fill>
    </dxf>
    <dxf>
      <font>
        <color theme="0"/>
      </font>
    </dxf>
    <dxf>
      <fill>
        <patternFill patternType="solid">
          <bgColor theme="2" tint="-0.499984740745262"/>
        </patternFill>
      </fill>
    </dxf>
    <dxf>
      <font>
        <color theme="0"/>
      </font>
    </dxf>
    <dxf>
      <fill>
        <patternFill patternType="solid">
          <bgColor theme="2" tint="-0.499984740745262"/>
        </patternFill>
      </fill>
    </dxf>
    <dxf>
      <font>
        <color theme="0"/>
      </font>
    </dxf>
    <dxf>
      <font>
        <color theme="0"/>
      </font>
    </dxf>
    <dxf>
      <fill>
        <patternFill patternType="solid">
          <bgColor theme="2" tint="-0.499984740745262"/>
        </patternFill>
      </fill>
    </dxf>
    <dxf>
      <fill>
        <patternFill patternType="solid">
          <bgColor theme="1"/>
        </patternFill>
      </fill>
    </dxf>
    <dxf>
      <font>
        <color theme="0"/>
      </font>
    </dxf>
    <dxf>
      <fill>
        <patternFill>
          <bgColor theme="2" tint="-0.749992370372631"/>
        </patternFill>
      </fill>
    </dxf>
    <dxf>
      <fill>
        <patternFill>
          <bgColor theme="2" tint="-0.749992370372631"/>
        </patternFill>
      </fill>
    </dxf>
    <dxf>
      <fill>
        <patternFill>
          <bgColor theme="2" tint="-0.749992370372631"/>
        </patternFill>
      </fill>
    </dxf>
    <dxf>
      <fill>
        <patternFill>
          <bgColor theme="2" tint="-0.749992370372631"/>
        </patternFill>
      </fill>
    </dxf>
    <dxf>
      <fill>
        <patternFill patternType="solid">
          <bgColor theme="4"/>
        </patternFill>
      </fill>
    </dxf>
    <dxf>
      <fill>
        <patternFill patternType="solid">
          <bgColor theme="4"/>
        </patternFill>
      </fill>
    </dxf>
    <dxf>
      <font>
        <sz val="24"/>
      </font>
    </dxf>
    <dxf>
      <font>
        <sz val="24"/>
      </font>
    </dxf>
    <dxf>
      <fill>
        <patternFill patternType="solid">
          <bgColor theme="1" tint="0.34998626667073579"/>
        </patternFill>
      </fill>
    </dxf>
    <dxf>
      <fill>
        <patternFill patternType="solid">
          <bgColor theme="1" tint="0.34998626667073579"/>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ill>
        <patternFill>
          <bgColor theme="4"/>
        </patternFill>
      </fill>
    </dxf>
    <dxf>
      <numFmt numFmtId="0" formatCode="General"/>
      <alignment horizontal="left" vertical="center" textRotation="0" wrapText="0" indent="1" justifyLastLine="0" shrinkToFit="0" readingOrder="0"/>
    </dxf>
    <dxf>
      <numFmt numFmtId="0" formatCode="General"/>
      <alignment horizontal="left" vertical="center" textRotation="0" wrapText="0" indent="1" justifyLastLine="0" shrinkToFit="0" readingOrder="0"/>
    </dxf>
    <dxf>
      <numFmt numFmtId="19" formatCode="dd/mm/yyyy"/>
    </dxf>
    <dxf>
      <numFmt numFmtId="19" formatCode="dd/mm/yyyy"/>
    </dxf>
    <dxf>
      <fill>
        <patternFill>
          <bgColor theme="1" tint="0.24994659260841701"/>
        </patternFill>
      </fill>
    </dxf>
  </dxfs>
  <tableStyles count="1" defaultTableStyle="TableStyleMedium2" defaultPivotStyle="PivotStyleLight16">
    <tableStyle name="Slicer Style 1" pivot="0" table="0" count="1" xr9:uid="{4E8B4EE5-EB6D-4CEF-9A19-7F20DFDA0D53}">
      <tableStyleElement type="wholeTable" dxfId="214"/>
    </tableStyle>
  </tableStyle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6247844418719002"/>
          <c:y val="7.626124498393913E-2"/>
          <c:w val="0.67243275421198212"/>
          <c:h val="0.83900279410953371"/>
        </c:manualLayout>
      </c:layout>
      <c:bar3DChart>
        <c:barDir val="col"/>
        <c:grouping val="clustered"/>
        <c:varyColors val="0"/>
        <c:ser>
          <c:idx val="0"/>
          <c:order val="0"/>
          <c:tx>
            <c:v>Series1</c:v>
          </c:tx>
          <c:spPr>
            <a:solidFill>
              <a:schemeClr val="accent1"/>
            </a:solidFill>
            <a:ln>
              <a:noFill/>
            </a:ln>
            <a:effectLst/>
            <a:sp3d/>
          </c:spPr>
          <c:invertIfNegative val="0"/>
          <c:dLbls>
            <c:spPr>
              <a:solidFill>
                <a:schemeClr val="accent2"/>
              </a:solid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15-05-2025</c:v>
              </c:pt>
              <c:pt idx="1">
                <c:v>15-03-2025</c:v>
              </c:pt>
              <c:pt idx="2">
                <c:v>01-04-2025</c:v>
              </c:pt>
              <c:pt idx="3">
                <c:v>08-03-2025</c:v>
              </c:pt>
              <c:pt idx="4">
                <c:v>01-05-2025</c:v>
              </c:pt>
            </c:strLit>
          </c:cat>
          <c:val>
            <c:numLit>
              <c:formatCode>General</c:formatCode>
              <c:ptCount val="5"/>
              <c:pt idx="0">
                <c:v>5900</c:v>
              </c:pt>
              <c:pt idx="1">
                <c:v>5900</c:v>
              </c:pt>
              <c:pt idx="2">
                <c:v>6000</c:v>
              </c:pt>
              <c:pt idx="3">
                <c:v>6000</c:v>
              </c:pt>
              <c:pt idx="4">
                <c:v>9700</c:v>
              </c:pt>
            </c:numLit>
          </c:val>
          <c:extLst>
            <c:ext xmlns:c16="http://schemas.microsoft.com/office/drawing/2014/chart" uri="{C3380CC4-5D6E-409C-BE32-E72D297353CC}">
              <c16:uniqueId val="{00000000-71FA-4970-83CD-E7BF324AB488}"/>
            </c:ext>
          </c:extLst>
        </c:ser>
        <c:dLbls>
          <c:showLegendKey val="0"/>
          <c:showVal val="0"/>
          <c:showCatName val="0"/>
          <c:showSerName val="0"/>
          <c:showPercent val="0"/>
          <c:showBubbleSize val="0"/>
        </c:dLbls>
        <c:gapWidth val="182"/>
        <c:shape val="box"/>
        <c:axId val="147684896"/>
        <c:axId val="147677216"/>
        <c:axId val="0"/>
      </c:bar3DChart>
      <c:catAx>
        <c:axId val="147684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677216"/>
        <c:crosses val="autoZero"/>
        <c:auto val="1"/>
        <c:lblAlgn val="ctr"/>
        <c:lblOffset val="100"/>
        <c:noMultiLvlLbl val="0"/>
      </c:catAx>
      <c:valAx>
        <c:axId val="1476772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476848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[again save.xlsm]Dashboard!PivotTable11</c:name>
    <c:fmtId val="10"/>
  </c:pivotSource>
  <c:chart>
    <c:autoTitleDeleted val="0"/>
    <c:pivotFmts>
      <c:pivotFmt>
        <c:idx val="0"/>
        <c:spPr>
          <a:pattFill prst="ltDnDiag">
            <a:fgClr>
              <a:schemeClr val="accent1"/>
            </a:fgClr>
            <a:bgClr>
              <a:schemeClr val="accent1">
                <a:lumMod val="20000"/>
                <a:lumOff val="80000"/>
              </a:schemeClr>
            </a:bgClr>
          </a:pattFill>
          <a:ln w="82550">
            <a:solidFill>
              <a:schemeClr val="accent1"/>
            </a:solidFill>
          </a:ln>
          <a:effectLst/>
          <a:sp3d contourW="82550">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accen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pattFill prst="ltDnDiag">
            <a:fgClr>
              <a:schemeClr val="accent1"/>
            </a:fgClr>
            <a:bgClr>
              <a:schemeClr val="accent1">
                <a:lumMod val="20000"/>
                <a:lumOff val="80000"/>
              </a:schemeClr>
            </a:bgClr>
          </a:pattFill>
          <a:ln w="50800">
            <a:solidFill>
              <a:schemeClr val="accent1"/>
            </a:solidFill>
          </a:ln>
          <a:effectLst/>
          <a:sp3d contourW="50800">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pattFill prst="ltDnDiag">
            <a:fgClr>
              <a:schemeClr val="accent1"/>
            </a:fgClr>
            <a:bgClr>
              <a:schemeClr val="accent1">
                <a:lumMod val="20000"/>
                <a:lumOff val="80000"/>
              </a:schemeClr>
            </a:bgClr>
          </a:pattFill>
          <a:ln w="73025">
            <a:solidFill>
              <a:schemeClr val="accent1"/>
            </a:solidFill>
          </a:ln>
          <a:effectLst/>
          <a:sp3d contourW="73025">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bg2">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pattFill prst="ltDnDiag">
            <a:fgClr>
              <a:schemeClr val="accent3"/>
            </a:fgClr>
            <a:bgClr>
              <a:schemeClr val="accent3">
                <a:lumMod val="20000"/>
                <a:lumOff val="80000"/>
              </a:schemeClr>
            </a:bgClr>
          </a:pattFill>
          <a:ln w="73025">
            <a:solidFill>
              <a:schemeClr val="accent3"/>
            </a:solidFill>
          </a:ln>
          <a:effectLst/>
          <a:sp3d contourW="73025">
            <a:contourClr>
              <a:schemeClr val="accent3"/>
            </a:contourClr>
          </a:sp3d>
        </c:spPr>
        <c:dLbl>
          <c:idx val="0"/>
          <c:layout>
            <c:manualLayout>
              <c:x val="7.1327662391980117E-3"/>
              <c:y val="-2.6391443181396686E-2"/>
            </c:manualLayout>
          </c:layout>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bg2">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pattFill prst="ltDnDiag">
            <a:fgClr>
              <a:schemeClr val="accent3"/>
            </a:fgClr>
            <a:bgClr>
              <a:schemeClr val="accent3">
                <a:lumMod val="20000"/>
                <a:lumOff val="80000"/>
              </a:schemeClr>
            </a:bgClr>
          </a:pattFill>
          <a:ln w="73025">
            <a:solidFill>
              <a:schemeClr val="accent3"/>
            </a:solidFill>
          </a:ln>
          <a:effectLst/>
          <a:sp3d contourW="73025">
            <a:contourClr>
              <a:schemeClr val="accent3"/>
            </a:contourClr>
          </a:sp3d>
        </c:spPr>
        <c:dLbl>
          <c:idx val="0"/>
          <c:layout>
            <c:manualLayout>
              <c:x val="-1.2757658069354518E-4"/>
              <c:y val="-2.4307969971693044E-2"/>
            </c:manualLayout>
          </c:layout>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bg2">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pattFill prst="ltDnDiag">
            <a:fgClr>
              <a:schemeClr val="accent3"/>
            </a:fgClr>
            <a:bgClr>
              <a:schemeClr val="accent3">
                <a:lumMod val="20000"/>
                <a:lumOff val="80000"/>
              </a:schemeClr>
            </a:bgClr>
          </a:pattFill>
          <a:ln w="73025">
            <a:solidFill>
              <a:schemeClr val="accent3"/>
            </a:solidFill>
          </a:ln>
          <a:effectLst/>
          <a:sp3d contourW="73025">
            <a:contourClr>
              <a:schemeClr val="accent3"/>
            </a:contourClr>
          </a:sp3d>
        </c:spPr>
        <c:dLbl>
          <c:idx val="0"/>
          <c:layout>
            <c:manualLayout>
              <c:x val="4.4774183656097781E-3"/>
              <c:y val="-2.518261176503336E-2"/>
            </c:manualLayout>
          </c:layout>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bg2">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pattFill prst="ltDnDiag">
            <a:fgClr>
              <a:schemeClr val="accent3"/>
            </a:fgClr>
            <a:bgClr>
              <a:schemeClr val="accent3">
                <a:lumMod val="20000"/>
                <a:lumOff val="80000"/>
              </a:schemeClr>
            </a:bgClr>
          </a:pattFill>
          <a:ln w="73025">
            <a:solidFill>
              <a:schemeClr val="accent3"/>
            </a:solidFill>
          </a:ln>
          <a:effectLst/>
          <a:sp3d contourW="73025">
            <a:contourClr>
              <a:schemeClr val="accent3"/>
            </a:contourClr>
          </a:sp3d>
        </c:spPr>
        <c:dLbl>
          <c:idx val="0"/>
          <c:layout>
            <c:manualLayout>
              <c:x val="-3.6351343959844661E-3"/>
              <c:y val="-4.3667717570575609E-3"/>
            </c:manualLayout>
          </c:layout>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bg2">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pattFill prst="ltDnDiag">
            <a:fgClr>
              <a:schemeClr val="accent1"/>
            </a:fgClr>
            <a:bgClr>
              <a:schemeClr val="accent1">
                <a:lumMod val="20000"/>
                <a:lumOff val="80000"/>
              </a:schemeClr>
            </a:bgClr>
          </a:pattFill>
          <a:ln w="82550">
            <a:solidFill>
              <a:schemeClr val="accent1"/>
            </a:solidFill>
          </a:ln>
          <a:effectLst/>
          <a:sp3d contourW="82550">
            <a:contourClr>
              <a:schemeClr val="accent1"/>
            </a:contourClr>
          </a:sp3d>
        </c:spPr>
        <c:dLbl>
          <c:idx val="0"/>
          <c:layout>
            <c:manualLayout>
              <c:x val="-1.6601823157240063E-2"/>
              <c:y val="-2.4491080856602111E-2"/>
            </c:manualLayout>
          </c:layout>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accen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pattFill prst="ltDnDiag">
            <a:fgClr>
              <a:schemeClr val="accent3"/>
            </a:fgClr>
            <a:bgClr>
              <a:schemeClr val="accent3">
                <a:lumMod val="20000"/>
                <a:lumOff val="80000"/>
              </a:schemeClr>
            </a:bgClr>
          </a:pattFill>
          <a:ln w="73025">
            <a:solidFill>
              <a:schemeClr val="accent3"/>
            </a:solidFill>
          </a:ln>
          <a:effectLst/>
          <a:sp3d contourW="73025">
            <a:contourClr>
              <a:schemeClr val="accent3"/>
            </a:contourClr>
          </a:sp3d>
        </c:spPr>
        <c:dLbl>
          <c:idx val="0"/>
          <c:layout>
            <c:manualLayout>
              <c:x val="5.6504141552786756E-3"/>
              <c:y val="-4.3775196910210822E-3"/>
            </c:manualLayout>
          </c:layout>
          <c:spPr>
            <a:noFill/>
            <a:ln w="12700" cap="flat" cmpd="sng" algn="ctr">
              <a:noFill/>
              <a:prstDash val="solid"/>
              <a:miter lim="800000"/>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bg2">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pattFill prst="ltDnDiag">
            <a:fgClr>
              <a:schemeClr val="accent1"/>
            </a:fgClr>
            <a:bgClr>
              <a:schemeClr val="accent1">
                <a:lumMod val="20000"/>
                <a:lumOff val="80000"/>
              </a:schemeClr>
            </a:bgClr>
          </a:pattFill>
          <a:ln w="82550">
            <a:solidFill>
              <a:schemeClr val="accent1"/>
            </a:solidFill>
          </a:ln>
          <a:effectLst/>
          <a:sp3d contourW="82550">
            <a:contourClr>
              <a:schemeClr val="accent1"/>
            </a:contourClr>
          </a:sp3d>
        </c:spPr>
        <c:dLbl>
          <c:idx val="0"/>
          <c:layout>
            <c:manualLayout>
              <c:x val="-1.9734882219265726E-2"/>
              <c:y val="0.14864791634401578"/>
            </c:manualLayout>
          </c:layout>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accen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pattFill prst="ltDnDiag">
            <a:fgClr>
              <a:schemeClr val="accent1"/>
            </a:fgClr>
            <a:bgClr>
              <a:schemeClr val="accent1">
                <a:lumMod val="20000"/>
                <a:lumOff val="80000"/>
              </a:schemeClr>
            </a:bgClr>
          </a:pattFill>
          <a:ln w="82550">
            <a:solidFill>
              <a:schemeClr val="accent1"/>
            </a:solidFill>
          </a:ln>
          <a:effectLst/>
          <a:sp3d contourW="82550">
            <a:contourClr>
              <a:schemeClr val="accent1"/>
            </a:contourClr>
          </a:sp3d>
        </c:spPr>
        <c:dLbl>
          <c:idx val="0"/>
          <c:layout>
            <c:manualLayout>
              <c:x val="-2.3029928120632408E-2"/>
              <c:y val="-6.3784934022273797E-3"/>
            </c:manualLayout>
          </c:layout>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accen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pattFill prst="ltDnDiag">
            <a:fgClr>
              <a:schemeClr val="accent1"/>
            </a:fgClr>
            <a:bgClr>
              <a:schemeClr val="accent1">
                <a:lumMod val="20000"/>
                <a:lumOff val="80000"/>
              </a:schemeClr>
            </a:bgClr>
          </a:pattFill>
          <a:ln w="82550">
            <a:solidFill>
              <a:schemeClr val="accent1"/>
            </a:solidFill>
          </a:ln>
          <a:effectLst/>
          <a:sp3d contourW="82550">
            <a:contourClr>
              <a:schemeClr val="accent1"/>
            </a:contourClr>
          </a:sp3d>
        </c:spPr>
        <c:dLbl>
          <c:idx val="0"/>
          <c:layout>
            <c:manualLayout>
              <c:x val="-2.9455891508238154E-2"/>
              <c:y val="-1.0703964763709916E-2"/>
            </c:manualLayout>
          </c:layout>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accen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pattFill prst="ltDnDiag">
            <a:fgClr>
              <a:schemeClr val="accent1"/>
            </a:fgClr>
            <a:bgClr>
              <a:schemeClr val="accent1">
                <a:lumMod val="20000"/>
                <a:lumOff val="80000"/>
              </a:schemeClr>
            </a:bgClr>
          </a:pattFill>
          <a:ln w="82550">
            <a:solidFill>
              <a:schemeClr val="accent1"/>
            </a:solidFill>
          </a:ln>
          <a:effectLst/>
          <a:sp3d contourW="82550">
            <a:contourClr>
              <a:schemeClr val="accent1"/>
            </a:contourClr>
          </a:sp3d>
        </c:spPr>
        <c:dLbl>
          <c:idx val="0"/>
          <c:layout>
            <c:manualLayout>
              <c:x val="-2.498612278022392E-2"/>
              <c:y val="-1.4599102193245837E-2"/>
            </c:manualLayout>
          </c:layout>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accen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0"/>
      <c:rotY val="0"/>
      <c:depthPercent val="100"/>
      <c:rAngAx val="0"/>
    </c:view3D>
    <c:floor>
      <c:thickness val="0"/>
      <c:spPr>
        <a:solidFill>
          <a:schemeClr val="lt1"/>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Dashboard!$J$12</c:f>
              <c:strCache>
                <c:ptCount val="1"/>
                <c:pt idx="0">
                  <c:v>lowest earnings</c:v>
                </c:pt>
              </c:strCache>
            </c:strRef>
          </c:tx>
          <c:spPr>
            <a:pattFill prst="ltDnDiag">
              <a:fgClr>
                <a:schemeClr val="accent1"/>
              </a:fgClr>
              <a:bgClr>
                <a:schemeClr val="accent1">
                  <a:lumMod val="20000"/>
                  <a:lumOff val="80000"/>
                </a:schemeClr>
              </a:bgClr>
            </a:pattFill>
            <a:ln w="82550">
              <a:solidFill>
                <a:schemeClr val="accent1"/>
              </a:solidFill>
            </a:ln>
            <a:effectLst/>
            <a:sp3d contourW="82550">
              <a:contourClr>
                <a:schemeClr val="accent1"/>
              </a:contourClr>
            </a:sp3d>
          </c:spPr>
          <c:invertIfNegative val="0"/>
          <c:dPt>
            <c:idx val="0"/>
            <c:invertIfNegative val="0"/>
            <c:bubble3D val="0"/>
            <c:spPr>
              <a:pattFill prst="ltDnDiag">
                <a:fgClr>
                  <a:schemeClr val="accent1"/>
                </a:fgClr>
                <a:bgClr>
                  <a:schemeClr val="accent1">
                    <a:lumMod val="20000"/>
                    <a:lumOff val="80000"/>
                  </a:schemeClr>
                </a:bgClr>
              </a:pattFill>
              <a:ln w="82550">
                <a:solidFill>
                  <a:schemeClr val="accent1"/>
                </a:solidFill>
              </a:ln>
              <a:effectLst/>
              <a:sp3d contourW="82550">
                <a:contourClr>
                  <a:schemeClr val="accent1"/>
                </a:contourClr>
              </a:sp3d>
            </c:spPr>
            <c:extLst>
              <c:ext xmlns:c16="http://schemas.microsoft.com/office/drawing/2014/chart" uri="{C3380CC4-5D6E-409C-BE32-E72D297353CC}">
                <c16:uniqueId val="{0000000A-B3C1-46EF-9BE4-578ED4257D80}"/>
              </c:ext>
            </c:extLst>
          </c:dPt>
          <c:dPt>
            <c:idx val="1"/>
            <c:invertIfNegative val="0"/>
            <c:bubble3D val="0"/>
            <c:spPr>
              <a:pattFill prst="ltDnDiag">
                <a:fgClr>
                  <a:schemeClr val="accent1"/>
                </a:fgClr>
                <a:bgClr>
                  <a:schemeClr val="accent1">
                    <a:lumMod val="20000"/>
                    <a:lumOff val="80000"/>
                  </a:schemeClr>
                </a:bgClr>
              </a:pattFill>
              <a:ln w="82550">
                <a:solidFill>
                  <a:schemeClr val="accent1"/>
                </a:solidFill>
              </a:ln>
              <a:effectLst/>
              <a:sp3d contourW="82550">
                <a:contourClr>
                  <a:schemeClr val="accent1"/>
                </a:contourClr>
              </a:sp3d>
            </c:spPr>
            <c:extLst>
              <c:ext xmlns:c16="http://schemas.microsoft.com/office/drawing/2014/chart" uri="{C3380CC4-5D6E-409C-BE32-E72D297353CC}">
                <c16:uniqueId val="{00000008-B3C1-46EF-9BE4-578ED4257D80}"/>
              </c:ext>
            </c:extLst>
          </c:dPt>
          <c:dPt>
            <c:idx val="2"/>
            <c:invertIfNegative val="0"/>
            <c:bubble3D val="0"/>
            <c:spPr>
              <a:pattFill prst="ltDnDiag">
                <a:fgClr>
                  <a:schemeClr val="accent1"/>
                </a:fgClr>
                <a:bgClr>
                  <a:schemeClr val="accent1">
                    <a:lumMod val="20000"/>
                    <a:lumOff val="80000"/>
                  </a:schemeClr>
                </a:bgClr>
              </a:pattFill>
              <a:ln w="82550">
                <a:solidFill>
                  <a:schemeClr val="accent1"/>
                </a:solidFill>
              </a:ln>
              <a:effectLst/>
              <a:sp3d contourW="82550">
                <a:contourClr>
                  <a:schemeClr val="accent1"/>
                </a:contourClr>
              </a:sp3d>
            </c:spPr>
            <c:extLst>
              <c:ext xmlns:c16="http://schemas.microsoft.com/office/drawing/2014/chart" uri="{C3380CC4-5D6E-409C-BE32-E72D297353CC}">
                <c16:uniqueId val="{0000000B-B3C1-46EF-9BE4-578ED4257D80}"/>
              </c:ext>
            </c:extLst>
          </c:dPt>
          <c:dPt>
            <c:idx val="3"/>
            <c:invertIfNegative val="0"/>
            <c:bubble3D val="0"/>
            <c:spPr>
              <a:pattFill prst="ltDnDiag">
                <a:fgClr>
                  <a:schemeClr val="accent1"/>
                </a:fgClr>
                <a:bgClr>
                  <a:schemeClr val="accent1">
                    <a:lumMod val="20000"/>
                    <a:lumOff val="80000"/>
                  </a:schemeClr>
                </a:bgClr>
              </a:pattFill>
              <a:ln w="82550">
                <a:solidFill>
                  <a:schemeClr val="accent1"/>
                </a:solidFill>
              </a:ln>
              <a:effectLst/>
              <a:sp3d contourW="82550">
                <a:contourClr>
                  <a:schemeClr val="accent1"/>
                </a:contourClr>
              </a:sp3d>
            </c:spPr>
            <c:extLst>
              <c:ext xmlns:c16="http://schemas.microsoft.com/office/drawing/2014/chart" uri="{C3380CC4-5D6E-409C-BE32-E72D297353CC}">
                <c16:uniqueId val="{0000000C-B3C1-46EF-9BE4-578ED4257D80}"/>
              </c:ext>
            </c:extLst>
          </c:dPt>
          <c:dPt>
            <c:idx val="4"/>
            <c:invertIfNegative val="0"/>
            <c:bubble3D val="0"/>
            <c:spPr>
              <a:pattFill prst="ltDnDiag">
                <a:fgClr>
                  <a:schemeClr val="accent1"/>
                </a:fgClr>
                <a:bgClr>
                  <a:schemeClr val="accent1">
                    <a:lumMod val="20000"/>
                    <a:lumOff val="80000"/>
                  </a:schemeClr>
                </a:bgClr>
              </a:pattFill>
              <a:ln w="82550">
                <a:solidFill>
                  <a:schemeClr val="accent1"/>
                </a:solidFill>
              </a:ln>
              <a:effectLst/>
              <a:sp3d contourW="82550">
                <a:contourClr>
                  <a:schemeClr val="accent1"/>
                </a:contourClr>
              </a:sp3d>
            </c:spPr>
            <c:extLst>
              <c:ext xmlns:c16="http://schemas.microsoft.com/office/drawing/2014/chart" uri="{C3380CC4-5D6E-409C-BE32-E72D297353CC}">
                <c16:uniqueId val="{0000000D-B3C1-46EF-9BE4-578ED4257D80}"/>
              </c:ext>
            </c:extLst>
          </c:dPt>
          <c:dLbls>
            <c:dLbl>
              <c:idx val="0"/>
              <c:layout>
                <c:manualLayout>
                  <c:x val="-1.9734882219265726E-2"/>
                  <c:y val="0.1486479163440157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B3C1-46EF-9BE4-578ED4257D80}"/>
                </c:ext>
              </c:extLst>
            </c:dLbl>
            <c:dLbl>
              <c:idx val="1"/>
              <c:layout>
                <c:manualLayout>
                  <c:x val="-1.6601823157240063E-2"/>
                  <c:y val="-2.449108085660211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B3C1-46EF-9BE4-578ED4257D80}"/>
                </c:ext>
              </c:extLst>
            </c:dLbl>
            <c:dLbl>
              <c:idx val="2"/>
              <c:layout>
                <c:manualLayout>
                  <c:x val="-2.3029928120632408E-2"/>
                  <c:y val="-6.3784934022273797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B3C1-46EF-9BE4-578ED4257D80}"/>
                </c:ext>
              </c:extLst>
            </c:dLbl>
            <c:dLbl>
              <c:idx val="3"/>
              <c:layout>
                <c:manualLayout>
                  <c:x val="-2.9455891508238154E-2"/>
                  <c:y val="-1.070396476370991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B3C1-46EF-9BE4-578ED4257D80}"/>
                </c:ext>
              </c:extLst>
            </c:dLbl>
            <c:dLbl>
              <c:idx val="4"/>
              <c:layout>
                <c:manualLayout>
                  <c:x val="-2.498612278022392E-2"/>
                  <c:y val="-1.459910219324583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B3C1-46EF-9BE4-578ED4257D80}"/>
                </c:ext>
              </c:extLst>
            </c:dLbl>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accen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Dashboard!$I$13:$I$17</c:f>
              <c:strCache>
                <c:ptCount val="5"/>
                <c:pt idx="0">
                  <c:v>15-11-2024</c:v>
                </c:pt>
                <c:pt idx="1">
                  <c:v>22-01-2025</c:v>
                </c:pt>
                <c:pt idx="2">
                  <c:v>29-01-2025</c:v>
                </c:pt>
                <c:pt idx="3">
                  <c:v>29-12-2024</c:v>
                </c:pt>
                <c:pt idx="4">
                  <c:v>15-01-2025</c:v>
                </c:pt>
              </c:strCache>
            </c:strRef>
          </c:cat>
          <c:val>
            <c:numRef>
              <c:f>Dashboard!$J$13:$J$17</c:f>
              <c:numCache>
                <c:formatCode>"₹"\ #,##0</c:formatCode>
                <c:ptCount val="5"/>
                <c:pt idx="0">
                  <c:v>-50</c:v>
                </c:pt>
                <c:pt idx="1">
                  <c:v>60</c:v>
                </c:pt>
                <c:pt idx="2">
                  <c:v>400</c:v>
                </c:pt>
                <c:pt idx="3">
                  <c:v>600</c:v>
                </c:pt>
                <c:pt idx="4">
                  <c:v>800</c:v>
                </c:pt>
              </c:numCache>
            </c:numRef>
          </c:val>
          <c:extLst>
            <c:ext xmlns:c16="http://schemas.microsoft.com/office/drawing/2014/chart" uri="{C3380CC4-5D6E-409C-BE32-E72D297353CC}">
              <c16:uniqueId val="{00000000-B3C1-46EF-9BE4-578ED4257D80}"/>
            </c:ext>
          </c:extLst>
        </c:ser>
        <c:ser>
          <c:idx val="1"/>
          <c:order val="1"/>
          <c:tx>
            <c:strRef>
              <c:f>Dashboard!$K$12</c:f>
              <c:strCache>
                <c:ptCount val="1"/>
                <c:pt idx="0">
                  <c:v>Clicks </c:v>
                </c:pt>
              </c:strCache>
            </c:strRef>
          </c:tx>
          <c:spPr>
            <a:pattFill prst="ltDnDiag">
              <a:fgClr>
                <a:schemeClr val="accent2"/>
              </a:fgClr>
              <a:bgClr>
                <a:schemeClr val="accent2">
                  <a:lumMod val="20000"/>
                  <a:lumOff val="80000"/>
                </a:schemeClr>
              </a:bgClr>
            </a:pattFill>
            <a:ln w="50800">
              <a:solidFill>
                <a:schemeClr val="accent2"/>
              </a:solidFill>
            </a:ln>
            <a:effectLst/>
            <a:sp3d contourW="50800">
              <a:contourClr>
                <a:schemeClr val="accent2"/>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Dashboard!$I$13:$I$17</c:f>
              <c:strCache>
                <c:ptCount val="5"/>
                <c:pt idx="0">
                  <c:v>15-11-2024</c:v>
                </c:pt>
                <c:pt idx="1">
                  <c:v>22-01-2025</c:v>
                </c:pt>
                <c:pt idx="2">
                  <c:v>29-01-2025</c:v>
                </c:pt>
                <c:pt idx="3">
                  <c:v>29-12-2024</c:v>
                </c:pt>
                <c:pt idx="4">
                  <c:v>15-01-2025</c:v>
                </c:pt>
              </c:strCache>
            </c:strRef>
          </c:cat>
          <c:val>
            <c:numRef>
              <c:f>Dashboard!$K$13:$K$17</c:f>
              <c:numCache>
                <c:formatCode>General</c:formatCode>
                <c:ptCount val="5"/>
                <c:pt idx="0">
                  <c:v>2000</c:v>
                </c:pt>
                <c:pt idx="1">
                  <c:v>1000</c:v>
                </c:pt>
                <c:pt idx="2">
                  <c:v>900</c:v>
                </c:pt>
                <c:pt idx="3">
                  <c:v>1100</c:v>
                </c:pt>
                <c:pt idx="4">
                  <c:v>2600</c:v>
                </c:pt>
              </c:numCache>
            </c:numRef>
          </c:val>
          <c:extLst>
            <c:ext xmlns:c16="http://schemas.microsoft.com/office/drawing/2014/chart" uri="{C3380CC4-5D6E-409C-BE32-E72D297353CC}">
              <c16:uniqueId val="{00000001-B3C1-46EF-9BE4-578ED4257D80}"/>
            </c:ext>
          </c:extLst>
        </c:ser>
        <c:ser>
          <c:idx val="2"/>
          <c:order val="2"/>
          <c:tx>
            <c:strRef>
              <c:f>Dashboard!$L$12</c:f>
              <c:strCache>
                <c:ptCount val="1"/>
                <c:pt idx="0">
                  <c:v>posts</c:v>
                </c:pt>
              </c:strCache>
            </c:strRef>
          </c:tx>
          <c:spPr>
            <a:pattFill prst="ltDnDiag">
              <a:fgClr>
                <a:schemeClr val="accent3"/>
              </a:fgClr>
              <a:bgClr>
                <a:schemeClr val="accent3">
                  <a:lumMod val="20000"/>
                  <a:lumOff val="80000"/>
                </a:schemeClr>
              </a:bgClr>
            </a:pattFill>
            <a:ln w="73025">
              <a:solidFill>
                <a:schemeClr val="accent3"/>
              </a:solidFill>
            </a:ln>
            <a:effectLst/>
            <a:sp3d contourW="73025">
              <a:contourClr>
                <a:schemeClr val="accent3"/>
              </a:contourClr>
            </a:sp3d>
          </c:spPr>
          <c:invertIfNegative val="0"/>
          <c:dPt>
            <c:idx val="0"/>
            <c:invertIfNegative val="0"/>
            <c:bubble3D val="0"/>
            <c:spPr>
              <a:pattFill prst="ltDnDiag">
                <a:fgClr>
                  <a:schemeClr val="accent3"/>
                </a:fgClr>
                <a:bgClr>
                  <a:schemeClr val="accent3">
                    <a:lumMod val="20000"/>
                    <a:lumOff val="80000"/>
                  </a:schemeClr>
                </a:bgClr>
              </a:pattFill>
              <a:ln w="73025">
                <a:solidFill>
                  <a:schemeClr val="accent3"/>
                </a:solidFill>
              </a:ln>
              <a:effectLst/>
              <a:sp3d contourW="73025">
                <a:contourClr>
                  <a:schemeClr val="accent3"/>
                </a:contourClr>
              </a:sp3d>
            </c:spPr>
            <c:extLst>
              <c:ext xmlns:c16="http://schemas.microsoft.com/office/drawing/2014/chart" uri="{C3380CC4-5D6E-409C-BE32-E72D297353CC}">
                <c16:uniqueId val="{00000009-B3C1-46EF-9BE4-578ED4257D80}"/>
              </c:ext>
            </c:extLst>
          </c:dPt>
          <c:dPt>
            <c:idx val="1"/>
            <c:invertIfNegative val="0"/>
            <c:bubble3D val="0"/>
            <c:spPr>
              <a:pattFill prst="ltDnDiag">
                <a:fgClr>
                  <a:schemeClr val="accent3"/>
                </a:fgClr>
                <a:bgClr>
                  <a:schemeClr val="accent3">
                    <a:lumMod val="20000"/>
                    <a:lumOff val="80000"/>
                  </a:schemeClr>
                </a:bgClr>
              </a:pattFill>
              <a:ln w="73025">
                <a:solidFill>
                  <a:schemeClr val="accent3"/>
                </a:solidFill>
              </a:ln>
              <a:effectLst/>
              <a:sp3d contourW="73025">
                <a:contourClr>
                  <a:schemeClr val="accent3"/>
                </a:contourClr>
              </a:sp3d>
            </c:spPr>
            <c:extLst>
              <c:ext xmlns:c16="http://schemas.microsoft.com/office/drawing/2014/chart" uri="{C3380CC4-5D6E-409C-BE32-E72D297353CC}">
                <c16:uniqueId val="{00000007-B3C1-46EF-9BE4-578ED4257D80}"/>
              </c:ext>
            </c:extLst>
          </c:dPt>
          <c:dPt>
            <c:idx val="2"/>
            <c:invertIfNegative val="0"/>
            <c:bubble3D val="0"/>
            <c:spPr>
              <a:pattFill prst="ltDnDiag">
                <a:fgClr>
                  <a:schemeClr val="accent3"/>
                </a:fgClr>
                <a:bgClr>
                  <a:schemeClr val="accent3">
                    <a:lumMod val="20000"/>
                    <a:lumOff val="80000"/>
                  </a:schemeClr>
                </a:bgClr>
              </a:pattFill>
              <a:ln w="73025">
                <a:solidFill>
                  <a:schemeClr val="accent3"/>
                </a:solidFill>
              </a:ln>
              <a:effectLst/>
              <a:sp3d contourW="73025">
                <a:contourClr>
                  <a:schemeClr val="accent3"/>
                </a:contourClr>
              </a:sp3d>
            </c:spPr>
            <c:extLst>
              <c:ext xmlns:c16="http://schemas.microsoft.com/office/drawing/2014/chart" uri="{C3380CC4-5D6E-409C-BE32-E72D297353CC}">
                <c16:uniqueId val="{00000006-B3C1-46EF-9BE4-578ED4257D80}"/>
              </c:ext>
            </c:extLst>
          </c:dPt>
          <c:dPt>
            <c:idx val="3"/>
            <c:invertIfNegative val="0"/>
            <c:bubble3D val="0"/>
            <c:spPr>
              <a:pattFill prst="ltDnDiag">
                <a:fgClr>
                  <a:schemeClr val="accent3"/>
                </a:fgClr>
                <a:bgClr>
                  <a:schemeClr val="accent3">
                    <a:lumMod val="20000"/>
                    <a:lumOff val="80000"/>
                  </a:schemeClr>
                </a:bgClr>
              </a:pattFill>
              <a:ln w="73025">
                <a:solidFill>
                  <a:schemeClr val="accent3"/>
                </a:solidFill>
              </a:ln>
              <a:effectLst/>
              <a:sp3d contourW="73025">
                <a:contourClr>
                  <a:schemeClr val="accent3"/>
                </a:contourClr>
              </a:sp3d>
            </c:spPr>
            <c:extLst>
              <c:ext xmlns:c16="http://schemas.microsoft.com/office/drawing/2014/chart" uri="{C3380CC4-5D6E-409C-BE32-E72D297353CC}">
                <c16:uniqueId val="{00000005-B3C1-46EF-9BE4-578ED4257D80}"/>
              </c:ext>
            </c:extLst>
          </c:dPt>
          <c:dPt>
            <c:idx val="4"/>
            <c:invertIfNegative val="0"/>
            <c:bubble3D val="0"/>
            <c:spPr>
              <a:pattFill prst="ltDnDiag">
                <a:fgClr>
                  <a:schemeClr val="accent3"/>
                </a:fgClr>
                <a:bgClr>
                  <a:schemeClr val="accent3">
                    <a:lumMod val="20000"/>
                    <a:lumOff val="80000"/>
                  </a:schemeClr>
                </a:bgClr>
              </a:pattFill>
              <a:ln w="73025">
                <a:solidFill>
                  <a:schemeClr val="accent3"/>
                </a:solidFill>
              </a:ln>
              <a:effectLst/>
              <a:sp3d contourW="73025">
                <a:contourClr>
                  <a:schemeClr val="accent3"/>
                </a:contourClr>
              </a:sp3d>
            </c:spPr>
            <c:extLst>
              <c:ext xmlns:c16="http://schemas.microsoft.com/office/drawing/2014/chart" uri="{C3380CC4-5D6E-409C-BE32-E72D297353CC}">
                <c16:uniqueId val="{00000004-B3C1-46EF-9BE4-578ED4257D80}"/>
              </c:ext>
            </c:extLst>
          </c:dPt>
          <c:dLbls>
            <c:dLbl>
              <c:idx val="0"/>
              <c:layout>
                <c:manualLayout>
                  <c:x val="5.6504141552786756E-3"/>
                  <c:y val="-4.3775196910210822E-3"/>
                </c:manualLayout>
              </c:layout>
              <c:spPr>
                <a:noFill/>
                <a:ln w="12700" cap="flat" cmpd="sng" algn="ctr">
                  <a:noFill/>
                  <a:prstDash val="solid"/>
                  <a:miter lim="800000"/>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bg2">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B3C1-46EF-9BE4-578ED4257D80}"/>
                </c:ext>
              </c:extLst>
            </c:dLbl>
            <c:dLbl>
              <c:idx val="1"/>
              <c:layout>
                <c:manualLayout>
                  <c:x val="-3.6351343959844661E-3"/>
                  <c:y val="-4.36677175705756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3C1-46EF-9BE4-578ED4257D80}"/>
                </c:ext>
              </c:extLst>
            </c:dLbl>
            <c:dLbl>
              <c:idx val="2"/>
              <c:layout>
                <c:manualLayout>
                  <c:x val="4.4774183656097781E-3"/>
                  <c:y val="-2.51826117650333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3C1-46EF-9BE4-578ED4257D80}"/>
                </c:ext>
              </c:extLst>
            </c:dLbl>
            <c:dLbl>
              <c:idx val="3"/>
              <c:layout>
                <c:manualLayout>
                  <c:x val="-1.2757658069354518E-4"/>
                  <c:y val="-2.430796997169304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3C1-46EF-9BE4-578ED4257D80}"/>
                </c:ext>
              </c:extLst>
            </c:dLbl>
            <c:dLbl>
              <c:idx val="4"/>
              <c:layout>
                <c:manualLayout>
                  <c:x val="7.1327662391980117E-3"/>
                  <c:y val="-2.639144318139668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3C1-46EF-9BE4-578ED4257D80}"/>
                </c:ext>
              </c:extLst>
            </c:dLbl>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bg2">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Dashboard!$I$13:$I$17</c:f>
              <c:strCache>
                <c:ptCount val="5"/>
                <c:pt idx="0">
                  <c:v>15-11-2024</c:v>
                </c:pt>
                <c:pt idx="1">
                  <c:v>22-01-2025</c:v>
                </c:pt>
                <c:pt idx="2">
                  <c:v>29-01-2025</c:v>
                </c:pt>
                <c:pt idx="3">
                  <c:v>29-12-2024</c:v>
                </c:pt>
                <c:pt idx="4">
                  <c:v>15-01-2025</c:v>
                </c:pt>
              </c:strCache>
            </c:strRef>
          </c:cat>
          <c:val>
            <c:numRef>
              <c:f>Dashboard!$L$13:$L$17</c:f>
              <c:numCache>
                <c:formatCode>General</c:formatCode>
                <c:ptCount val="5"/>
                <c:pt idx="0">
                  <c:v>18</c:v>
                </c:pt>
                <c:pt idx="1">
                  <c:v>8</c:v>
                </c:pt>
                <c:pt idx="2">
                  <c:v>12</c:v>
                </c:pt>
                <c:pt idx="3">
                  <c:v>7</c:v>
                </c:pt>
                <c:pt idx="4">
                  <c:v>41</c:v>
                </c:pt>
              </c:numCache>
            </c:numRef>
          </c:val>
          <c:extLst>
            <c:ext xmlns:c16="http://schemas.microsoft.com/office/drawing/2014/chart" uri="{C3380CC4-5D6E-409C-BE32-E72D297353CC}">
              <c16:uniqueId val="{00000002-B3C1-46EF-9BE4-578ED4257D80}"/>
            </c:ext>
          </c:extLst>
        </c:ser>
        <c:dLbls>
          <c:showLegendKey val="0"/>
          <c:showVal val="1"/>
          <c:showCatName val="0"/>
          <c:showSerName val="0"/>
          <c:showPercent val="0"/>
          <c:showBubbleSize val="0"/>
        </c:dLbls>
        <c:gapWidth val="160"/>
        <c:gapDepth val="0"/>
        <c:shape val="box"/>
        <c:axId val="381827936"/>
        <c:axId val="381826976"/>
        <c:axId val="0"/>
      </c:bar3DChart>
      <c:catAx>
        <c:axId val="381827936"/>
        <c:scaling>
          <c:orientation val="minMax"/>
        </c:scaling>
        <c:delete val="0"/>
        <c:axPos val="b"/>
        <c:minorGridlines>
          <c:spPr>
            <a:ln>
              <a:solidFill>
                <a:schemeClr val="tx1">
                  <a:lumMod val="5000"/>
                  <a:lumOff val="95000"/>
                </a:schemeClr>
              </a:solidFill>
            </a:ln>
            <a:effectLst/>
          </c:spPr>
        </c:minorGridlines>
        <c:numFmt formatCode="General" sourceLinked="1"/>
        <c:majorTickMark val="none"/>
        <c:minorTickMark val="none"/>
        <c:tickLblPos val="nextTo"/>
        <c:spPr>
          <a:noFill/>
          <a:ln>
            <a:solidFill>
              <a:schemeClr val="tx1">
                <a:lumMod val="15000"/>
                <a:lumOff val="85000"/>
                <a:alpha val="90000"/>
              </a:schemeClr>
            </a:solidFill>
          </a:ln>
          <a:effectLst/>
        </c:spPr>
        <c:txPr>
          <a:bodyPr rot="-60000000" spcFirstLastPara="1" vertOverflow="ellipsis" vert="horz" wrap="square" anchor="ctr" anchorCtr="1"/>
          <a:lstStyle/>
          <a:p>
            <a:pPr>
              <a:defRPr sz="1400" b="0" i="0" u="none" strike="noStrike" kern="1200" baseline="0">
                <a:ln w="28575">
                  <a:noFill/>
                </a:ln>
                <a:solidFill>
                  <a:schemeClr val="tx1">
                    <a:lumMod val="65000"/>
                    <a:lumOff val="35000"/>
                  </a:schemeClr>
                </a:solidFill>
                <a:latin typeface="+mn-lt"/>
                <a:ea typeface="+mn-ea"/>
                <a:cs typeface="+mn-cs"/>
              </a:defRPr>
            </a:pPr>
            <a:endParaRPr lang="en-US"/>
          </a:p>
        </c:txPr>
        <c:crossAx val="381826976"/>
        <c:crosses val="autoZero"/>
        <c:auto val="1"/>
        <c:lblAlgn val="ctr"/>
        <c:lblOffset val="100"/>
        <c:noMultiLvlLbl val="0"/>
      </c:catAx>
      <c:valAx>
        <c:axId val="381826976"/>
        <c:scaling>
          <c:orientation val="minMax"/>
        </c:scaling>
        <c:delete val="0"/>
        <c:axPos val="l"/>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381827936"/>
        <c:crosses val="autoZero"/>
        <c:crossBetween val="between"/>
      </c:valAx>
      <c:spPr>
        <a:noFill/>
        <a:ln>
          <a:noFill/>
        </a:ln>
        <a:effectLst/>
      </c:spPr>
    </c:plotArea>
    <c:legend>
      <c:legendPos val="r"/>
      <c:layout>
        <c:manualLayout>
          <c:xMode val="edge"/>
          <c:yMode val="edge"/>
          <c:x val="0.80539712240453643"/>
          <c:y val="0.32444149655687582"/>
          <c:w val="0.18641671933067125"/>
          <c:h val="0.33390887639561606"/>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[again save.xlsm]Dashboard!PivotTable10</c:name>
    <c:fmtId val="2"/>
  </c:pivotSource>
  <c:chart>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902537182852144"/>
          <c:y val="0.17490522018081076"/>
          <c:w val="0.66094597550306211"/>
          <c:h val="0.65853091280256637"/>
        </c:manualLayout>
      </c:layout>
      <c:barChart>
        <c:barDir val="col"/>
        <c:grouping val="clustered"/>
        <c:varyColors val="0"/>
        <c:ser>
          <c:idx val="0"/>
          <c:order val="0"/>
          <c:tx>
            <c:strRef>
              <c:f>Dashboard!$R$12</c:f>
              <c:strCache>
                <c:ptCount val="1"/>
                <c:pt idx="0">
                  <c:v>top clicks </c:v>
                </c:pt>
              </c:strCache>
            </c:strRef>
          </c:tx>
          <c:spPr>
            <a:solidFill>
              <a:schemeClr val="accent1"/>
            </a:solidFill>
            <a:ln>
              <a:noFill/>
            </a:ln>
            <a:effectLst/>
          </c:spPr>
          <c:invertIfNegative val="0"/>
          <c:cat>
            <c:strRef>
              <c:f>Dashboard!$Q$13:$Q$17</c:f>
              <c:strCache>
                <c:ptCount val="5"/>
                <c:pt idx="0">
                  <c:v>01-03-2025</c:v>
                </c:pt>
                <c:pt idx="1">
                  <c:v>15-05-2025</c:v>
                </c:pt>
                <c:pt idx="2">
                  <c:v>08-04-2025</c:v>
                </c:pt>
                <c:pt idx="3">
                  <c:v>22-04-2025</c:v>
                </c:pt>
                <c:pt idx="4">
                  <c:v>01-05-2025</c:v>
                </c:pt>
              </c:strCache>
            </c:strRef>
          </c:cat>
          <c:val>
            <c:numRef>
              <c:f>Dashboard!$R$13:$R$17</c:f>
              <c:numCache>
                <c:formatCode>General</c:formatCode>
                <c:ptCount val="5"/>
                <c:pt idx="0">
                  <c:v>9000</c:v>
                </c:pt>
                <c:pt idx="1">
                  <c:v>9000</c:v>
                </c:pt>
                <c:pt idx="2">
                  <c:v>9400</c:v>
                </c:pt>
                <c:pt idx="3">
                  <c:v>10000</c:v>
                </c:pt>
                <c:pt idx="4">
                  <c:v>14500</c:v>
                </c:pt>
              </c:numCache>
            </c:numRef>
          </c:val>
          <c:extLst>
            <c:ext xmlns:c16="http://schemas.microsoft.com/office/drawing/2014/chart" uri="{C3380CC4-5D6E-409C-BE32-E72D297353CC}">
              <c16:uniqueId val="{00000000-3A83-4AAD-8FE5-839233B626FA}"/>
            </c:ext>
          </c:extLst>
        </c:ser>
        <c:dLbls>
          <c:showLegendKey val="0"/>
          <c:showVal val="0"/>
          <c:showCatName val="0"/>
          <c:showSerName val="0"/>
          <c:showPercent val="0"/>
          <c:showBubbleSize val="0"/>
        </c:dLbls>
        <c:gapWidth val="150"/>
        <c:axId val="436934192"/>
        <c:axId val="436928912"/>
      </c:barChart>
      <c:lineChart>
        <c:grouping val="standard"/>
        <c:varyColors val="0"/>
        <c:ser>
          <c:idx val="1"/>
          <c:order val="1"/>
          <c:tx>
            <c:strRef>
              <c:f>Dashboard!$S$12</c:f>
              <c:strCache>
                <c:ptCount val="1"/>
                <c:pt idx="0">
                  <c:v>posts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Dashboard!$Q$13:$Q$17</c:f>
              <c:strCache>
                <c:ptCount val="5"/>
                <c:pt idx="0">
                  <c:v>01-03-2025</c:v>
                </c:pt>
                <c:pt idx="1">
                  <c:v>15-05-2025</c:v>
                </c:pt>
                <c:pt idx="2">
                  <c:v>08-04-2025</c:v>
                </c:pt>
                <c:pt idx="3">
                  <c:v>22-04-2025</c:v>
                </c:pt>
                <c:pt idx="4">
                  <c:v>01-05-2025</c:v>
                </c:pt>
              </c:strCache>
            </c:strRef>
          </c:cat>
          <c:val>
            <c:numRef>
              <c:f>Dashboard!$S$13:$S$17</c:f>
              <c:numCache>
                <c:formatCode>General</c:formatCode>
                <c:ptCount val="5"/>
                <c:pt idx="0">
                  <c:v>74</c:v>
                </c:pt>
                <c:pt idx="1">
                  <c:v>97</c:v>
                </c:pt>
                <c:pt idx="2">
                  <c:v>63</c:v>
                </c:pt>
                <c:pt idx="3">
                  <c:v>57</c:v>
                </c:pt>
                <c:pt idx="4">
                  <c:v>99</c:v>
                </c:pt>
              </c:numCache>
            </c:numRef>
          </c:val>
          <c:smooth val="0"/>
          <c:extLst>
            <c:ext xmlns:c16="http://schemas.microsoft.com/office/drawing/2014/chart" uri="{C3380CC4-5D6E-409C-BE32-E72D297353CC}">
              <c16:uniqueId val="{00000001-3A83-4AAD-8FE5-839233B626FA}"/>
            </c:ext>
          </c:extLst>
        </c:ser>
        <c:dLbls>
          <c:showLegendKey val="0"/>
          <c:showVal val="0"/>
          <c:showCatName val="0"/>
          <c:showSerName val="0"/>
          <c:showPercent val="0"/>
          <c:showBubbleSize val="0"/>
        </c:dLbls>
        <c:marker val="1"/>
        <c:smooth val="0"/>
        <c:axId val="1962759615"/>
        <c:axId val="1962756735"/>
      </c:lineChart>
      <c:catAx>
        <c:axId val="436934192"/>
        <c:scaling>
          <c:orientation val="minMax"/>
        </c:scaling>
        <c:delete val="0"/>
        <c:axPos val="b"/>
        <c:numFmt formatCode="General" sourceLinked="1"/>
        <c:majorTickMark val="none"/>
        <c:minorTickMark val="none"/>
        <c:tickLblPos val="nextTo"/>
        <c:spPr>
          <a:noFill/>
          <a:ln w="222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436928912"/>
        <c:crosses val="autoZero"/>
        <c:auto val="1"/>
        <c:lblAlgn val="ctr"/>
        <c:lblOffset val="100"/>
        <c:noMultiLvlLbl val="0"/>
      </c:catAx>
      <c:valAx>
        <c:axId val="4369289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436934192"/>
        <c:crosses val="autoZero"/>
        <c:crossBetween val="between"/>
      </c:valAx>
      <c:valAx>
        <c:axId val="1962756735"/>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759615"/>
        <c:crosses val="max"/>
        <c:crossBetween val="between"/>
      </c:valAx>
      <c:catAx>
        <c:axId val="1962759615"/>
        <c:scaling>
          <c:orientation val="minMax"/>
        </c:scaling>
        <c:delete val="1"/>
        <c:axPos val="b"/>
        <c:numFmt formatCode="General" sourceLinked="1"/>
        <c:majorTickMark val="out"/>
        <c:minorTickMark val="none"/>
        <c:tickLblPos val="nextTo"/>
        <c:crossAx val="1962756735"/>
        <c:auto val="1"/>
        <c:lblAlgn val="ctr"/>
        <c:lblOffset val="100"/>
        <c:noMultiLvlLbl val="0"/>
      </c:catAx>
      <c:spPr>
        <a:noFill/>
        <a:ln>
          <a:noFill/>
        </a:ln>
        <a:effectLst/>
      </c:spPr>
    </c:plotArea>
    <c:legend>
      <c:legendPos val="r"/>
      <c:layout>
        <c:manualLayout>
          <c:xMode val="edge"/>
          <c:yMode val="edge"/>
          <c:x val="0.15485318426850642"/>
          <c:y val="1.8213689971220595E-2"/>
          <c:w val="0.3964051954313485"/>
          <c:h val="0.11270941878362024"/>
        </c:manualLayout>
      </c:layout>
      <c:overlay val="0"/>
      <c:spPr>
        <a:noFill/>
        <a:ln w="25400">
          <a:solidFill>
            <a:schemeClr val="tx1">
              <a:lumMod val="15000"/>
              <a:lumOff val="85000"/>
            </a:schemeClr>
          </a:solid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2">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[again save.xlsm]Dashboard!PivotTable18</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sz="2400" b="1" i="0" u="none" strike="noStrike" baseline="0">
                <a:effectLst>
                  <a:outerShdw blurRad="50800" dist="38100" dir="5400000" algn="t" rotWithShape="0">
                    <a:prstClr val="black">
                      <a:alpha val="40000"/>
                    </a:prstClr>
                  </a:outerShdw>
                </a:effectLst>
              </a:rPr>
              <a:t>+161% Growth (Nov '24 to May '25)</a:t>
            </a:r>
            <a:endParaRPr lang="en-IN" sz="2400"/>
          </a:p>
        </c:rich>
      </c:tx>
      <c:layout>
        <c:manualLayout>
          <c:xMode val="edge"/>
          <c:yMode val="edge"/>
          <c:x val="8.6780412282317261E-3"/>
          <c:y val="3.395143260378917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layout>
            <c:manualLayout>
              <c:x val="-2.2562864917179286E-2"/>
              <c:y val="-9.8011524916325268E-2"/>
            </c:manualLayout>
          </c:layout>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lt1">
                      <a:lumMod val="8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layout>
            <c:manualLayout>
              <c:x val="-2.3829388043835126E-2"/>
              <c:y val="-0.11370734258161543"/>
            </c:manualLayout>
          </c:layout>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lt1">
                      <a:lumMod val="8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558477438569593"/>
          <c:y val="0.20071507625601492"/>
          <c:w val="0.68225920052347222"/>
          <c:h val="0.69165696109174246"/>
        </c:manualLayout>
      </c:layout>
      <c:barChart>
        <c:barDir val="col"/>
        <c:grouping val="clustered"/>
        <c:varyColors val="0"/>
        <c:ser>
          <c:idx val="0"/>
          <c:order val="0"/>
          <c:tx>
            <c:strRef>
              <c:f>Dashboard!$C$49</c:f>
              <c:strCache>
                <c:ptCount val="1"/>
                <c:pt idx="0">
                  <c:v>earnings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Dashboard!$B$50:$B$56</c:f>
              <c:strCache>
                <c:ptCount val="7"/>
                <c:pt idx="0">
                  <c:v>Nov</c:v>
                </c:pt>
                <c:pt idx="1">
                  <c:v>Dec</c:v>
                </c:pt>
                <c:pt idx="2">
                  <c:v>Jan</c:v>
                </c:pt>
                <c:pt idx="3">
                  <c:v>Feb</c:v>
                </c:pt>
                <c:pt idx="4">
                  <c:v>Mar</c:v>
                </c:pt>
                <c:pt idx="5">
                  <c:v>Apr</c:v>
                </c:pt>
                <c:pt idx="6">
                  <c:v>May</c:v>
                </c:pt>
              </c:strCache>
            </c:strRef>
          </c:cat>
          <c:val>
            <c:numRef>
              <c:f>Dashboard!$C$50:$C$56</c:f>
              <c:numCache>
                <c:formatCode>"₹"\ #,##0</c:formatCode>
                <c:ptCount val="7"/>
                <c:pt idx="0">
                  <c:v>7950</c:v>
                </c:pt>
                <c:pt idx="1">
                  <c:v>8500</c:v>
                </c:pt>
                <c:pt idx="2">
                  <c:v>7560</c:v>
                </c:pt>
                <c:pt idx="3">
                  <c:v>9500</c:v>
                </c:pt>
                <c:pt idx="4">
                  <c:v>18100</c:v>
                </c:pt>
                <c:pt idx="5">
                  <c:v>19600</c:v>
                </c:pt>
                <c:pt idx="6">
                  <c:v>20800</c:v>
                </c:pt>
              </c:numCache>
            </c:numRef>
          </c:val>
          <c:extLst>
            <c:ext xmlns:c16="http://schemas.microsoft.com/office/drawing/2014/chart" uri="{C3380CC4-5D6E-409C-BE32-E72D297353CC}">
              <c16:uniqueId val="{00000000-411E-46FC-81A3-1DA52557B459}"/>
            </c:ext>
          </c:extLst>
        </c:ser>
        <c:dLbls>
          <c:showLegendKey val="0"/>
          <c:showVal val="1"/>
          <c:showCatName val="0"/>
          <c:showSerName val="0"/>
          <c:showPercent val="0"/>
          <c:showBubbleSize val="0"/>
        </c:dLbls>
        <c:gapWidth val="269"/>
        <c:axId val="515229952"/>
        <c:axId val="515230432"/>
      </c:barChart>
      <c:lineChart>
        <c:grouping val="percentStacked"/>
        <c:varyColors val="0"/>
        <c:ser>
          <c:idx val="1"/>
          <c:order val="1"/>
          <c:tx>
            <c:strRef>
              <c:f>Dashboard!$D$49</c:f>
              <c:strCache>
                <c:ptCount val="1"/>
                <c:pt idx="0">
                  <c:v>Growth percent</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s>
            <c:dLbl>
              <c:idx val="0"/>
              <c:layout>
                <c:manualLayout>
                  <c:x val="-2.3829388043835126E-2"/>
                  <c:y val="-0.11370734258161543"/>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6B8-47F4-9C4B-7E2EBC8B7813}"/>
                </c:ext>
              </c:extLst>
            </c:dLbl>
            <c:dLbl>
              <c:idx val="2"/>
              <c:layout>
                <c:manualLayout>
                  <c:x val="-2.2562864917179286E-2"/>
                  <c:y val="-9.801152491632526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6B8-47F4-9C4B-7E2EBC8B7813}"/>
                </c:ext>
              </c:extLst>
            </c:dLbl>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Dashboard!$B$50:$B$56</c:f>
              <c:strCache>
                <c:ptCount val="7"/>
                <c:pt idx="0">
                  <c:v>Nov</c:v>
                </c:pt>
                <c:pt idx="1">
                  <c:v>Dec</c:v>
                </c:pt>
                <c:pt idx="2">
                  <c:v>Jan</c:v>
                </c:pt>
                <c:pt idx="3">
                  <c:v>Feb</c:v>
                </c:pt>
                <c:pt idx="4">
                  <c:v>Mar</c:v>
                </c:pt>
                <c:pt idx="5">
                  <c:v>Apr</c:v>
                </c:pt>
                <c:pt idx="6">
                  <c:v>May</c:v>
                </c:pt>
              </c:strCache>
            </c:strRef>
          </c:cat>
          <c:val>
            <c:numRef>
              <c:f>Dashboard!$D$50:$D$56</c:f>
              <c:numCache>
                <c:formatCode>0.00%</c:formatCode>
                <c:ptCount val="7"/>
                <c:pt idx="1">
                  <c:v>6.9182389937106917E-2</c:v>
                </c:pt>
                <c:pt idx="2">
                  <c:v>-0.11058823529411765</c:v>
                </c:pt>
                <c:pt idx="3">
                  <c:v>0.25661375661375663</c:v>
                </c:pt>
                <c:pt idx="4">
                  <c:v>0.90526315789473688</c:v>
                </c:pt>
                <c:pt idx="5">
                  <c:v>8.2872928176795577E-2</c:v>
                </c:pt>
                <c:pt idx="6">
                  <c:v>6.1224489795918366E-2</c:v>
                </c:pt>
              </c:numCache>
            </c:numRef>
          </c:val>
          <c:smooth val="0"/>
          <c:extLst>
            <c:ext xmlns:c16="http://schemas.microsoft.com/office/drawing/2014/chart" uri="{C3380CC4-5D6E-409C-BE32-E72D297353CC}">
              <c16:uniqueId val="{00000002-411E-46FC-81A3-1DA52557B459}"/>
            </c:ext>
          </c:extLst>
        </c:ser>
        <c:dLbls>
          <c:showLegendKey val="0"/>
          <c:showVal val="0"/>
          <c:showCatName val="0"/>
          <c:showSerName val="0"/>
          <c:showPercent val="0"/>
          <c:showBubbleSize val="0"/>
        </c:dLbls>
        <c:marker val="1"/>
        <c:smooth val="0"/>
        <c:axId val="248182064"/>
        <c:axId val="248181584"/>
      </c:lineChart>
      <c:catAx>
        <c:axId val="51522995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230432"/>
        <c:crosses val="autoZero"/>
        <c:auto val="1"/>
        <c:lblAlgn val="ctr"/>
        <c:lblOffset val="100"/>
        <c:noMultiLvlLbl val="0"/>
      </c:catAx>
      <c:valAx>
        <c:axId val="515230432"/>
        <c:scaling>
          <c:orientation val="minMax"/>
        </c:scaling>
        <c:delete val="0"/>
        <c:axPos val="l"/>
        <c:majorGridlines>
          <c:spPr>
            <a:ln w="9525" cap="flat" cmpd="sng" algn="ctr">
              <a:solidFill>
                <a:schemeClr val="lt1">
                  <a:lumMod val="95000"/>
                  <a:alpha val="10000"/>
                </a:schemeClr>
              </a:solidFill>
              <a:round/>
            </a:ln>
            <a:effectLst/>
          </c:spPr>
        </c:majorGridlines>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lt1">
                    <a:lumMod val="85000"/>
                  </a:schemeClr>
                </a:solidFill>
                <a:latin typeface="+mn-lt"/>
                <a:ea typeface="+mn-ea"/>
                <a:cs typeface="+mn-cs"/>
              </a:defRPr>
            </a:pPr>
            <a:endParaRPr lang="en-US"/>
          </a:p>
        </c:txPr>
        <c:crossAx val="515229952"/>
        <c:crosses val="autoZero"/>
        <c:crossBetween val="between"/>
      </c:valAx>
      <c:valAx>
        <c:axId val="248181584"/>
        <c:scaling>
          <c:orientation val="minMax"/>
        </c:scaling>
        <c:delete val="0"/>
        <c:axPos val="r"/>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chemeClr val="lt1">
                    <a:lumMod val="85000"/>
                  </a:schemeClr>
                </a:solidFill>
                <a:latin typeface="+mn-lt"/>
                <a:ea typeface="+mn-ea"/>
                <a:cs typeface="+mn-cs"/>
              </a:defRPr>
            </a:pPr>
            <a:endParaRPr lang="en-US"/>
          </a:p>
        </c:txPr>
        <c:crossAx val="248182064"/>
        <c:crosses val="max"/>
        <c:crossBetween val="between"/>
      </c:valAx>
      <c:catAx>
        <c:axId val="248182064"/>
        <c:scaling>
          <c:orientation val="minMax"/>
        </c:scaling>
        <c:delete val="1"/>
        <c:axPos val="b"/>
        <c:numFmt formatCode="General" sourceLinked="1"/>
        <c:majorTickMark val="none"/>
        <c:minorTickMark val="none"/>
        <c:tickLblPos val="nextTo"/>
        <c:crossAx val="248181584"/>
        <c:crosses val="autoZero"/>
        <c:auto val="1"/>
        <c:lblAlgn val="ctr"/>
        <c:lblOffset val="100"/>
        <c:noMultiLvlLbl val="0"/>
      </c:catAx>
      <c:spPr>
        <a:noFill/>
        <a:ln>
          <a:noFill/>
        </a:ln>
        <a:effectLst/>
      </c:spPr>
    </c:plotArea>
    <c:legend>
      <c:legendPos val="r"/>
      <c:legendEntry>
        <c:idx val="0"/>
        <c:txPr>
          <a:bodyPr rot="0" spcFirstLastPara="1" vertOverflow="ellipsis" vert="horz" wrap="square" anchor="ctr" anchorCtr="1"/>
          <a:lstStyle/>
          <a:p>
            <a:pPr>
              <a:defRPr sz="2200" b="0" i="0" u="none" strike="noStrike" kern="1200" cap="all" normalizeH="0" baseline="0">
                <a:solidFill>
                  <a:schemeClr val="lt1">
                    <a:lumMod val="8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2200" b="0" i="0" u="none" strike="noStrike" kern="1200" cap="all" baseline="0">
                <a:solidFill>
                  <a:schemeClr val="lt1">
                    <a:lumMod val="85000"/>
                  </a:schemeClr>
                </a:solidFill>
                <a:latin typeface="+mn-lt"/>
                <a:ea typeface="+mn-ea"/>
                <a:cs typeface="+mn-cs"/>
              </a:defRPr>
            </a:pPr>
            <a:endParaRPr lang="en-US"/>
          </a:p>
        </c:txPr>
      </c:legendEntry>
      <c:layout>
        <c:manualLayout>
          <c:xMode val="edge"/>
          <c:yMode val="edge"/>
          <c:x val="3.3599402666297455E-2"/>
          <c:y val="0.31075414163020298"/>
          <c:w val="0.11358755662996606"/>
          <c:h val="0.4504132400905373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[again save.xlsm]Dashboard!PivotTable14</c:name>
    <c:fmtId val="0"/>
  </c:pivotSource>
  <c:chart>
    <c:title>
      <c:tx>
        <c:rich>
          <a:bodyPr rot="0" spcFirstLastPara="1" vertOverflow="ellipsis" vert="horz" wrap="square" anchor="ctr" anchorCtr="1"/>
          <a:lstStyle/>
          <a:p>
            <a:pPr>
              <a:defRPr sz="2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MORNING VS AFTERNOON VS AFTER EVENING </a:t>
            </a:r>
          </a:p>
        </c:rich>
      </c:tx>
      <c:layout>
        <c:manualLayout>
          <c:xMode val="edge"/>
          <c:yMode val="edge"/>
          <c:x val="0.21002557266584826"/>
          <c:y val="3.5919513362189875E-2"/>
        </c:manualLayout>
      </c:layout>
      <c:overlay val="0"/>
      <c:spPr>
        <a:noFill/>
        <a:ln>
          <a:noFill/>
        </a:ln>
        <a:effectLst/>
      </c:spPr>
      <c:txPr>
        <a:bodyPr rot="0" spcFirstLastPara="1" vertOverflow="ellipsis" vert="horz" wrap="square" anchor="ctr" anchorCtr="1"/>
        <a:lstStyle/>
        <a:p>
          <a:pPr>
            <a:defRPr sz="2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Dashboard!$C$93:$C$94</c:f>
              <c:strCache>
                <c:ptCount val="1"/>
                <c:pt idx="0">
                  <c:v>Morning</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Dashboard!$B$95:$B$101</c:f>
              <c:multiLvlStrCache>
                <c:ptCount val="3"/>
                <c:lvl>
                  <c:pt idx="0">
                    <c:v>Apr</c:v>
                  </c:pt>
                  <c:pt idx="1">
                    <c:v>Mar</c:v>
                  </c:pt>
                  <c:pt idx="2">
                    <c:v>Mar</c:v>
                  </c:pt>
                </c:lvl>
                <c:lvl>
                  <c:pt idx="0">
                    <c:v>01-04-2025 to 07-04-2025</c:v>
                  </c:pt>
                  <c:pt idx="1">
                    <c:v>08-03-2025 to 14-03-2025</c:v>
                  </c:pt>
                  <c:pt idx="2">
                    <c:v>15-03-2025 to 21-03-2025</c:v>
                  </c:pt>
                </c:lvl>
              </c:multiLvlStrCache>
            </c:multiLvlStrRef>
          </c:cat>
          <c:val>
            <c:numRef>
              <c:f>Dashboard!$C$95:$C$101</c:f>
              <c:numCache>
                <c:formatCode>General</c:formatCode>
                <c:ptCount val="3"/>
                <c:pt idx="0">
                  <c:v>11</c:v>
                </c:pt>
                <c:pt idx="1">
                  <c:v>20</c:v>
                </c:pt>
                <c:pt idx="2">
                  <c:v>36</c:v>
                </c:pt>
              </c:numCache>
            </c:numRef>
          </c:val>
          <c:extLst>
            <c:ext xmlns:c16="http://schemas.microsoft.com/office/drawing/2014/chart" uri="{C3380CC4-5D6E-409C-BE32-E72D297353CC}">
              <c16:uniqueId val="{00000000-B6D2-4279-81F0-9050FE9A1D1D}"/>
            </c:ext>
          </c:extLst>
        </c:ser>
        <c:ser>
          <c:idx val="1"/>
          <c:order val="1"/>
          <c:tx>
            <c:strRef>
              <c:f>Dashboard!$D$93:$D$94</c:f>
              <c:strCache>
                <c:ptCount val="1"/>
                <c:pt idx="0">
                  <c:v>After Evening</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Dashboard!$B$95:$B$101</c:f>
              <c:multiLvlStrCache>
                <c:ptCount val="3"/>
                <c:lvl>
                  <c:pt idx="0">
                    <c:v>Apr</c:v>
                  </c:pt>
                  <c:pt idx="1">
                    <c:v>Mar</c:v>
                  </c:pt>
                  <c:pt idx="2">
                    <c:v>Mar</c:v>
                  </c:pt>
                </c:lvl>
                <c:lvl>
                  <c:pt idx="0">
                    <c:v>01-04-2025 to 07-04-2025</c:v>
                  </c:pt>
                  <c:pt idx="1">
                    <c:v>08-03-2025 to 14-03-2025</c:v>
                  </c:pt>
                  <c:pt idx="2">
                    <c:v>15-03-2025 to 21-03-2025</c:v>
                  </c:pt>
                </c:lvl>
              </c:multiLvlStrCache>
            </c:multiLvlStrRef>
          </c:cat>
          <c:val>
            <c:numRef>
              <c:f>Dashboard!$D$95:$D$101</c:f>
              <c:numCache>
                <c:formatCode>General</c:formatCode>
                <c:ptCount val="3"/>
                <c:pt idx="0">
                  <c:v>26</c:v>
                </c:pt>
                <c:pt idx="1">
                  <c:v>35</c:v>
                </c:pt>
                <c:pt idx="2">
                  <c:v>29</c:v>
                </c:pt>
              </c:numCache>
            </c:numRef>
          </c:val>
          <c:extLst>
            <c:ext xmlns:c16="http://schemas.microsoft.com/office/drawing/2014/chart" uri="{C3380CC4-5D6E-409C-BE32-E72D297353CC}">
              <c16:uniqueId val="{00000001-B6D2-4279-81F0-9050FE9A1D1D}"/>
            </c:ext>
          </c:extLst>
        </c:ser>
        <c:ser>
          <c:idx val="2"/>
          <c:order val="2"/>
          <c:tx>
            <c:strRef>
              <c:f>Dashboard!$E$93:$E$94</c:f>
              <c:strCache>
                <c:ptCount val="1"/>
                <c:pt idx="0">
                  <c:v>Afternoon</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Dashboard!$B$95:$B$101</c:f>
              <c:multiLvlStrCache>
                <c:ptCount val="3"/>
                <c:lvl>
                  <c:pt idx="0">
                    <c:v>Apr</c:v>
                  </c:pt>
                  <c:pt idx="1">
                    <c:v>Mar</c:v>
                  </c:pt>
                  <c:pt idx="2">
                    <c:v>Mar</c:v>
                  </c:pt>
                </c:lvl>
                <c:lvl>
                  <c:pt idx="0">
                    <c:v>01-04-2025 to 07-04-2025</c:v>
                  </c:pt>
                  <c:pt idx="1">
                    <c:v>08-03-2025 to 14-03-2025</c:v>
                  </c:pt>
                  <c:pt idx="2">
                    <c:v>15-03-2025 to 21-03-2025</c:v>
                  </c:pt>
                </c:lvl>
              </c:multiLvlStrCache>
            </c:multiLvlStrRef>
          </c:cat>
          <c:val>
            <c:numRef>
              <c:f>Dashboard!$E$95:$E$101</c:f>
              <c:numCache>
                <c:formatCode>General</c:formatCode>
                <c:ptCount val="3"/>
                <c:pt idx="0">
                  <c:v>15</c:v>
                </c:pt>
                <c:pt idx="1">
                  <c:v>7</c:v>
                </c:pt>
                <c:pt idx="2">
                  <c:v>10</c:v>
                </c:pt>
              </c:numCache>
            </c:numRef>
          </c:val>
          <c:extLst>
            <c:ext xmlns:c16="http://schemas.microsoft.com/office/drawing/2014/chart" uri="{C3380CC4-5D6E-409C-BE32-E72D297353CC}">
              <c16:uniqueId val="{00000002-B6D2-4279-81F0-9050FE9A1D1D}"/>
            </c:ext>
          </c:extLst>
        </c:ser>
        <c:dLbls>
          <c:dLblPos val="outEnd"/>
          <c:showLegendKey val="0"/>
          <c:showVal val="1"/>
          <c:showCatName val="0"/>
          <c:showSerName val="0"/>
          <c:showPercent val="0"/>
          <c:showBubbleSize val="0"/>
        </c:dLbls>
        <c:gapWidth val="100"/>
        <c:overlap val="-24"/>
        <c:axId val="961206911"/>
        <c:axId val="961191071"/>
      </c:barChart>
      <c:catAx>
        <c:axId val="96120691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2000" b="0" i="0" u="none" strike="noStrike" kern="1200" baseline="0">
                <a:solidFill>
                  <a:schemeClr val="lt1">
                    <a:lumMod val="85000"/>
                  </a:schemeClr>
                </a:solidFill>
                <a:latin typeface="+mn-lt"/>
                <a:ea typeface="+mn-ea"/>
                <a:cs typeface="+mn-cs"/>
              </a:defRPr>
            </a:pPr>
            <a:endParaRPr lang="en-US"/>
          </a:p>
        </c:txPr>
        <c:crossAx val="961191071"/>
        <c:crosses val="autoZero"/>
        <c:auto val="1"/>
        <c:lblAlgn val="ctr"/>
        <c:lblOffset val="100"/>
        <c:noMultiLvlLbl val="0"/>
      </c:catAx>
      <c:valAx>
        <c:axId val="96119107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lt1">
                    <a:lumMod val="85000"/>
                  </a:schemeClr>
                </a:solidFill>
                <a:latin typeface="+mn-lt"/>
                <a:ea typeface="+mn-ea"/>
                <a:cs typeface="+mn-cs"/>
              </a:defRPr>
            </a:pPr>
            <a:endParaRPr lang="en-US"/>
          </a:p>
        </c:txPr>
        <c:crossAx val="9612069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20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sz="20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solidFill>
        <a:schemeClr val="lt1"/>
      </a:solidFill>
      <a:sp3d/>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254000</xdr:colOff>
      <xdr:row>17</xdr:row>
      <xdr:rowOff>254000</xdr:rowOff>
    </xdr:from>
    <xdr:to>
      <xdr:col>5</xdr:col>
      <xdr:colOff>565847</xdr:colOff>
      <xdr:row>33</xdr:row>
      <xdr:rowOff>81947</xdr:rowOff>
    </xdr:to>
    <xdr:graphicFrame macro="">
      <xdr:nvGraphicFramePr>
        <xdr:cNvPr id="2" name="Chart 1">
          <a:extLst>
            <a:ext uri="{FF2B5EF4-FFF2-40B4-BE49-F238E27FC236}">
              <a16:creationId xmlns:a16="http://schemas.microsoft.com/office/drawing/2014/main" id="{42D2F539-1971-44F1-A18B-8F5F54B2EE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268328</xdr:colOff>
      <xdr:row>17</xdr:row>
      <xdr:rowOff>255302</xdr:rowOff>
    </xdr:from>
    <xdr:to>
      <xdr:col>13</xdr:col>
      <xdr:colOff>351693</xdr:colOff>
      <xdr:row>33</xdr:row>
      <xdr:rowOff>165755</xdr:rowOff>
    </xdr:to>
    <xdr:graphicFrame macro="">
      <xdr:nvGraphicFramePr>
        <xdr:cNvPr id="5" name="Chart 4">
          <a:extLst>
            <a:ext uri="{FF2B5EF4-FFF2-40B4-BE49-F238E27FC236}">
              <a16:creationId xmlns:a16="http://schemas.microsoft.com/office/drawing/2014/main" id="{AAD0F171-E618-0CAA-B5CF-CC1EF34EBC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281480</xdr:colOff>
      <xdr:row>17</xdr:row>
      <xdr:rowOff>508001</xdr:rowOff>
    </xdr:from>
    <xdr:to>
      <xdr:col>21</xdr:col>
      <xdr:colOff>676213</xdr:colOff>
      <xdr:row>33</xdr:row>
      <xdr:rowOff>41688</xdr:rowOff>
    </xdr:to>
    <xdr:graphicFrame macro="">
      <xdr:nvGraphicFramePr>
        <xdr:cNvPr id="7" name="Chart 6">
          <a:extLst>
            <a:ext uri="{FF2B5EF4-FFF2-40B4-BE49-F238E27FC236}">
              <a16:creationId xmlns:a16="http://schemas.microsoft.com/office/drawing/2014/main" id="{E8190929-FD68-930C-0593-9C2D9934429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983384</xdr:colOff>
      <xdr:row>2</xdr:row>
      <xdr:rowOff>228452</xdr:rowOff>
    </xdr:from>
    <xdr:to>
      <xdr:col>11</xdr:col>
      <xdr:colOff>945444</xdr:colOff>
      <xdr:row>9</xdr:row>
      <xdr:rowOff>56444</xdr:rowOff>
    </xdr:to>
    <xdr:sp macro="" textlink="">
      <xdr:nvSpPr>
        <xdr:cNvPr id="8" name="Speech Bubble: Rectangle with Corners Rounded 7">
          <a:extLst>
            <a:ext uri="{FF2B5EF4-FFF2-40B4-BE49-F238E27FC236}">
              <a16:creationId xmlns:a16="http://schemas.microsoft.com/office/drawing/2014/main" id="{BEF4FCB2-528A-0283-3936-2C9384C326CE}"/>
            </a:ext>
          </a:extLst>
        </xdr:cNvPr>
        <xdr:cNvSpPr/>
      </xdr:nvSpPr>
      <xdr:spPr>
        <a:xfrm>
          <a:off x="9054940" y="1950008"/>
          <a:ext cx="5832282" cy="1351992"/>
        </a:xfrm>
        <a:prstGeom prst="wedgeRoundRectCallout">
          <a:avLst>
            <a:gd name="adj1" fmla="val -20799"/>
            <a:gd name="adj2" fmla="val 47690"/>
            <a:gd name="adj3" fmla="val 16667"/>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IN" sz="3200"/>
            <a:t>🔻 </a:t>
          </a:r>
          <a:r>
            <a:rPr lang="en-IN" sz="3200" b="1"/>
            <a:t>Bottom 5 Weekly Earnings (Lowest Performing Weeks)</a:t>
          </a:r>
          <a:endParaRPr lang="en-IN" sz="3200"/>
        </a:p>
      </xdr:txBody>
    </xdr:sp>
    <xdr:clientData/>
  </xdr:twoCellAnchor>
  <xdr:twoCellAnchor>
    <xdr:from>
      <xdr:col>1</xdr:col>
      <xdr:colOff>108442</xdr:colOff>
      <xdr:row>2</xdr:row>
      <xdr:rowOff>215095</xdr:rowOff>
    </xdr:from>
    <xdr:to>
      <xdr:col>5</xdr:col>
      <xdr:colOff>357445</xdr:colOff>
      <xdr:row>9</xdr:row>
      <xdr:rowOff>70554</xdr:rowOff>
    </xdr:to>
    <xdr:sp macro="" textlink="">
      <xdr:nvSpPr>
        <xdr:cNvPr id="9" name="Speech Bubble: Rectangle with Corners Rounded 8">
          <a:extLst>
            <a:ext uri="{FF2B5EF4-FFF2-40B4-BE49-F238E27FC236}">
              <a16:creationId xmlns:a16="http://schemas.microsoft.com/office/drawing/2014/main" id="{0C86C130-B80D-4233-9842-783A64458D07}"/>
            </a:ext>
          </a:extLst>
        </xdr:cNvPr>
        <xdr:cNvSpPr/>
      </xdr:nvSpPr>
      <xdr:spPr>
        <a:xfrm>
          <a:off x="616442" y="1936651"/>
          <a:ext cx="5371336" cy="1379459"/>
        </a:xfrm>
        <a:prstGeom prst="wedgeRoundRectCallout">
          <a:avLst>
            <a:gd name="adj1" fmla="val -19634"/>
            <a:gd name="adj2" fmla="val 41754"/>
            <a:gd name="adj3" fmla="val 16667"/>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IN" sz="3200"/>
            <a:t>🔺 </a:t>
          </a:r>
          <a:r>
            <a:rPr lang="en-IN" sz="3200" b="1"/>
            <a:t>Top 5 Weekly Earnings (Highest Performing Weeks)</a:t>
          </a:r>
          <a:endParaRPr lang="en-IN" sz="3200"/>
        </a:p>
      </xdr:txBody>
    </xdr:sp>
    <xdr:clientData/>
  </xdr:twoCellAnchor>
  <xdr:twoCellAnchor>
    <xdr:from>
      <xdr:col>15</xdr:col>
      <xdr:colOff>941706</xdr:colOff>
      <xdr:row>2</xdr:row>
      <xdr:rowOff>324555</xdr:rowOff>
    </xdr:from>
    <xdr:to>
      <xdr:col>20</xdr:col>
      <xdr:colOff>705555</xdr:colOff>
      <xdr:row>9</xdr:row>
      <xdr:rowOff>112888</xdr:rowOff>
    </xdr:to>
    <xdr:sp macro="" textlink="">
      <xdr:nvSpPr>
        <xdr:cNvPr id="10" name="Speech Bubble: Rectangle with Corners Rounded 9">
          <a:extLst>
            <a:ext uri="{FF2B5EF4-FFF2-40B4-BE49-F238E27FC236}">
              <a16:creationId xmlns:a16="http://schemas.microsoft.com/office/drawing/2014/main" id="{7B649A97-049F-4106-96D1-C37F00BD36E7}"/>
            </a:ext>
          </a:extLst>
        </xdr:cNvPr>
        <xdr:cNvSpPr/>
      </xdr:nvSpPr>
      <xdr:spPr>
        <a:xfrm>
          <a:off x="17578706" y="2046111"/>
          <a:ext cx="5732849" cy="1312333"/>
        </a:xfrm>
        <a:prstGeom prst="wedgeRoundRectCallout">
          <a:avLst>
            <a:gd name="adj1" fmla="val -23177"/>
            <a:gd name="adj2" fmla="val 43240"/>
            <a:gd name="adj3" fmla="val 16667"/>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IN" sz="3200"/>
            <a:t>Top</a:t>
          </a:r>
          <a:r>
            <a:rPr lang="en-IN" sz="3200" baseline="0"/>
            <a:t> </a:t>
          </a:r>
          <a:r>
            <a:rPr lang="en-IN" sz="3200"/>
            <a:t>📊 </a:t>
          </a:r>
          <a:r>
            <a:rPr lang="en-IN" sz="3200" b="1"/>
            <a:t>Weekly Posts vs Clicks – Engagement Peaks</a:t>
          </a:r>
          <a:r>
            <a:rPr lang="en-IN" sz="3200" baseline="0"/>
            <a:t> and Posts</a:t>
          </a:r>
        </a:p>
        <a:p>
          <a:pPr algn="ctr"/>
          <a:endParaRPr lang="en-IN" sz="3200"/>
        </a:p>
      </xdr:txBody>
    </xdr:sp>
    <xdr:clientData/>
  </xdr:twoCellAnchor>
  <xdr:twoCellAnchor>
    <xdr:from>
      <xdr:col>4</xdr:col>
      <xdr:colOff>218016</xdr:colOff>
      <xdr:row>46</xdr:row>
      <xdr:rowOff>180762</xdr:rowOff>
    </xdr:from>
    <xdr:to>
      <xdr:col>21</xdr:col>
      <xdr:colOff>324651</xdr:colOff>
      <xdr:row>73</xdr:row>
      <xdr:rowOff>38099</xdr:rowOff>
    </xdr:to>
    <xdr:graphicFrame macro="">
      <xdr:nvGraphicFramePr>
        <xdr:cNvPr id="11" name="Chart 10">
          <a:extLst>
            <a:ext uri="{FF2B5EF4-FFF2-40B4-BE49-F238E27FC236}">
              <a16:creationId xmlns:a16="http://schemas.microsoft.com/office/drawing/2014/main" id="{BBE66FCD-3DD5-3CF0-DDB5-0C50BCE4E9A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169333</xdr:colOff>
      <xdr:row>0</xdr:row>
      <xdr:rowOff>169334</xdr:rowOff>
    </xdr:from>
    <xdr:to>
      <xdr:col>16</xdr:col>
      <xdr:colOff>338666</xdr:colOff>
      <xdr:row>0</xdr:row>
      <xdr:rowOff>1642533</xdr:rowOff>
    </xdr:to>
    <xdr:sp macro="" textlink="">
      <xdr:nvSpPr>
        <xdr:cNvPr id="13" name="TextBox 12">
          <a:extLst>
            <a:ext uri="{FF2B5EF4-FFF2-40B4-BE49-F238E27FC236}">
              <a16:creationId xmlns:a16="http://schemas.microsoft.com/office/drawing/2014/main" id="{4772CE11-D1B0-350B-6A93-9B4C41ABE33D}"/>
            </a:ext>
          </a:extLst>
        </xdr:cNvPr>
        <xdr:cNvSpPr txBox="1"/>
      </xdr:nvSpPr>
      <xdr:spPr>
        <a:xfrm>
          <a:off x="6079066" y="169334"/>
          <a:ext cx="15324667" cy="1473199"/>
        </a:xfrm>
        <a:prstGeom prst="rect">
          <a:avLst/>
        </a:prstGeom>
        <a:solidFill>
          <a:srgbClr val="FFC000"/>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5000" b="1">
              <a:solidFill>
                <a:schemeClr val="tx1"/>
              </a:solidFill>
            </a:rPr>
            <a:t>Telegram Earnings &amp; Growth Dashboard</a:t>
          </a:r>
        </a:p>
        <a:p>
          <a:pPr algn="ctr"/>
          <a:r>
            <a:rPr lang="en-IN" sz="2400" i="1" u="sng">
              <a:solidFill>
                <a:schemeClr val="tx1"/>
              </a:solidFill>
            </a:rPr>
            <a:t>Weekly Performance Analysis – Nov 2024 to May 2025</a:t>
          </a:r>
          <a:endParaRPr lang="en-IN" sz="2400" u="sng">
            <a:solidFill>
              <a:schemeClr val="tx1"/>
            </a:solidFill>
          </a:endParaRPr>
        </a:p>
      </xdr:txBody>
    </xdr:sp>
    <xdr:clientData/>
  </xdr:twoCellAnchor>
  <xdr:oneCellAnchor>
    <xdr:from>
      <xdr:col>11</xdr:col>
      <xdr:colOff>143933</xdr:colOff>
      <xdr:row>15</xdr:row>
      <xdr:rowOff>101600</xdr:rowOff>
    </xdr:from>
    <xdr:ext cx="184731" cy="264560"/>
    <xdr:sp macro="" textlink="">
      <xdr:nvSpPr>
        <xdr:cNvPr id="14" name="TextBox 13">
          <a:extLst>
            <a:ext uri="{FF2B5EF4-FFF2-40B4-BE49-F238E27FC236}">
              <a16:creationId xmlns:a16="http://schemas.microsoft.com/office/drawing/2014/main" id="{DC87CC25-FE87-34B7-18F3-D6C7524C4BB3}"/>
            </a:ext>
          </a:extLst>
        </xdr:cNvPr>
        <xdr:cNvSpPr txBox="1"/>
      </xdr:nvSpPr>
      <xdr:spPr>
        <a:xfrm>
          <a:off x="8255000" y="2717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twoCellAnchor>
    <xdr:from>
      <xdr:col>2</xdr:col>
      <xdr:colOff>430239</xdr:colOff>
      <xdr:row>38</xdr:row>
      <xdr:rowOff>48305</xdr:rowOff>
    </xdr:from>
    <xdr:to>
      <xdr:col>17</xdr:col>
      <xdr:colOff>119448</xdr:colOff>
      <xdr:row>44</xdr:row>
      <xdr:rowOff>172996</xdr:rowOff>
    </xdr:to>
    <xdr:sp macro="" textlink="">
      <xdr:nvSpPr>
        <xdr:cNvPr id="6" name="Rectangle: Rounded Corners 5">
          <a:extLst>
            <a:ext uri="{FF2B5EF4-FFF2-40B4-BE49-F238E27FC236}">
              <a16:creationId xmlns:a16="http://schemas.microsoft.com/office/drawing/2014/main" id="{9A438ECA-B773-0CF7-88EA-BB97F9A9C4F9}"/>
            </a:ext>
          </a:extLst>
        </xdr:cNvPr>
        <xdr:cNvSpPr/>
      </xdr:nvSpPr>
      <xdr:spPr>
        <a:xfrm>
          <a:off x="2057212" y="8615656"/>
          <a:ext cx="14537912" cy="1236799"/>
        </a:xfrm>
        <a:prstGeom prst="roundRect">
          <a:avLst/>
        </a:prstGeom>
        <a:gradFill flip="none" rotWithShape="1">
          <a:gsLst>
            <a:gs pos="0">
              <a:schemeClr val="dk1">
                <a:lumMod val="67000"/>
                <a:alpha val="95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4400" u="none">
              <a:solidFill>
                <a:schemeClr val="accent2"/>
              </a:solidFill>
              <a:effectLst/>
              <a:latin typeface="+mn-lt"/>
              <a:ea typeface="+mn-ea"/>
              <a:cs typeface="+mn-cs"/>
            </a:rPr>
            <a:t>📈 </a:t>
          </a:r>
          <a:r>
            <a:rPr lang="en-IN" sz="4400" b="1" u="none">
              <a:solidFill>
                <a:schemeClr val="accent2"/>
              </a:solidFill>
              <a:effectLst/>
              <a:latin typeface="+mn-lt"/>
              <a:ea typeface="+mn-ea"/>
              <a:cs typeface="+mn-cs"/>
            </a:rPr>
            <a:t>Monthly Earnings &amp; Growth Percentage (Nov–May)</a:t>
          </a:r>
          <a:endParaRPr lang="en-IN" sz="4400" u="none">
            <a:solidFill>
              <a:schemeClr val="accent2"/>
            </a:solidFill>
            <a:effectLst/>
          </a:endParaRPr>
        </a:p>
        <a:p>
          <a:pPr algn="l"/>
          <a:endParaRPr lang="en-IN" sz="1100"/>
        </a:p>
      </xdr:txBody>
    </xdr:sp>
    <xdr:clientData/>
  </xdr:twoCellAnchor>
  <xdr:twoCellAnchor>
    <xdr:from>
      <xdr:col>2</xdr:col>
      <xdr:colOff>609599</xdr:colOff>
      <xdr:row>80</xdr:row>
      <xdr:rowOff>169234</xdr:rowOff>
    </xdr:from>
    <xdr:to>
      <xdr:col>17</xdr:col>
      <xdr:colOff>728132</xdr:colOff>
      <xdr:row>87</xdr:row>
      <xdr:rowOff>152400</xdr:rowOff>
    </xdr:to>
    <xdr:sp macro="" textlink="">
      <xdr:nvSpPr>
        <xdr:cNvPr id="16" name="Rectangle: Rounded Corners 15">
          <a:extLst>
            <a:ext uri="{FF2B5EF4-FFF2-40B4-BE49-F238E27FC236}">
              <a16:creationId xmlns:a16="http://schemas.microsoft.com/office/drawing/2014/main" id="{5AEC629D-340B-4251-8504-0F90756B63AF}"/>
            </a:ext>
          </a:extLst>
        </xdr:cNvPr>
        <xdr:cNvSpPr/>
      </xdr:nvSpPr>
      <xdr:spPr>
        <a:xfrm>
          <a:off x="4148666" y="20082834"/>
          <a:ext cx="19117733" cy="1287033"/>
        </a:xfrm>
        <a:prstGeom prst="roundRect">
          <a:avLst/>
        </a:prstGeom>
        <a:gradFill flip="none" rotWithShape="1">
          <a:gsLst>
            <a:gs pos="0">
              <a:schemeClr val="dk1">
                <a:lumMod val="67000"/>
                <a:alpha val="95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7000" u="none">
              <a:solidFill>
                <a:schemeClr val="accent2"/>
              </a:solidFill>
              <a:effectLst/>
              <a:latin typeface="+mn-lt"/>
              <a:ea typeface="+mn-ea"/>
              <a:cs typeface="+mn-cs"/>
            </a:rPr>
            <a:t>POS</a:t>
          </a:r>
          <a:r>
            <a:rPr lang="en-IN" sz="7000" u="none" baseline="0">
              <a:solidFill>
                <a:schemeClr val="accent2"/>
              </a:solidFill>
              <a:effectLst/>
              <a:latin typeface="+mn-lt"/>
              <a:ea typeface="+mn-ea"/>
              <a:cs typeface="+mn-cs"/>
            </a:rPr>
            <a:t>T TIMING ANALYSIS  ON TOP EARNING WEEKS</a:t>
          </a:r>
          <a:endParaRPr lang="en-IN" sz="7000" u="none">
            <a:solidFill>
              <a:schemeClr val="accent2"/>
            </a:solidFill>
            <a:effectLst/>
          </a:endParaRPr>
        </a:p>
        <a:p>
          <a:pPr algn="l"/>
          <a:endParaRPr lang="en-IN" sz="7000"/>
        </a:p>
      </xdr:txBody>
    </xdr:sp>
    <xdr:clientData/>
  </xdr:twoCellAnchor>
  <xdr:twoCellAnchor>
    <xdr:from>
      <xdr:col>8</xdr:col>
      <xdr:colOff>212623</xdr:colOff>
      <xdr:row>92</xdr:row>
      <xdr:rowOff>-1</xdr:rowOff>
    </xdr:from>
    <xdr:to>
      <xdr:col>17</xdr:col>
      <xdr:colOff>83305</xdr:colOff>
      <xdr:row>125</xdr:row>
      <xdr:rowOff>67970</xdr:rowOff>
    </xdr:to>
    <xdr:graphicFrame macro="">
      <xdr:nvGraphicFramePr>
        <xdr:cNvPr id="18" name="Chart 17">
          <a:extLst>
            <a:ext uri="{FF2B5EF4-FFF2-40B4-BE49-F238E27FC236}">
              <a16:creationId xmlns:a16="http://schemas.microsoft.com/office/drawing/2014/main" id="{ED48D583-66F4-1979-A993-5E962DC30E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0</xdr:col>
      <xdr:colOff>308311</xdr:colOff>
      <xdr:row>131</xdr:row>
      <xdr:rowOff>108856</xdr:rowOff>
    </xdr:from>
    <xdr:ext cx="26593917" cy="20007944"/>
    <xdr:sp macro="" textlink="">
      <xdr:nvSpPr>
        <xdr:cNvPr id="19" name="TextBox 18">
          <a:extLst>
            <a:ext uri="{FF2B5EF4-FFF2-40B4-BE49-F238E27FC236}">
              <a16:creationId xmlns:a16="http://schemas.microsoft.com/office/drawing/2014/main" id="{8E1F2224-D4C1-D1B0-C8A3-EDDE8BB8550E}"/>
            </a:ext>
          </a:extLst>
        </xdr:cNvPr>
        <xdr:cNvSpPr txBox="1"/>
      </xdr:nvSpPr>
      <xdr:spPr>
        <a:xfrm>
          <a:off x="308311" y="29805085"/>
          <a:ext cx="26593917" cy="20007944"/>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endParaRPr lang="en-IN" sz="6000" b="1" u="sng">
            <a:solidFill>
              <a:schemeClr val="tx1"/>
            </a:solidFill>
            <a:effectLst/>
            <a:latin typeface="+mn-lt"/>
            <a:ea typeface="+mn-ea"/>
            <a:cs typeface="+mn-cs"/>
          </a:endParaRPr>
        </a:p>
        <a:p>
          <a:pPr algn="ctr"/>
          <a:r>
            <a:rPr lang="en-IN" sz="6000" b="1" u="sng">
              <a:solidFill>
                <a:schemeClr val="tx1"/>
              </a:solidFill>
              <a:effectLst/>
              <a:latin typeface="+mn-lt"/>
              <a:ea typeface="+mn-ea"/>
              <a:cs typeface="+mn-cs"/>
            </a:rPr>
            <a:t>Content Performance &amp; Earnings Overview</a:t>
          </a:r>
        </a:p>
        <a:p>
          <a:pPr algn="ctr"/>
          <a:endParaRPr lang="en-IN" sz="4400">
            <a:effectLst/>
          </a:endParaRPr>
        </a:p>
        <a:p>
          <a:r>
            <a:rPr lang="en-IN" sz="5000" b="1">
              <a:solidFill>
                <a:schemeClr val="tx1"/>
              </a:solidFill>
              <a:effectLst/>
              <a:latin typeface="+mn-lt"/>
              <a:ea typeface="+mn-ea"/>
              <a:cs typeface="+mn-cs"/>
            </a:rPr>
            <a:t>Analysis Conclusion:</a:t>
          </a:r>
        </a:p>
        <a:p>
          <a:endParaRPr lang="en-IN" sz="5000">
            <a:effectLst/>
          </a:endParaRPr>
        </a:p>
        <a:p>
          <a:pPr algn="l"/>
          <a:r>
            <a:rPr lang="en-IN" sz="3200">
              <a:solidFill>
                <a:schemeClr val="tx1"/>
              </a:solidFill>
              <a:effectLst/>
              <a:latin typeface="+mn-lt"/>
              <a:ea typeface="+mn-ea"/>
              <a:cs typeface="+mn-cs"/>
            </a:rPr>
            <a:t>The data reveals a strong correlation between </a:t>
          </a:r>
          <a:r>
            <a:rPr lang="en-IN" sz="3200" b="1">
              <a:solidFill>
                <a:schemeClr val="tx1"/>
              </a:solidFill>
              <a:effectLst/>
              <a:latin typeface="+mn-lt"/>
              <a:ea typeface="+mn-ea"/>
              <a:cs typeface="+mn-cs"/>
            </a:rPr>
            <a:t>posting frequency, total clicks, and weekly earnings</a:t>
          </a:r>
          <a:r>
            <a:rPr lang="en-IN" sz="3200">
              <a:solidFill>
                <a:schemeClr val="tx1"/>
              </a:solidFill>
              <a:effectLst/>
              <a:latin typeface="+mn-lt"/>
              <a:ea typeface="+mn-ea"/>
              <a:cs typeface="+mn-cs"/>
            </a:rPr>
            <a:t>. The week of May 1, 2025, serves as a prime example: it recorded the highest number of posts and clicks, directly translating into the highest earnings, as clearly demonstrated in both the </a:t>
          </a:r>
          <a:r>
            <a:rPr lang="en-IN" sz="3200" b="1">
              <a:solidFill>
                <a:schemeClr val="tx1"/>
              </a:solidFill>
              <a:effectLst/>
              <a:latin typeface="+mn-lt"/>
              <a:ea typeface="+mn-ea"/>
              <a:cs typeface="+mn-cs"/>
            </a:rPr>
            <a:t>Top 5 weekly Earnings Table</a:t>
          </a:r>
          <a:r>
            <a:rPr lang="en-IN" sz="3200">
              <a:solidFill>
                <a:schemeClr val="tx1"/>
              </a:solidFill>
              <a:effectLst/>
              <a:latin typeface="+mn-lt"/>
              <a:ea typeface="+mn-ea"/>
              <a:cs typeface="+mn-cs"/>
            </a:rPr>
            <a:t> and the </a:t>
          </a:r>
          <a:r>
            <a:rPr lang="en-IN" sz="3200" b="1">
              <a:solidFill>
                <a:schemeClr val="tx1"/>
              </a:solidFill>
              <a:effectLst/>
              <a:latin typeface="+mn-lt"/>
              <a:ea typeface="+mn-ea"/>
              <a:cs typeface="+mn-cs"/>
            </a:rPr>
            <a:t>Top 5 weekly Clicks vs Posts Table</a:t>
          </a:r>
          <a:r>
            <a:rPr lang="en-IN" sz="3200">
              <a:solidFill>
                <a:schemeClr val="tx1"/>
              </a:solidFill>
              <a:effectLst/>
              <a:latin typeface="+mn-lt"/>
              <a:ea typeface="+mn-ea"/>
              <a:cs typeface="+mn-cs"/>
            </a:rPr>
            <a:t>. This robustly confirms that </a:t>
          </a:r>
          <a:r>
            <a:rPr lang="en-IN" sz="3200" b="1">
              <a:solidFill>
                <a:schemeClr val="tx1"/>
              </a:solidFill>
              <a:effectLst/>
              <a:latin typeface="+mn-lt"/>
              <a:ea typeface="+mn-ea"/>
              <a:cs typeface="+mn-cs"/>
            </a:rPr>
            <a:t>more content leads to increased engagement and higher revenue</a:t>
          </a:r>
          <a:r>
            <a:rPr lang="en-IN" sz="3200">
              <a:solidFill>
                <a:schemeClr val="tx1"/>
              </a:solidFill>
              <a:effectLst/>
              <a:latin typeface="+mn-lt"/>
              <a:ea typeface="+mn-ea"/>
              <a:cs typeface="+mn-cs"/>
            </a:rPr>
            <a:t>. Even in lower-earning periods, weeks with a relatively more consistent posting schedule showed better performance, highlighting the value of </a:t>
          </a:r>
          <a:r>
            <a:rPr lang="en-IN" sz="3200" b="1">
              <a:solidFill>
                <a:schemeClr val="tx1"/>
              </a:solidFill>
              <a:effectLst/>
              <a:latin typeface="+mn-lt"/>
              <a:ea typeface="+mn-ea"/>
              <a:cs typeface="+mn-cs"/>
            </a:rPr>
            <a:t>consistent content delivery</a:t>
          </a:r>
          <a:r>
            <a:rPr lang="en-IN" sz="3200">
              <a:solidFill>
                <a:schemeClr val="tx1"/>
              </a:solidFill>
              <a:effectLst/>
              <a:latin typeface="+mn-lt"/>
              <a:ea typeface="+mn-ea"/>
              <a:cs typeface="+mn-cs"/>
            </a:rPr>
            <a:t>.</a:t>
          </a:r>
          <a:endParaRPr lang="en-IN" sz="3200">
            <a:effectLst/>
          </a:endParaRPr>
        </a:p>
        <a:p>
          <a:pPr algn="l"/>
          <a:r>
            <a:rPr lang="en-IN" sz="3200">
              <a:solidFill>
                <a:schemeClr val="tx1"/>
              </a:solidFill>
              <a:effectLst/>
              <a:latin typeface="+mn-lt"/>
              <a:ea typeface="+mn-ea"/>
              <a:cs typeface="+mn-cs"/>
            </a:rPr>
            <a:t>Beyond frequency, the analysis of post timing in the top-earning weeks provides a crucial insight. In these peak performance periods, "After Evening" posts (90 posts) significantly outnumber those made during "Morning" (67 posts) and "Afternoon" (32 posts). This strong dominance of "After Evening" posts suggests that this specific time window is highly effective for driving earnings. This could be attributed to various factors, such as the target audience being more active online after work hours or during their free time at night, leading to increased visibility and and engagement with the content.</a:t>
          </a:r>
          <a:endParaRPr lang="en-IN" sz="3200">
            <a:effectLst/>
          </a:endParaRPr>
        </a:p>
        <a:p>
          <a:pPr algn="l"/>
          <a:r>
            <a:rPr lang="en-IN" sz="3200">
              <a:solidFill>
                <a:schemeClr val="tx1"/>
              </a:solidFill>
              <a:effectLst/>
              <a:latin typeface="+mn-lt"/>
              <a:ea typeface="+mn-ea"/>
              <a:cs typeface="+mn-cs"/>
            </a:rPr>
            <a:t>The broader monthly analysis further reinforces a positive trend, with overall earnings growing by an impressive </a:t>
          </a:r>
          <a:r>
            <a:rPr lang="en-IN" sz="3200" b="1">
              <a:solidFill>
                <a:schemeClr val="tx1"/>
              </a:solidFill>
              <a:effectLst/>
              <a:latin typeface="+mn-lt"/>
              <a:ea typeface="+mn-ea"/>
              <a:cs typeface="+mn-cs"/>
            </a:rPr>
            <a:t>+161%</a:t>
          </a:r>
          <a:r>
            <a:rPr lang="en-IN" sz="3200">
              <a:solidFill>
                <a:schemeClr val="tx1"/>
              </a:solidFill>
              <a:effectLst/>
              <a:latin typeface="+mn-lt"/>
              <a:ea typeface="+mn-ea"/>
              <a:cs typeface="+mn-cs"/>
            </a:rPr>
            <a:t> from November 2024 to May 2025. March 2025 marked a particular peak with a </a:t>
          </a:r>
          <a:r>
            <a:rPr lang="en-IN" sz="3200" b="1">
              <a:solidFill>
                <a:schemeClr val="tx1"/>
              </a:solidFill>
              <a:effectLst/>
              <a:latin typeface="+mn-lt"/>
              <a:ea typeface="+mn-ea"/>
              <a:cs typeface="+mn-cs"/>
            </a:rPr>
            <a:t>+90% growth</a:t>
          </a:r>
          <a:r>
            <a:rPr lang="en-IN" sz="3200">
              <a:solidFill>
                <a:schemeClr val="tx1"/>
              </a:solidFill>
              <a:effectLst/>
              <a:latin typeface="+mn-lt"/>
              <a:ea typeface="+mn-ea"/>
              <a:cs typeface="+mn-cs"/>
            </a:rPr>
            <a:t>, indicating the successful implementation of effective engagement strategies and optimized timing during that period.</a:t>
          </a:r>
        </a:p>
        <a:p>
          <a:pPr algn="l"/>
          <a:endParaRPr lang="en-IN" sz="3200">
            <a:effectLst/>
          </a:endParaRPr>
        </a:p>
        <a:p>
          <a:pPr algn="l"/>
          <a:r>
            <a:rPr lang="en-IN" sz="4000" b="1">
              <a:solidFill>
                <a:schemeClr val="tx1"/>
              </a:solidFill>
              <a:effectLst/>
              <a:latin typeface="+mn-lt"/>
              <a:ea typeface="+mn-ea"/>
              <a:cs typeface="+mn-cs"/>
            </a:rPr>
            <a:t>Key Performance Insights</a:t>
          </a:r>
        </a:p>
        <a:p>
          <a:pPr algn="l"/>
          <a:endParaRPr lang="en-IN" sz="4000">
            <a:effectLst/>
          </a:endParaRPr>
        </a:p>
        <a:p>
          <a:pPr algn="l"/>
          <a:r>
            <a:rPr lang="en-IN" sz="3200" b="1">
              <a:solidFill>
                <a:schemeClr val="tx1"/>
              </a:solidFill>
              <a:effectLst/>
              <a:latin typeface="+mn-lt"/>
              <a:ea typeface="+mn-ea"/>
              <a:cs typeface="+mn-cs"/>
            </a:rPr>
            <a:t>📈 Peak Performance:</a:t>
          </a:r>
          <a:r>
            <a:rPr lang="en-IN" sz="3200">
              <a:solidFill>
                <a:schemeClr val="tx1"/>
              </a:solidFill>
              <a:effectLst/>
              <a:latin typeface="+mn-lt"/>
              <a:ea typeface="+mn-ea"/>
              <a:cs typeface="+mn-cs"/>
            </a:rPr>
            <a:t> Our highest earning weeks consistently featured the most posts and clicks (refer to </a:t>
          </a:r>
          <a:r>
            <a:rPr lang="en-IN" sz="3200" b="1">
              <a:solidFill>
                <a:schemeClr val="tx1"/>
              </a:solidFill>
              <a:effectLst/>
              <a:latin typeface="+mn-lt"/>
              <a:ea typeface="+mn-ea"/>
              <a:cs typeface="+mn-cs"/>
            </a:rPr>
            <a:t>Top 5 weekly Earnings Table</a:t>
          </a:r>
          <a:r>
            <a:rPr lang="en-IN" sz="3200">
              <a:solidFill>
                <a:schemeClr val="tx1"/>
              </a:solidFill>
              <a:effectLst/>
              <a:latin typeface="+mn-lt"/>
              <a:ea typeface="+mn-ea"/>
              <a:cs typeface="+mn-cs"/>
            </a:rPr>
            <a:t> and </a:t>
          </a:r>
          <a:r>
            <a:rPr lang="en-IN" sz="3200" b="1">
              <a:solidFill>
                <a:schemeClr val="tx1"/>
              </a:solidFill>
              <a:effectLst/>
              <a:latin typeface="+mn-lt"/>
              <a:ea typeface="+mn-ea"/>
              <a:cs typeface="+mn-cs"/>
            </a:rPr>
            <a:t>Top 5 weekly Clicks vs Posts Table</a:t>
          </a:r>
          <a:r>
            <a:rPr lang="en-IN" sz="3200">
              <a:solidFill>
                <a:schemeClr val="tx1"/>
              </a:solidFill>
              <a:effectLst/>
              <a:latin typeface="+mn-lt"/>
              <a:ea typeface="+mn-ea"/>
              <a:cs typeface="+mn-cs"/>
            </a:rPr>
            <a:t>).</a:t>
          </a:r>
          <a:endParaRPr lang="en-IN" sz="3200">
            <a:effectLst/>
          </a:endParaRPr>
        </a:p>
        <a:p>
          <a:pPr algn="l"/>
          <a:r>
            <a:rPr lang="en-IN" sz="3200" b="1">
              <a:solidFill>
                <a:schemeClr val="tx1"/>
              </a:solidFill>
              <a:effectLst/>
              <a:latin typeface="+mn-lt"/>
              <a:ea typeface="+mn-ea"/>
              <a:cs typeface="+mn-cs"/>
            </a:rPr>
            <a:t>📊 Monthly Growth:</a:t>
          </a:r>
          <a:r>
            <a:rPr lang="en-IN" sz="3200">
              <a:solidFill>
                <a:schemeClr val="tx1"/>
              </a:solidFill>
              <a:effectLst/>
              <a:latin typeface="+mn-lt"/>
              <a:ea typeface="+mn-ea"/>
              <a:cs typeface="+mn-cs"/>
            </a:rPr>
            <a:t> Earnings grew substantially by </a:t>
          </a:r>
          <a:r>
            <a:rPr lang="en-IN" sz="3200" b="1">
              <a:solidFill>
                <a:schemeClr val="tx1"/>
              </a:solidFill>
              <a:effectLst/>
              <a:latin typeface="+mn-lt"/>
              <a:ea typeface="+mn-ea"/>
              <a:cs typeface="+mn-cs"/>
            </a:rPr>
            <a:t>+161%</a:t>
          </a:r>
          <a:r>
            <a:rPr lang="en-IN" sz="3200">
              <a:solidFill>
                <a:schemeClr val="tx1"/>
              </a:solidFill>
              <a:effectLst/>
              <a:latin typeface="+mn-lt"/>
              <a:ea typeface="+mn-ea"/>
              <a:cs typeface="+mn-cs"/>
            </a:rPr>
            <a:t> (November 2024 - May 2025), with a peak </a:t>
          </a:r>
          <a:r>
            <a:rPr lang="en-IN" sz="3200" b="1">
              <a:solidFill>
                <a:schemeClr val="tx1"/>
              </a:solidFill>
              <a:effectLst/>
              <a:latin typeface="+mn-lt"/>
              <a:ea typeface="+mn-ea"/>
              <a:cs typeface="+mn-cs"/>
            </a:rPr>
            <a:t>+90% growth in March</a:t>
          </a:r>
          <a:r>
            <a:rPr lang="en-IN" sz="3200">
              <a:solidFill>
                <a:schemeClr val="tx1"/>
              </a:solidFill>
              <a:effectLst/>
              <a:latin typeface="+mn-lt"/>
              <a:ea typeface="+mn-ea"/>
              <a:cs typeface="+mn-cs"/>
            </a:rPr>
            <a:t>.</a:t>
          </a:r>
          <a:endParaRPr lang="en-IN" sz="3200">
            <a:effectLst/>
          </a:endParaRPr>
        </a:p>
        <a:p>
          <a:pPr algn="l"/>
          <a:r>
            <a:rPr lang="en-IN" sz="3200" b="1">
              <a:solidFill>
                <a:schemeClr val="tx1"/>
              </a:solidFill>
              <a:effectLst/>
              <a:latin typeface="+mn-lt"/>
              <a:ea typeface="+mn-ea"/>
              <a:cs typeface="+mn-cs"/>
            </a:rPr>
            <a:t>🛡️ Consistency Shields:</a:t>
          </a:r>
          <a:r>
            <a:rPr lang="en-IN" sz="3200">
              <a:solidFill>
                <a:schemeClr val="tx1"/>
              </a:solidFill>
              <a:effectLst/>
              <a:latin typeface="+mn-lt"/>
              <a:ea typeface="+mn-ea"/>
              <a:cs typeface="+mn-cs"/>
            </a:rPr>
            <a:t> Higher posting frequency helps mitigate dips in performance during otherwise low-earning weeks.</a:t>
          </a:r>
          <a:endParaRPr lang="en-IN" sz="3200">
            <a:effectLst/>
          </a:endParaRPr>
        </a:p>
        <a:p>
          <a:pPr algn="l"/>
          <a:endParaRPr lang="en-IN" sz="3200" b="1">
            <a:solidFill>
              <a:schemeClr val="tx1"/>
            </a:solidFill>
            <a:effectLst/>
            <a:latin typeface="+mn-lt"/>
            <a:ea typeface="+mn-ea"/>
            <a:cs typeface="+mn-cs"/>
          </a:endParaRPr>
        </a:p>
        <a:p>
          <a:pPr algn="l"/>
          <a:r>
            <a:rPr lang="en-IN" sz="4500" b="1">
              <a:solidFill>
                <a:schemeClr val="tx1"/>
              </a:solidFill>
              <a:effectLst/>
              <a:latin typeface="+mn-lt"/>
              <a:ea typeface="+mn-ea"/>
              <a:cs typeface="+mn-cs"/>
            </a:rPr>
            <a:t>Time-Based Insights (Post Timing Impact)</a:t>
          </a:r>
          <a:endParaRPr lang="en-IN" sz="4500">
            <a:effectLst/>
          </a:endParaRPr>
        </a:p>
        <a:p>
          <a:pPr algn="l"/>
          <a:endParaRPr lang="en-IN" sz="3200" b="1">
            <a:solidFill>
              <a:schemeClr val="tx1"/>
            </a:solidFill>
            <a:effectLst/>
            <a:latin typeface="+mn-lt"/>
            <a:ea typeface="+mn-ea"/>
            <a:cs typeface="+mn-cs"/>
          </a:endParaRPr>
        </a:p>
        <a:p>
          <a:pPr algn="l"/>
          <a:r>
            <a:rPr lang="en-IN" sz="3200" b="1">
              <a:solidFill>
                <a:schemeClr val="tx1"/>
              </a:solidFill>
              <a:effectLst/>
              <a:latin typeface="+mn-lt"/>
              <a:ea typeface="+mn-ea"/>
              <a:cs typeface="+mn-cs"/>
            </a:rPr>
            <a:t>🌙 "After Evening" Dominance:</a:t>
          </a:r>
          <a:r>
            <a:rPr lang="en-IN" sz="3200">
              <a:solidFill>
                <a:schemeClr val="tx1"/>
              </a:solidFill>
              <a:effectLst/>
              <a:latin typeface="+mn-lt"/>
              <a:ea typeface="+mn-ea"/>
              <a:cs typeface="+mn-cs"/>
            </a:rPr>
            <a:t> Analysis of top-earning weeks shows </a:t>
          </a:r>
          <a:r>
            <a:rPr lang="en-IN" sz="3200" b="1">
              <a:solidFill>
                <a:schemeClr val="tx1"/>
              </a:solidFill>
              <a:effectLst/>
              <a:latin typeface="+mn-lt"/>
              <a:ea typeface="+mn-ea"/>
              <a:cs typeface="+mn-cs"/>
            </a:rPr>
            <a:t>90 "After Evening" posts</a:t>
          </a:r>
          <a:r>
            <a:rPr lang="en-IN" sz="3200">
              <a:solidFill>
                <a:schemeClr val="tx1"/>
              </a:solidFill>
              <a:effectLst/>
              <a:latin typeface="+mn-lt"/>
              <a:ea typeface="+mn-ea"/>
              <a:cs typeface="+mn-cs"/>
            </a:rPr>
            <a:t> vs. 67 "Morning" and 32 "Afternoon" posts.</a:t>
          </a:r>
          <a:endParaRPr lang="en-IN" sz="3200">
            <a:effectLst/>
          </a:endParaRPr>
        </a:p>
        <a:p>
          <a:pPr algn="l"/>
          <a:r>
            <a:rPr lang="en-IN" sz="3200" b="1">
              <a:solidFill>
                <a:schemeClr val="tx1"/>
              </a:solidFill>
              <a:effectLst/>
              <a:latin typeface="+mn-lt"/>
              <a:ea typeface="+mn-ea"/>
              <a:cs typeface="+mn-cs"/>
            </a:rPr>
            <a:t>Audience Activity:</a:t>
          </a:r>
          <a:r>
            <a:rPr lang="en-IN" sz="3200">
              <a:solidFill>
                <a:schemeClr val="tx1"/>
              </a:solidFill>
              <a:effectLst/>
              <a:latin typeface="+mn-lt"/>
              <a:ea typeface="+mn-ea"/>
              <a:cs typeface="+mn-cs"/>
            </a:rPr>
            <a:t> This indicates our audience is likely most active and receptive to content during "After Evening" hours (5 PM to 4 AM).</a:t>
          </a:r>
          <a:endParaRPr lang="en-IN" sz="3200">
            <a:effectLst/>
          </a:endParaRPr>
        </a:p>
        <a:p>
          <a:pPr algn="l"/>
          <a:r>
            <a:rPr lang="en-IN" sz="3200" b="1">
              <a:solidFill>
                <a:schemeClr val="tx1"/>
              </a:solidFill>
              <a:effectLst/>
              <a:latin typeface="+mn-lt"/>
              <a:ea typeface="+mn-ea"/>
              <a:cs typeface="+mn-cs"/>
            </a:rPr>
            <a:t>Recommendations</a:t>
          </a:r>
          <a:endParaRPr lang="en-IN" sz="3200">
            <a:effectLst/>
          </a:endParaRPr>
        </a:p>
        <a:p>
          <a:pPr algn="l"/>
          <a:r>
            <a:rPr lang="en-IN" sz="3200">
              <a:solidFill>
                <a:schemeClr val="tx1"/>
              </a:solidFill>
              <a:effectLst/>
              <a:latin typeface="+mn-lt"/>
              <a:ea typeface="+mn-ea"/>
              <a:cs typeface="+mn-cs"/>
            </a:rPr>
            <a:t>To sustain and further accelerate earnings growth:</a:t>
          </a:r>
          <a:endParaRPr lang="en-IN" sz="3200">
            <a:effectLst/>
          </a:endParaRPr>
        </a:p>
        <a:p>
          <a:pPr algn="l"/>
          <a:r>
            <a:rPr lang="en-IN" sz="3200" b="1">
              <a:solidFill>
                <a:schemeClr val="tx1"/>
              </a:solidFill>
              <a:effectLst/>
              <a:latin typeface="+mn-lt"/>
              <a:ea typeface="+mn-ea"/>
              <a:cs typeface="+mn-cs"/>
            </a:rPr>
            <a:t>Prioritize "After Evening" Posting:</a:t>
          </a:r>
          <a:r>
            <a:rPr lang="en-IN" sz="3200">
              <a:solidFill>
                <a:schemeClr val="tx1"/>
              </a:solidFill>
              <a:effectLst/>
              <a:latin typeface="+mn-lt"/>
              <a:ea typeface="+mn-ea"/>
              <a:cs typeface="+mn-cs"/>
            </a:rPr>
            <a:t> Focus on strategically increasing content deployment during the 5 PM to 4 AM window, as this has shown the strongest correlation with top earnings.</a:t>
          </a:r>
          <a:endParaRPr lang="en-IN" sz="3200">
            <a:effectLst/>
          </a:endParaRPr>
        </a:p>
        <a:p>
          <a:pPr algn="l"/>
          <a:r>
            <a:rPr lang="en-IN" sz="3200" b="1">
              <a:solidFill>
                <a:schemeClr val="tx1"/>
              </a:solidFill>
              <a:effectLst/>
              <a:latin typeface="+mn-lt"/>
              <a:ea typeface="+mn-ea"/>
              <a:cs typeface="+mn-cs"/>
            </a:rPr>
            <a:t>Maintain Consistent Frequency:</a:t>
          </a:r>
          <a:r>
            <a:rPr lang="en-IN" sz="3200">
              <a:solidFill>
                <a:schemeClr val="tx1"/>
              </a:solidFill>
              <a:effectLst/>
              <a:latin typeface="+mn-lt"/>
              <a:ea typeface="+mn-ea"/>
              <a:cs typeface="+mn-cs"/>
            </a:rPr>
            <a:t> Continue with a reliable posting schedule overall to ensure steady engagement and revenue.</a:t>
          </a:r>
          <a:endParaRPr lang="en-IN" sz="3200">
            <a:effectLst/>
          </a:endParaRPr>
        </a:p>
        <a:p>
          <a:pPr algn="l"/>
          <a:r>
            <a:rPr lang="en-IN" sz="3200" b="1">
              <a:solidFill>
                <a:schemeClr val="tx1"/>
              </a:solidFill>
              <a:effectLst/>
              <a:latin typeface="+mn-lt"/>
              <a:ea typeface="+mn-ea"/>
              <a:cs typeface="+mn-cs"/>
            </a:rPr>
            <a:t>Continuous Optimization:</a:t>
          </a:r>
          <a:r>
            <a:rPr lang="en-IN" sz="3200">
              <a:solidFill>
                <a:schemeClr val="tx1"/>
              </a:solidFill>
              <a:effectLst/>
              <a:latin typeface="+mn-lt"/>
              <a:ea typeface="+mn-ea"/>
              <a:cs typeface="+mn-cs"/>
            </a:rPr>
            <a:t> Regularly track weekly performance, test different content types, and monitor click-through rates to refine your content strategy.</a:t>
          </a:r>
        </a:p>
        <a:p>
          <a:pPr algn="l"/>
          <a:endParaRPr lang="en-IN" sz="3200">
            <a:solidFill>
              <a:schemeClr val="tx1"/>
            </a:solidFill>
            <a:effectLst/>
            <a:latin typeface="+mn-lt"/>
            <a:ea typeface="+mn-ea"/>
            <a:cs typeface="+mn-cs"/>
          </a:endParaRPr>
        </a:p>
        <a:p>
          <a:pPr algn="l"/>
          <a:endParaRPr lang="en-IN" sz="3200">
            <a:effectLst/>
          </a:endParaRPr>
        </a:p>
        <a:p>
          <a:endParaRPr lang="en-IN" sz="3200"/>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iyanshu singh" refreshedDate="45800.412157986109" createdVersion="8" refreshedVersion="8" minRefreshableVersion="3" recordCount="32" xr:uid="{FEA49586-D6DA-4AD7-B1BD-84E359E2E634}">
  <cacheSource type="worksheet">
    <worksheetSource ref="A1:F33" sheet="Weekly data(nov 2024- may 2025)"/>
  </cacheSource>
  <cacheFields count="12">
    <cacheField name="Week Start" numFmtId="14">
      <sharedItems containsSemiMixedTypes="0" containsNonDate="0" containsDate="1" containsString="0" minDate="2024-11-01T00:00:00" maxDate="2025-05-16T00:00:00" count="32">
        <d v="2024-11-01T00:00:00"/>
        <d v="2024-11-08T00:00:00"/>
        <d v="2024-11-15T00:00:00"/>
        <d v="2024-11-22T00:00:00"/>
        <d v="2024-11-29T00:00:00"/>
        <d v="2024-12-01T00:00:00"/>
        <d v="2024-12-08T00:00:00"/>
        <d v="2024-12-15T00:00:00"/>
        <d v="2024-12-22T00:00:00"/>
        <d v="2024-12-29T00:00:00"/>
        <d v="2025-01-01T00:00:00"/>
        <d v="2025-01-08T00:00:00"/>
        <d v="2025-01-15T00:00:00"/>
        <d v="2025-01-22T00:00:00"/>
        <d v="2025-01-29T00:00:00"/>
        <d v="2025-02-01T00:00:00"/>
        <d v="2025-02-08T00:00:00"/>
        <d v="2025-02-15T00:00:00"/>
        <d v="2025-02-22T00:00:00"/>
        <d v="2025-03-01T00:00:00"/>
        <d v="2025-03-08T00:00:00"/>
        <d v="2025-03-15T00:00:00"/>
        <d v="2025-03-22T00:00:00"/>
        <d v="2025-03-29T00:00:00"/>
        <d v="2025-04-01T00:00:00"/>
        <d v="2025-04-08T00:00:00"/>
        <d v="2025-04-15T00:00:00"/>
        <d v="2025-04-22T00:00:00"/>
        <d v="2025-04-29T00:00:00"/>
        <d v="2025-05-01T00:00:00"/>
        <d v="2025-05-08T00:00:00"/>
        <d v="2025-05-15T00:00:00"/>
      </sharedItems>
      <fieldGroup par="8"/>
    </cacheField>
    <cacheField name="Week End" numFmtId="14">
      <sharedItems containsSemiMixedTypes="0" containsNonDate="0" containsDate="1" containsString="0" minDate="2024-11-07T00:00:00" maxDate="2025-05-22T00:00:00" count="32">
        <d v="2024-11-07T00:00:00"/>
        <d v="2024-11-14T00:00:00"/>
        <d v="2024-11-21T00:00:00"/>
        <d v="2024-11-28T00:00:00"/>
        <d v="2024-11-30T00:00:00"/>
        <d v="2024-12-07T00:00:00"/>
        <d v="2024-12-14T00:00:00"/>
        <d v="2024-12-21T00:00:00"/>
        <d v="2024-12-28T00:00:00"/>
        <d v="2024-12-31T00:00:00"/>
        <d v="2025-01-07T00:00:00"/>
        <d v="2025-01-14T00:00:00"/>
        <d v="2025-01-21T00:00:00"/>
        <d v="2025-01-28T00:00:00"/>
        <d v="2025-01-31T00:00:00"/>
        <d v="2025-02-07T00:00:00"/>
        <d v="2025-02-14T00:00:00"/>
        <d v="2025-02-21T00:00:00"/>
        <d v="2025-02-28T00:00:00"/>
        <d v="2025-03-07T00:00:00"/>
        <d v="2025-03-14T00:00:00"/>
        <d v="2025-03-21T00:00:00"/>
        <d v="2025-03-28T00:00:00"/>
        <d v="2025-03-31T00:00:00"/>
        <d v="2025-04-07T00:00:00"/>
        <d v="2025-04-14T00:00:00"/>
        <d v="2025-04-21T00:00:00"/>
        <d v="2025-04-28T00:00:00"/>
        <d v="2025-04-30T00:00:00"/>
        <d v="2025-05-07T00:00:00"/>
        <d v="2025-05-14T00:00:00"/>
        <d v="2025-05-21T00:00:00"/>
      </sharedItems>
      <fieldGroup par="11"/>
    </cacheField>
    <cacheField name="Clicks" numFmtId="0">
      <sharedItems containsSemiMixedTypes="0" containsString="0" containsNumber="1" containsInteger="1" minValue="900" maxValue="14500"/>
    </cacheField>
    <cacheField name="Earnings (?)" numFmtId="0">
      <sharedItems containsSemiMixedTypes="0" containsString="0" containsNumber="1" containsInteger="1" minValue="-50" maxValue="9700" count="24">
        <n v="2500"/>
        <n v="3200"/>
        <n v="-50"/>
        <n v="1300"/>
        <n v="1000"/>
        <n v="3000"/>
        <n v="1600"/>
        <n v="2000"/>
        <n v="600"/>
        <n v="1200"/>
        <n v="5100"/>
        <n v="800"/>
        <n v="60"/>
        <n v="400"/>
        <n v="1100"/>
        <n v="4900"/>
        <n v="3500"/>
        <n v="6000"/>
        <n v="5900"/>
        <n v="1400"/>
        <n v="5500"/>
        <n v="5200"/>
        <n v="900"/>
        <n v="9700"/>
      </sharedItems>
    </cacheField>
    <cacheField name="Posts Made" numFmtId="0">
      <sharedItems containsSemiMixedTypes="0" containsString="0" containsNumber="1" containsInteger="1" minValue="7" maxValue="99"/>
    </cacheField>
    <cacheField name="Days Covered" numFmtId="0">
      <sharedItems containsSemiMixedTypes="0" containsString="0" containsNumber="1" containsInteger="1" minValue="2" maxValue="7"/>
    </cacheField>
    <cacheField name="Months (Week Start)" numFmtId="0" databaseField="0">
      <fieldGroup base="0">
        <rangePr groupBy="months" startDate="2024-11-01T00:00:00" endDate="2025-05-16T00:00:00"/>
        <groupItems count="14">
          <s v="&lt;01-11-2024"/>
          <s v="Jan"/>
          <s v="Feb"/>
          <s v="Mar"/>
          <s v="Apr"/>
          <s v="May"/>
          <s v="Jun"/>
          <s v="Jul"/>
          <s v="Aug"/>
          <s v="Sep"/>
          <s v="Oct"/>
          <s v="Nov"/>
          <s v="Dec"/>
          <s v="&gt;16-05-2025"/>
        </groupItems>
      </fieldGroup>
    </cacheField>
    <cacheField name="Quarters (Week Start)" numFmtId="0" databaseField="0">
      <fieldGroup base="0">
        <rangePr groupBy="quarters" startDate="2024-11-01T00:00:00" endDate="2025-05-16T00:00:00"/>
        <groupItems count="6">
          <s v="&lt;01-11-2024"/>
          <s v="Qtr1"/>
          <s v="Qtr2"/>
          <s v="Qtr3"/>
          <s v="Qtr4"/>
          <s v="&gt;16-05-2025"/>
        </groupItems>
      </fieldGroup>
    </cacheField>
    <cacheField name="Years (Week Start)" numFmtId="0" databaseField="0">
      <fieldGroup base="0">
        <rangePr groupBy="years" startDate="2024-11-01T00:00:00" endDate="2025-05-16T00:00:00"/>
        <groupItems count="4">
          <s v="&lt;01-11-2024"/>
          <s v="2024"/>
          <s v="2025"/>
          <s v="&gt;16-05-2025"/>
        </groupItems>
      </fieldGroup>
    </cacheField>
    <cacheField name="Months (Week End)" numFmtId="0" databaseField="0">
      <fieldGroup base="1">
        <rangePr groupBy="months" startDate="2024-11-07T00:00:00" endDate="2025-05-22T00:00:00"/>
        <groupItems count="14">
          <s v="&lt;07-11-2024"/>
          <s v="Jan"/>
          <s v="Feb"/>
          <s v="Mar"/>
          <s v="Apr"/>
          <s v="May"/>
          <s v="Jun"/>
          <s v="Jul"/>
          <s v="Aug"/>
          <s v="Sep"/>
          <s v="Oct"/>
          <s v="Nov"/>
          <s v="Dec"/>
          <s v="&gt;22-05-2025"/>
        </groupItems>
      </fieldGroup>
    </cacheField>
    <cacheField name="Quarters (Week End)" numFmtId="0" databaseField="0">
      <fieldGroup base="1">
        <rangePr groupBy="quarters" startDate="2024-11-07T00:00:00" endDate="2025-05-22T00:00:00"/>
        <groupItems count="6">
          <s v="&lt;07-11-2024"/>
          <s v="Qtr1"/>
          <s v="Qtr2"/>
          <s v="Qtr3"/>
          <s v="Qtr4"/>
          <s v="&gt;22-05-2025"/>
        </groupItems>
      </fieldGroup>
    </cacheField>
    <cacheField name="Years (Week End)" numFmtId="0" databaseField="0">
      <fieldGroup base="1">
        <rangePr groupBy="years" startDate="2024-11-07T00:00:00" endDate="2025-05-22T00:00:00"/>
        <groupItems count="4">
          <s v="&lt;07-11-2024"/>
          <s v="2024"/>
          <s v="2025"/>
          <s v="&gt;22-05-2025"/>
        </groupItems>
      </fieldGroup>
    </cacheField>
  </cacheFields>
  <extLst>
    <ext xmlns:x14="http://schemas.microsoft.com/office/spreadsheetml/2009/9/main" uri="{725AE2AE-9491-48be-B2B4-4EB974FC3084}">
      <x14:pivotCacheDefinition pivotCacheId="191642243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iyanshu singh" refreshedDate="45801.847155555559" createdVersion="8" refreshedVersion="8" minRefreshableVersion="3" recordCount="1000" xr:uid="{4BD372B4-4ECF-407E-9821-BDF9E2387861}">
  <cacheSource type="worksheet">
    <worksheetSource ref="A1:E1001" sheet="daily real"/>
  </cacheSource>
  <cacheFields count="8">
    <cacheField name="Date" numFmtId="14">
      <sharedItems containsSemiMixedTypes="0" containsNonDate="0" containsDate="1" containsString="0" minDate="2024-11-01T00:00:00" maxDate="2025-05-01T00:00:00" count="162">
        <d v="2024-11-01T00:00:00"/>
        <d v="2024-11-02T00:00:00"/>
        <d v="2024-11-03T00:00:00"/>
        <d v="2024-11-04T00:00:00"/>
        <d v="2024-11-05T00:00:00"/>
        <d v="2024-11-07T00:00:00"/>
        <d v="2024-11-08T00:00:00"/>
        <d v="2024-11-09T00:00:00"/>
        <d v="2024-11-10T00:00:00"/>
        <d v="2024-11-11T00:00:00"/>
        <d v="2024-11-12T00:00:00"/>
        <d v="2024-11-13T00:00:00"/>
        <d v="2024-11-14T00:00:00"/>
        <d v="2024-11-16T00:00:00"/>
        <d v="2024-11-18T00:00:00"/>
        <d v="2024-11-19T00:00:00"/>
        <d v="2024-11-20T00:00:00"/>
        <d v="2024-11-21T00:00:00"/>
        <d v="2024-11-22T00:00:00"/>
        <d v="2024-11-23T00:00:00"/>
        <d v="2024-11-24T00:00:00"/>
        <d v="2024-11-25T00:00:00"/>
        <d v="2024-11-26T00:00:00"/>
        <d v="2024-11-29T00:00:00"/>
        <d v="2024-11-30T00:00:00"/>
        <d v="2024-12-01T00:00:00"/>
        <d v="2024-12-02T00:00:00"/>
        <d v="2024-12-03T00:00:00"/>
        <d v="2024-12-05T00:00:00"/>
        <d v="2024-12-06T00:00:00"/>
        <d v="2024-12-07T00:00:00"/>
        <d v="2024-12-08T00:00:00"/>
        <d v="2024-12-09T00:00:00"/>
        <d v="2024-12-11T00:00:00"/>
        <d v="2024-12-12T00:00:00"/>
        <d v="2024-12-13T00:00:00"/>
        <d v="2024-12-14T00:00:00"/>
        <d v="2024-12-15T00:00:00"/>
        <d v="2024-12-16T00:00:00"/>
        <d v="2024-12-17T00:00:00"/>
        <d v="2024-12-18T00:00:00"/>
        <d v="2024-12-19T00:00:00"/>
        <d v="2024-12-20T00:00:00"/>
        <d v="2024-12-21T00:00:00"/>
        <d v="2024-12-22T00:00:00"/>
        <d v="2024-12-24T00:00:00"/>
        <d v="2024-12-25T00:00:00"/>
        <d v="2024-12-26T00:00:00"/>
        <d v="2024-12-27T00:00:00"/>
        <d v="2024-12-28T00:00:00"/>
        <d v="2024-12-29T00:00:00"/>
        <d v="2024-12-30T00:00:00"/>
        <d v="2025-01-01T00:00:00"/>
        <d v="2025-01-04T00:00:00"/>
        <d v="2025-01-05T00:00:00"/>
        <d v="2025-01-06T00:00:00"/>
        <d v="2025-01-09T00:00:00"/>
        <d v="2025-01-10T00:00:00"/>
        <d v="2025-01-11T00:00:00"/>
        <d v="2025-01-12T00:00:00"/>
        <d v="2025-01-13T00:00:00"/>
        <d v="2025-01-14T00:00:00"/>
        <d v="2025-01-15T00:00:00"/>
        <d v="2025-01-16T00:00:00"/>
        <d v="2025-01-17T00:00:00"/>
        <d v="2025-01-18T00:00:00"/>
        <d v="2025-01-19T00:00:00"/>
        <d v="2025-01-21T00:00:00"/>
        <d v="2025-01-24T00:00:00"/>
        <d v="2025-01-26T00:00:00"/>
        <d v="2025-01-27T00:00:00"/>
        <d v="2025-01-28T00:00:00"/>
        <d v="2025-01-29T00:00:00"/>
        <d v="2025-01-30T00:00:00"/>
        <d v="2025-01-31T00:00:00"/>
        <d v="2025-02-01T00:00:00"/>
        <d v="2025-02-02T00:00:00"/>
        <d v="2025-02-04T00:00:00"/>
        <d v="2025-02-05T00:00:00"/>
        <d v="2025-02-06T00:00:00"/>
        <d v="2025-02-07T00:00:00"/>
        <d v="2025-02-08T00:00:00"/>
        <d v="2025-02-09T00:00:00"/>
        <d v="2025-02-10T00:00:00"/>
        <d v="2025-02-11T00:00:00"/>
        <d v="2025-02-12T00:00:00"/>
        <d v="2025-02-13T00:00:00"/>
        <d v="2025-02-14T00:00:00"/>
        <d v="2025-02-15T00:00:00"/>
        <d v="2025-02-16T00:00:00"/>
        <d v="2025-02-17T00:00:00"/>
        <d v="2025-02-19T00:00:00"/>
        <d v="2025-02-20T00:00:00"/>
        <d v="2025-02-21T00:00:00"/>
        <d v="2025-02-22T00:00:00"/>
        <d v="2025-02-23T00:00:00"/>
        <d v="2025-02-24T00:00:00"/>
        <d v="2025-02-25T00:00:00"/>
        <d v="2025-02-26T00:00:00"/>
        <d v="2025-02-27T00:00:00"/>
        <d v="2025-02-28T00:00:00"/>
        <d v="2025-03-01T00:00:00"/>
        <d v="2025-03-02T00:00:00"/>
        <d v="2025-03-03T00:00:00"/>
        <d v="2025-03-04T00:00:00"/>
        <d v="2025-03-05T00:00:00"/>
        <d v="2025-03-06T00:00:00"/>
        <d v="2025-03-07T00:00:00"/>
        <d v="2025-03-08T00:00:00"/>
        <d v="2025-03-09T00:00:00"/>
        <d v="2025-03-10T00:00:00"/>
        <d v="2025-03-11T00:00:00"/>
        <d v="2025-03-12T00:00:00"/>
        <d v="2025-03-13T00:00:00"/>
        <d v="2025-03-14T00:00:00"/>
        <d v="2025-03-15T00:00:00"/>
        <d v="2025-03-16T00:00:00"/>
        <d v="2025-03-17T00:00:00"/>
        <d v="2025-03-18T00:00:00"/>
        <d v="2025-03-19T00:00:00"/>
        <d v="2025-03-20T00:00:00"/>
        <d v="2025-03-21T00:00:00"/>
        <d v="2025-03-22T00:00:00"/>
        <d v="2025-03-23T00:00:00"/>
        <d v="2025-03-24T00:00:00"/>
        <d v="2025-03-25T00:00:00"/>
        <d v="2025-03-26T00:00:00"/>
        <d v="2025-03-27T00:00:00"/>
        <d v="2025-03-28T00:00:00"/>
        <d v="2025-03-29T00:00:00"/>
        <d v="2025-03-30T00:00:00"/>
        <d v="2025-03-31T00:00:00"/>
        <d v="2025-04-01T00:00:00"/>
        <d v="2025-04-02T00:00:00"/>
        <d v="2025-04-03T00:00:00"/>
        <d v="2025-04-04T00:00:00"/>
        <d v="2025-04-05T00:00:00"/>
        <d v="2025-04-06T00:00:00"/>
        <d v="2025-04-07T00:00:00"/>
        <d v="2025-04-08T00:00:00"/>
        <d v="2025-04-09T00:00:00"/>
        <d v="2025-04-10T00:00:00"/>
        <d v="2025-04-11T00:00:00"/>
        <d v="2025-04-12T00:00:00"/>
        <d v="2025-04-13T00:00:00"/>
        <d v="2025-04-14T00:00:00"/>
        <d v="2025-04-15T00:00:00"/>
        <d v="2025-04-16T00:00:00"/>
        <d v="2025-04-17T00:00:00"/>
        <d v="2025-04-18T00:00:00"/>
        <d v="2025-04-19T00:00:00"/>
        <d v="2025-04-20T00:00:00"/>
        <d v="2025-04-21T00:00:00"/>
        <d v="2025-04-22T00:00:00"/>
        <d v="2025-04-23T00:00:00"/>
        <d v="2025-04-24T00:00:00"/>
        <d v="2025-04-25T00:00:00"/>
        <d v="2025-04-26T00:00:00"/>
        <d v="2025-04-27T00:00:00"/>
        <d v="2025-04-28T00:00:00"/>
        <d v="2025-04-29T00:00:00"/>
        <d v="2025-04-30T00:00:00"/>
      </sharedItems>
      <fieldGroup par="7"/>
    </cacheField>
    <cacheField name="Time" numFmtId="172">
      <sharedItems containsSemiMixedTypes="0" containsNonDate="0" containsDate="1" containsString="0" minDate="1899-12-30T00:00:00" maxDate="1899-12-30T23:59:00"/>
    </cacheField>
    <cacheField name="Time_Category" numFmtId="0">
      <sharedItems count="6">
        <s v="Morning"/>
        <s v="After Evening"/>
        <s v="Afternoon"/>
        <s v="Day" u="1"/>
        <s v="Evening" u="1"/>
        <s v="Night" u="1"/>
      </sharedItems>
    </cacheField>
    <cacheField name="Week label " numFmtId="0">
      <sharedItems count="29">
        <s v="01-11-2024 to 07-11-2024"/>
        <s v="08-11-2024 to 14-11-2024"/>
        <s v="15-11-2024 to 21-11-2024"/>
        <s v="22-11-2024 to 28-11-2024"/>
        <s v="29-11-2024 to 30-11-2024"/>
        <s v="01-12-2024 to 07-12-2024"/>
        <s v="08-12-2024 to 14-12-2024"/>
        <s v="15-12-2024 to 21-12-2024"/>
        <s v="22-12-2024 to 28-12-2024"/>
        <s v="29-12-2024 to 31-12-2024"/>
        <s v="01-01-2025 to 07-01-2025"/>
        <s v="08-01-2025 to 14-01-2025"/>
        <s v="15-01-2025 to 21-01-2025"/>
        <s v="22-01-2025 to 28-01-2025"/>
        <s v="29-01-2025 to 31-01-2025"/>
        <s v="01-02-2025 to 07-02-2025"/>
        <s v="08-02-2025 to 14-02-2025"/>
        <s v="15-02-2025 to 21-02-2025"/>
        <s v="22-02-2025 to 28-02-2025"/>
        <s v="01-03-2025 to 07-03-2025"/>
        <s v="08-03-2025 to 14-03-2025"/>
        <s v="15-03-2025 to 21-03-2025"/>
        <s v="22-03-2025 to 28-03-2025"/>
        <s v="29-03-2025 to 31-03-2025"/>
        <s v="01-04-2025 to 07-04-2025"/>
        <s v="08-04-2025 to 14-04-2025"/>
        <s v="15-04-2025 to 21-04-2025"/>
        <s v="22-04-2025 to 28-04-2025"/>
        <s v="29-04-2025 to 30-04-2025"/>
      </sharedItems>
    </cacheField>
    <cacheField name="TOP COMPARISON" numFmtId="0">
      <sharedItems count="2">
        <s v="No"/>
        <s v="Yes"/>
      </sharedItems>
    </cacheField>
    <cacheField name="Months (Date)" numFmtId="0" databaseField="0">
      <fieldGroup base="0">
        <rangePr groupBy="months" startDate="2024-11-01T00:00:00" endDate="2025-05-01T00:00:00"/>
        <groupItems count="14">
          <s v="&lt;01-11-2024"/>
          <s v="Jan"/>
          <s v="Feb"/>
          <s v="Mar"/>
          <s v="Apr"/>
          <s v="May"/>
          <s v="Jun"/>
          <s v="Jul"/>
          <s v="Aug"/>
          <s v="Sep"/>
          <s v="Oct"/>
          <s v="Nov"/>
          <s v="Dec"/>
          <s v="&gt;01-05-2025"/>
        </groupItems>
      </fieldGroup>
    </cacheField>
    <cacheField name="Quarters (Date)" numFmtId="0" databaseField="0">
      <fieldGroup base="0">
        <rangePr groupBy="quarters" startDate="2024-11-01T00:00:00" endDate="2025-05-01T00:00:00"/>
        <groupItems count="6">
          <s v="&lt;01-11-2024"/>
          <s v="Qtr1"/>
          <s v="Qtr2"/>
          <s v="Qtr3"/>
          <s v="Qtr4"/>
          <s v="&gt;01-05-2025"/>
        </groupItems>
      </fieldGroup>
    </cacheField>
    <cacheField name="Years (Date)" numFmtId="0" databaseField="0">
      <fieldGroup base="0">
        <rangePr groupBy="years" startDate="2024-11-01T00:00:00" endDate="2025-05-01T00:00:00"/>
        <groupItems count="4">
          <s v="&lt;01-11-2024"/>
          <s v="2024"/>
          <s v="2025"/>
          <s v="&gt;01-05-20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x v="0"/>
    <x v="0"/>
    <n v="5000"/>
    <x v="0"/>
    <n v="21"/>
    <n v="7"/>
  </r>
  <r>
    <x v="1"/>
    <x v="1"/>
    <n v="4500"/>
    <x v="1"/>
    <n v="31"/>
    <n v="7"/>
  </r>
  <r>
    <x v="2"/>
    <x v="2"/>
    <n v="2000"/>
    <x v="2"/>
    <n v="18"/>
    <n v="7"/>
  </r>
  <r>
    <x v="3"/>
    <x v="3"/>
    <n v="2000"/>
    <x v="3"/>
    <n v="16"/>
    <n v="7"/>
  </r>
  <r>
    <x v="4"/>
    <x v="4"/>
    <n v="3000"/>
    <x v="4"/>
    <n v="12"/>
    <n v="2"/>
  </r>
  <r>
    <x v="5"/>
    <x v="5"/>
    <n v="3500"/>
    <x v="5"/>
    <n v="26"/>
    <n v="7"/>
  </r>
  <r>
    <x v="6"/>
    <x v="6"/>
    <n v="3200"/>
    <x v="6"/>
    <n v="37"/>
    <n v="7"/>
  </r>
  <r>
    <x v="7"/>
    <x v="7"/>
    <n v="3300"/>
    <x v="3"/>
    <n v="25"/>
    <n v="7"/>
  </r>
  <r>
    <x v="8"/>
    <x v="8"/>
    <n v="4000"/>
    <x v="7"/>
    <n v="19"/>
    <n v="7"/>
  </r>
  <r>
    <x v="9"/>
    <x v="9"/>
    <n v="1100"/>
    <x v="8"/>
    <n v="7"/>
    <n v="3"/>
  </r>
  <r>
    <x v="10"/>
    <x v="10"/>
    <n v="3200"/>
    <x v="9"/>
    <n v="18"/>
    <n v="7"/>
  </r>
  <r>
    <x v="11"/>
    <x v="11"/>
    <n v="6700"/>
    <x v="10"/>
    <n v="84"/>
    <n v="7"/>
  </r>
  <r>
    <x v="12"/>
    <x v="12"/>
    <n v="2600"/>
    <x v="11"/>
    <n v="41"/>
    <n v="7"/>
  </r>
  <r>
    <x v="13"/>
    <x v="13"/>
    <n v="1000"/>
    <x v="12"/>
    <n v="8"/>
    <n v="7"/>
  </r>
  <r>
    <x v="14"/>
    <x v="14"/>
    <n v="900"/>
    <x v="13"/>
    <n v="12"/>
    <n v="3"/>
  </r>
  <r>
    <x v="15"/>
    <x v="15"/>
    <n v="2000"/>
    <x v="0"/>
    <n v="30"/>
    <n v="7"/>
  </r>
  <r>
    <x v="16"/>
    <x v="16"/>
    <n v="1500"/>
    <x v="14"/>
    <n v="28"/>
    <n v="7"/>
  </r>
  <r>
    <x v="17"/>
    <x v="17"/>
    <n v="2200"/>
    <x v="4"/>
    <n v="31"/>
    <n v="7"/>
  </r>
  <r>
    <x v="18"/>
    <x v="18"/>
    <n v="3300"/>
    <x v="15"/>
    <n v="36"/>
    <n v="7"/>
  </r>
  <r>
    <x v="19"/>
    <x v="19"/>
    <n v="9000"/>
    <x v="16"/>
    <n v="74"/>
    <n v="7"/>
  </r>
  <r>
    <x v="20"/>
    <x v="20"/>
    <n v="7500"/>
    <x v="17"/>
    <n v="62"/>
    <n v="7"/>
  </r>
  <r>
    <x v="21"/>
    <x v="21"/>
    <n v="8200"/>
    <x v="18"/>
    <n v="75"/>
    <n v="7"/>
  </r>
  <r>
    <x v="22"/>
    <x v="22"/>
    <n v="5000"/>
    <x v="19"/>
    <n v="35"/>
    <n v="7"/>
  </r>
  <r>
    <x v="23"/>
    <x v="23"/>
    <n v="2000"/>
    <x v="3"/>
    <n v="27"/>
    <n v="3"/>
  </r>
  <r>
    <x v="24"/>
    <x v="24"/>
    <n v="7300"/>
    <x v="17"/>
    <n v="52"/>
    <n v="7"/>
  </r>
  <r>
    <x v="25"/>
    <x v="25"/>
    <n v="9400"/>
    <x v="20"/>
    <n v="63"/>
    <n v="7"/>
  </r>
  <r>
    <x v="26"/>
    <x v="26"/>
    <n v="5600"/>
    <x v="7"/>
    <n v="41"/>
    <n v="7"/>
  </r>
  <r>
    <x v="27"/>
    <x v="27"/>
    <n v="10000"/>
    <x v="21"/>
    <n v="57"/>
    <n v="7"/>
  </r>
  <r>
    <x v="28"/>
    <x v="28"/>
    <n v="4100"/>
    <x v="22"/>
    <n v="32"/>
    <n v="2"/>
  </r>
  <r>
    <x v="29"/>
    <x v="29"/>
    <n v="14500"/>
    <x v="23"/>
    <n v="99"/>
    <n v="7"/>
  </r>
  <r>
    <x v="30"/>
    <x v="30"/>
    <n v="8200"/>
    <x v="21"/>
    <n v="64"/>
    <n v="7"/>
  </r>
  <r>
    <x v="31"/>
    <x v="31"/>
    <n v="9000"/>
    <x v="18"/>
    <n v="97"/>
    <n v="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x v="0"/>
    <d v="1899-12-30T10:55:00"/>
    <x v="0"/>
    <x v="0"/>
    <x v="0"/>
  </r>
  <r>
    <x v="0"/>
    <d v="1899-12-30T21:18:00"/>
    <x v="1"/>
    <x v="0"/>
    <x v="0"/>
  </r>
  <r>
    <x v="0"/>
    <d v="1899-12-30T21:50:00"/>
    <x v="1"/>
    <x v="0"/>
    <x v="0"/>
  </r>
  <r>
    <x v="1"/>
    <d v="1899-12-30T08:04:00"/>
    <x v="0"/>
    <x v="0"/>
    <x v="0"/>
  </r>
  <r>
    <x v="1"/>
    <d v="1899-12-30T13:29:00"/>
    <x v="2"/>
    <x v="0"/>
    <x v="0"/>
  </r>
  <r>
    <x v="1"/>
    <d v="1899-12-30T16:03:00"/>
    <x v="2"/>
    <x v="0"/>
    <x v="0"/>
  </r>
  <r>
    <x v="2"/>
    <d v="1899-12-30T09:38:00"/>
    <x v="0"/>
    <x v="0"/>
    <x v="0"/>
  </r>
  <r>
    <x v="2"/>
    <d v="1899-12-30T09:39:00"/>
    <x v="0"/>
    <x v="0"/>
    <x v="0"/>
  </r>
  <r>
    <x v="2"/>
    <d v="1899-12-30T09:59:00"/>
    <x v="0"/>
    <x v="0"/>
    <x v="0"/>
  </r>
  <r>
    <x v="2"/>
    <d v="1899-12-30T12:10:00"/>
    <x v="2"/>
    <x v="0"/>
    <x v="0"/>
  </r>
  <r>
    <x v="2"/>
    <d v="1899-12-30T13:49:00"/>
    <x v="2"/>
    <x v="0"/>
    <x v="0"/>
  </r>
  <r>
    <x v="2"/>
    <d v="1899-12-30T14:11:00"/>
    <x v="2"/>
    <x v="0"/>
    <x v="0"/>
  </r>
  <r>
    <x v="2"/>
    <d v="1899-12-30T17:21:00"/>
    <x v="1"/>
    <x v="0"/>
    <x v="0"/>
  </r>
  <r>
    <x v="2"/>
    <d v="1899-12-30T17:37:00"/>
    <x v="1"/>
    <x v="0"/>
    <x v="0"/>
  </r>
  <r>
    <x v="3"/>
    <d v="1899-12-30T09:29:00"/>
    <x v="0"/>
    <x v="0"/>
    <x v="0"/>
  </r>
  <r>
    <x v="3"/>
    <d v="1899-12-30T19:34:00"/>
    <x v="1"/>
    <x v="0"/>
    <x v="0"/>
  </r>
  <r>
    <x v="3"/>
    <d v="1899-12-30T20:23:00"/>
    <x v="1"/>
    <x v="0"/>
    <x v="0"/>
  </r>
  <r>
    <x v="3"/>
    <d v="1899-12-30T20:29:00"/>
    <x v="1"/>
    <x v="0"/>
    <x v="0"/>
  </r>
  <r>
    <x v="4"/>
    <d v="1899-12-30T11:17:00"/>
    <x v="0"/>
    <x v="0"/>
    <x v="0"/>
  </r>
  <r>
    <x v="4"/>
    <d v="1899-12-30T14:48:00"/>
    <x v="2"/>
    <x v="0"/>
    <x v="0"/>
  </r>
  <r>
    <x v="5"/>
    <d v="1899-12-30T08:58:00"/>
    <x v="0"/>
    <x v="0"/>
    <x v="0"/>
  </r>
  <r>
    <x v="6"/>
    <d v="1899-12-30T18:22:00"/>
    <x v="1"/>
    <x v="1"/>
    <x v="0"/>
  </r>
  <r>
    <x v="6"/>
    <d v="1899-12-30T18:49:00"/>
    <x v="1"/>
    <x v="1"/>
    <x v="0"/>
  </r>
  <r>
    <x v="7"/>
    <d v="1899-12-30T15:12:00"/>
    <x v="2"/>
    <x v="1"/>
    <x v="0"/>
  </r>
  <r>
    <x v="8"/>
    <d v="1899-12-30T12:43:00"/>
    <x v="2"/>
    <x v="1"/>
    <x v="0"/>
  </r>
  <r>
    <x v="8"/>
    <d v="1899-12-30T13:08:00"/>
    <x v="2"/>
    <x v="1"/>
    <x v="0"/>
  </r>
  <r>
    <x v="8"/>
    <d v="1899-12-30T14:43:00"/>
    <x v="2"/>
    <x v="1"/>
    <x v="0"/>
  </r>
  <r>
    <x v="8"/>
    <d v="1899-12-30T14:50:00"/>
    <x v="2"/>
    <x v="1"/>
    <x v="0"/>
  </r>
  <r>
    <x v="8"/>
    <d v="1899-12-30T15:41:00"/>
    <x v="2"/>
    <x v="1"/>
    <x v="0"/>
  </r>
  <r>
    <x v="8"/>
    <d v="1899-12-30T17:23:00"/>
    <x v="1"/>
    <x v="1"/>
    <x v="0"/>
  </r>
  <r>
    <x v="8"/>
    <d v="1899-12-30T17:36:00"/>
    <x v="1"/>
    <x v="1"/>
    <x v="0"/>
  </r>
  <r>
    <x v="8"/>
    <d v="1899-12-30T22:25:00"/>
    <x v="1"/>
    <x v="1"/>
    <x v="0"/>
  </r>
  <r>
    <x v="9"/>
    <d v="1899-12-30T10:07:00"/>
    <x v="0"/>
    <x v="1"/>
    <x v="0"/>
  </r>
  <r>
    <x v="9"/>
    <d v="1899-12-30T10:07:00"/>
    <x v="0"/>
    <x v="1"/>
    <x v="0"/>
  </r>
  <r>
    <x v="9"/>
    <d v="1899-12-30T12:47:00"/>
    <x v="2"/>
    <x v="1"/>
    <x v="0"/>
  </r>
  <r>
    <x v="10"/>
    <d v="1899-12-30T10:14:00"/>
    <x v="0"/>
    <x v="1"/>
    <x v="0"/>
  </r>
  <r>
    <x v="10"/>
    <d v="1899-12-30T10:14:00"/>
    <x v="0"/>
    <x v="1"/>
    <x v="0"/>
  </r>
  <r>
    <x v="10"/>
    <d v="1899-12-30T10:28:00"/>
    <x v="0"/>
    <x v="1"/>
    <x v="0"/>
  </r>
  <r>
    <x v="10"/>
    <d v="1899-12-30T10:30:00"/>
    <x v="0"/>
    <x v="1"/>
    <x v="0"/>
  </r>
  <r>
    <x v="10"/>
    <d v="1899-12-30T16:35:00"/>
    <x v="2"/>
    <x v="1"/>
    <x v="0"/>
  </r>
  <r>
    <x v="10"/>
    <d v="1899-12-30T17:01:00"/>
    <x v="1"/>
    <x v="1"/>
    <x v="0"/>
  </r>
  <r>
    <x v="10"/>
    <d v="1899-12-30T19:45:00"/>
    <x v="1"/>
    <x v="1"/>
    <x v="0"/>
  </r>
  <r>
    <x v="11"/>
    <d v="1899-12-30T09:26:00"/>
    <x v="0"/>
    <x v="1"/>
    <x v="0"/>
  </r>
  <r>
    <x v="11"/>
    <d v="1899-12-30T09:47:00"/>
    <x v="0"/>
    <x v="1"/>
    <x v="0"/>
  </r>
  <r>
    <x v="11"/>
    <d v="1899-12-30T10:55:00"/>
    <x v="0"/>
    <x v="1"/>
    <x v="0"/>
  </r>
  <r>
    <x v="11"/>
    <d v="1899-12-30T10:57:00"/>
    <x v="0"/>
    <x v="1"/>
    <x v="0"/>
  </r>
  <r>
    <x v="11"/>
    <d v="1899-12-30T17:23:00"/>
    <x v="1"/>
    <x v="1"/>
    <x v="0"/>
  </r>
  <r>
    <x v="12"/>
    <d v="1899-12-30T09:19:00"/>
    <x v="0"/>
    <x v="1"/>
    <x v="0"/>
  </r>
  <r>
    <x v="12"/>
    <d v="1899-12-30T12:25:00"/>
    <x v="2"/>
    <x v="1"/>
    <x v="0"/>
  </r>
  <r>
    <x v="12"/>
    <d v="1899-12-30T12:52:00"/>
    <x v="2"/>
    <x v="1"/>
    <x v="0"/>
  </r>
  <r>
    <x v="12"/>
    <d v="1899-12-30T13:31:00"/>
    <x v="2"/>
    <x v="1"/>
    <x v="0"/>
  </r>
  <r>
    <x v="12"/>
    <d v="1899-12-30T14:11:00"/>
    <x v="2"/>
    <x v="1"/>
    <x v="0"/>
  </r>
  <r>
    <x v="13"/>
    <d v="1899-12-30T12:02:00"/>
    <x v="2"/>
    <x v="2"/>
    <x v="0"/>
  </r>
  <r>
    <x v="13"/>
    <d v="1899-12-30T22:43:00"/>
    <x v="1"/>
    <x v="2"/>
    <x v="0"/>
  </r>
  <r>
    <x v="14"/>
    <d v="1899-12-30T21:08:00"/>
    <x v="1"/>
    <x v="2"/>
    <x v="0"/>
  </r>
  <r>
    <x v="15"/>
    <d v="1899-12-30T09:25:00"/>
    <x v="0"/>
    <x v="2"/>
    <x v="0"/>
  </r>
  <r>
    <x v="15"/>
    <d v="1899-12-30T09:58:00"/>
    <x v="0"/>
    <x v="2"/>
    <x v="0"/>
  </r>
  <r>
    <x v="15"/>
    <d v="1899-12-30T17:30:00"/>
    <x v="1"/>
    <x v="2"/>
    <x v="0"/>
  </r>
  <r>
    <x v="15"/>
    <d v="1899-12-30T18:07:00"/>
    <x v="1"/>
    <x v="2"/>
    <x v="0"/>
  </r>
  <r>
    <x v="15"/>
    <d v="1899-12-30T21:59:00"/>
    <x v="1"/>
    <x v="2"/>
    <x v="0"/>
  </r>
  <r>
    <x v="16"/>
    <d v="1899-12-30T14:32:00"/>
    <x v="2"/>
    <x v="2"/>
    <x v="0"/>
  </r>
  <r>
    <x v="17"/>
    <d v="1899-12-30T00:02:00"/>
    <x v="1"/>
    <x v="2"/>
    <x v="0"/>
  </r>
  <r>
    <x v="17"/>
    <d v="1899-12-30T10:09:00"/>
    <x v="0"/>
    <x v="2"/>
    <x v="0"/>
  </r>
  <r>
    <x v="17"/>
    <d v="1899-12-30T10:42:00"/>
    <x v="0"/>
    <x v="2"/>
    <x v="0"/>
  </r>
  <r>
    <x v="17"/>
    <d v="1899-12-30T10:50:00"/>
    <x v="0"/>
    <x v="2"/>
    <x v="0"/>
  </r>
  <r>
    <x v="17"/>
    <d v="1899-12-30T11:10:00"/>
    <x v="0"/>
    <x v="2"/>
    <x v="0"/>
  </r>
  <r>
    <x v="17"/>
    <d v="1899-12-30T11:42:00"/>
    <x v="0"/>
    <x v="2"/>
    <x v="0"/>
  </r>
  <r>
    <x v="17"/>
    <d v="1899-12-30T18:44:00"/>
    <x v="1"/>
    <x v="2"/>
    <x v="0"/>
  </r>
  <r>
    <x v="17"/>
    <d v="1899-12-30T22:59:00"/>
    <x v="1"/>
    <x v="2"/>
    <x v="0"/>
  </r>
  <r>
    <x v="17"/>
    <d v="1899-12-30T23:00:00"/>
    <x v="1"/>
    <x v="2"/>
    <x v="0"/>
  </r>
  <r>
    <x v="18"/>
    <d v="1899-12-30T08:41:00"/>
    <x v="0"/>
    <x v="3"/>
    <x v="0"/>
  </r>
  <r>
    <x v="18"/>
    <d v="1899-12-30T08:42:00"/>
    <x v="0"/>
    <x v="3"/>
    <x v="0"/>
  </r>
  <r>
    <x v="18"/>
    <d v="1899-12-30T11:14:00"/>
    <x v="0"/>
    <x v="3"/>
    <x v="0"/>
  </r>
  <r>
    <x v="19"/>
    <d v="1899-12-30T17:25:00"/>
    <x v="1"/>
    <x v="3"/>
    <x v="0"/>
  </r>
  <r>
    <x v="19"/>
    <d v="1899-12-30T18:01:00"/>
    <x v="1"/>
    <x v="3"/>
    <x v="0"/>
  </r>
  <r>
    <x v="19"/>
    <d v="1899-12-30T19:10:00"/>
    <x v="1"/>
    <x v="3"/>
    <x v="0"/>
  </r>
  <r>
    <x v="20"/>
    <d v="1899-12-30T00:02:00"/>
    <x v="1"/>
    <x v="3"/>
    <x v="0"/>
  </r>
  <r>
    <x v="20"/>
    <d v="1899-12-30T00:03:00"/>
    <x v="1"/>
    <x v="3"/>
    <x v="0"/>
  </r>
  <r>
    <x v="20"/>
    <d v="1899-12-30T00:03:00"/>
    <x v="1"/>
    <x v="3"/>
    <x v="0"/>
  </r>
  <r>
    <x v="20"/>
    <d v="1899-12-30T16:58:00"/>
    <x v="2"/>
    <x v="3"/>
    <x v="0"/>
  </r>
  <r>
    <x v="21"/>
    <d v="1899-12-30T19:50:00"/>
    <x v="1"/>
    <x v="3"/>
    <x v="0"/>
  </r>
  <r>
    <x v="22"/>
    <d v="1899-12-30T12:36:00"/>
    <x v="2"/>
    <x v="3"/>
    <x v="0"/>
  </r>
  <r>
    <x v="22"/>
    <d v="1899-12-30T13:37:00"/>
    <x v="2"/>
    <x v="3"/>
    <x v="0"/>
  </r>
  <r>
    <x v="22"/>
    <d v="1899-12-30T14:39:00"/>
    <x v="2"/>
    <x v="3"/>
    <x v="0"/>
  </r>
  <r>
    <x v="22"/>
    <d v="1899-12-30T19:02:00"/>
    <x v="1"/>
    <x v="3"/>
    <x v="0"/>
  </r>
  <r>
    <x v="22"/>
    <d v="1899-12-30T19:11:00"/>
    <x v="1"/>
    <x v="3"/>
    <x v="0"/>
  </r>
  <r>
    <x v="23"/>
    <d v="1899-12-30T13:20:00"/>
    <x v="2"/>
    <x v="4"/>
    <x v="0"/>
  </r>
  <r>
    <x v="23"/>
    <d v="1899-12-30T14:59:00"/>
    <x v="2"/>
    <x v="4"/>
    <x v="0"/>
  </r>
  <r>
    <x v="23"/>
    <d v="1899-12-30T16:30:00"/>
    <x v="2"/>
    <x v="4"/>
    <x v="0"/>
  </r>
  <r>
    <x v="23"/>
    <d v="1899-12-30T23:54:00"/>
    <x v="1"/>
    <x v="4"/>
    <x v="0"/>
  </r>
  <r>
    <x v="24"/>
    <d v="1899-12-30T00:22:00"/>
    <x v="1"/>
    <x v="4"/>
    <x v="0"/>
  </r>
  <r>
    <x v="24"/>
    <d v="1899-12-30T00:23:00"/>
    <x v="1"/>
    <x v="4"/>
    <x v="0"/>
  </r>
  <r>
    <x v="24"/>
    <d v="1899-12-30T00:24:00"/>
    <x v="1"/>
    <x v="4"/>
    <x v="0"/>
  </r>
  <r>
    <x v="24"/>
    <d v="1899-12-30T12:06:00"/>
    <x v="2"/>
    <x v="4"/>
    <x v="0"/>
  </r>
  <r>
    <x v="24"/>
    <d v="1899-12-30T12:48:00"/>
    <x v="2"/>
    <x v="4"/>
    <x v="0"/>
  </r>
  <r>
    <x v="24"/>
    <d v="1899-12-30T12:58:00"/>
    <x v="2"/>
    <x v="4"/>
    <x v="0"/>
  </r>
  <r>
    <x v="24"/>
    <d v="1899-12-30T17:43:00"/>
    <x v="1"/>
    <x v="4"/>
    <x v="0"/>
  </r>
  <r>
    <x v="24"/>
    <d v="1899-12-30T19:40:00"/>
    <x v="1"/>
    <x v="4"/>
    <x v="0"/>
  </r>
  <r>
    <x v="25"/>
    <d v="1899-12-30T08:04:00"/>
    <x v="0"/>
    <x v="5"/>
    <x v="0"/>
  </r>
  <r>
    <x v="25"/>
    <d v="1899-12-30T13:26:00"/>
    <x v="2"/>
    <x v="5"/>
    <x v="0"/>
  </r>
  <r>
    <x v="26"/>
    <d v="1899-12-30T13:02:00"/>
    <x v="2"/>
    <x v="5"/>
    <x v="0"/>
  </r>
  <r>
    <x v="26"/>
    <d v="1899-12-30T13:12:00"/>
    <x v="2"/>
    <x v="5"/>
    <x v="0"/>
  </r>
  <r>
    <x v="26"/>
    <d v="1899-12-30T13:12:00"/>
    <x v="2"/>
    <x v="5"/>
    <x v="0"/>
  </r>
  <r>
    <x v="26"/>
    <d v="1899-12-30T13:16:00"/>
    <x v="2"/>
    <x v="5"/>
    <x v="0"/>
  </r>
  <r>
    <x v="27"/>
    <d v="1899-12-30T11:31:00"/>
    <x v="0"/>
    <x v="5"/>
    <x v="0"/>
  </r>
  <r>
    <x v="27"/>
    <d v="1899-12-30T15:46:00"/>
    <x v="2"/>
    <x v="5"/>
    <x v="0"/>
  </r>
  <r>
    <x v="28"/>
    <d v="1899-12-30T15:55:00"/>
    <x v="2"/>
    <x v="5"/>
    <x v="0"/>
  </r>
  <r>
    <x v="29"/>
    <d v="1899-12-30T07:36:00"/>
    <x v="0"/>
    <x v="5"/>
    <x v="0"/>
  </r>
  <r>
    <x v="29"/>
    <d v="1899-12-30T10:09:00"/>
    <x v="0"/>
    <x v="5"/>
    <x v="0"/>
  </r>
  <r>
    <x v="29"/>
    <d v="1899-12-30T10:11:00"/>
    <x v="0"/>
    <x v="5"/>
    <x v="0"/>
  </r>
  <r>
    <x v="29"/>
    <d v="1899-12-30T10:11:00"/>
    <x v="0"/>
    <x v="5"/>
    <x v="0"/>
  </r>
  <r>
    <x v="29"/>
    <d v="1899-12-30T10:12:00"/>
    <x v="0"/>
    <x v="5"/>
    <x v="0"/>
  </r>
  <r>
    <x v="29"/>
    <d v="1899-12-30T10:12:00"/>
    <x v="0"/>
    <x v="5"/>
    <x v="0"/>
  </r>
  <r>
    <x v="29"/>
    <d v="1899-12-30T10:16:00"/>
    <x v="0"/>
    <x v="5"/>
    <x v="0"/>
  </r>
  <r>
    <x v="29"/>
    <d v="1899-12-30T10:17:00"/>
    <x v="0"/>
    <x v="5"/>
    <x v="0"/>
  </r>
  <r>
    <x v="29"/>
    <d v="1899-12-30T10:39:00"/>
    <x v="0"/>
    <x v="5"/>
    <x v="0"/>
  </r>
  <r>
    <x v="29"/>
    <d v="1899-12-30T11:16:00"/>
    <x v="0"/>
    <x v="5"/>
    <x v="0"/>
  </r>
  <r>
    <x v="29"/>
    <d v="1899-12-30T14:40:00"/>
    <x v="2"/>
    <x v="5"/>
    <x v="0"/>
  </r>
  <r>
    <x v="29"/>
    <d v="1899-12-30T20:54:00"/>
    <x v="1"/>
    <x v="5"/>
    <x v="0"/>
  </r>
  <r>
    <x v="30"/>
    <d v="1899-12-30T09:35:00"/>
    <x v="0"/>
    <x v="5"/>
    <x v="0"/>
  </r>
  <r>
    <x v="30"/>
    <d v="1899-12-30T10:49:00"/>
    <x v="0"/>
    <x v="5"/>
    <x v="0"/>
  </r>
  <r>
    <x v="30"/>
    <d v="1899-12-30T15:35:00"/>
    <x v="2"/>
    <x v="5"/>
    <x v="0"/>
  </r>
  <r>
    <x v="30"/>
    <d v="1899-12-30T17:13:00"/>
    <x v="1"/>
    <x v="5"/>
    <x v="0"/>
  </r>
  <r>
    <x v="30"/>
    <d v="1899-12-30T19:35:00"/>
    <x v="1"/>
    <x v="5"/>
    <x v="0"/>
  </r>
  <r>
    <x v="31"/>
    <d v="1899-12-30T12:26:00"/>
    <x v="2"/>
    <x v="6"/>
    <x v="0"/>
  </r>
  <r>
    <x v="31"/>
    <d v="1899-12-30T12:31:00"/>
    <x v="2"/>
    <x v="6"/>
    <x v="0"/>
  </r>
  <r>
    <x v="31"/>
    <d v="1899-12-30T12:41:00"/>
    <x v="2"/>
    <x v="6"/>
    <x v="0"/>
  </r>
  <r>
    <x v="31"/>
    <d v="1899-12-30T13:18:00"/>
    <x v="2"/>
    <x v="6"/>
    <x v="0"/>
  </r>
  <r>
    <x v="31"/>
    <d v="1899-12-30T15:08:00"/>
    <x v="2"/>
    <x v="6"/>
    <x v="0"/>
  </r>
  <r>
    <x v="31"/>
    <d v="1899-12-30T21:04:00"/>
    <x v="1"/>
    <x v="6"/>
    <x v="0"/>
  </r>
  <r>
    <x v="31"/>
    <d v="1899-12-30T21:04:00"/>
    <x v="1"/>
    <x v="6"/>
    <x v="0"/>
  </r>
  <r>
    <x v="32"/>
    <d v="1899-12-30T10:53:00"/>
    <x v="0"/>
    <x v="6"/>
    <x v="0"/>
  </r>
  <r>
    <x v="32"/>
    <d v="1899-12-30T10:55:00"/>
    <x v="0"/>
    <x v="6"/>
    <x v="0"/>
  </r>
  <r>
    <x v="32"/>
    <d v="1899-12-30T11:03:00"/>
    <x v="0"/>
    <x v="6"/>
    <x v="0"/>
  </r>
  <r>
    <x v="32"/>
    <d v="1899-12-30T11:49:00"/>
    <x v="0"/>
    <x v="6"/>
    <x v="0"/>
  </r>
  <r>
    <x v="32"/>
    <d v="1899-12-30T13:26:00"/>
    <x v="2"/>
    <x v="6"/>
    <x v="0"/>
  </r>
  <r>
    <x v="32"/>
    <d v="1899-12-30T13:29:00"/>
    <x v="2"/>
    <x v="6"/>
    <x v="0"/>
  </r>
  <r>
    <x v="32"/>
    <d v="1899-12-30T16:40:00"/>
    <x v="2"/>
    <x v="6"/>
    <x v="0"/>
  </r>
  <r>
    <x v="32"/>
    <d v="1899-12-30T20:04:00"/>
    <x v="1"/>
    <x v="6"/>
    <x v="0"/>
  </r>
  <r>
    <x v="32"/>
    <d v="1899-12-30T20:11:00"/>
    <x v="1"/>
    <x v="6"/>
    <x v="0"/>
  </r>
  <r>
    <x v="33"/>
    <d v="1899-12-30T00:02:00"/>
    <x v="1"/>
    <x v="6"/>
    <x v="0"/>
  </r>
  <r>
    <x v="33"/>
    <d v="1899-12-30T00:08:00"/>
    <x v="1"/>
    <x v="6"/>
    <x v="0"/>
  </r>
  <r>
    <x v="33"/>
    <d v="1899-12-30T00:08:00"/>
    <x v="1"/>
    <x v="6"/>
    <x v="0"/>
  </r>
  <r>
    <x v="33"/>
    <d v="1899-12-30T00:09:00"/>
    <x v="1"/>
    <x v="6"/>
    <x v="0"/>
  </r>
  <r>
    <x v="33"/>
    <d v="1899-12-30T13:41:00"/>
    <x v="2"/>
    <x v="6"/>
    <x v="0"/>
  </r>
  <r>
    <x v="33"/>
    <d v="1899-12-30T15:32:00"/>
    <x v="2"/>
    <x v="6"/>
    <x v="0"/>
  </r>
  <r>
    <x v="33"/>
    <d v="1899-12-30T15:45:00"/>
    <x v="2"/>
    <x v="6"/>
    <x v="0"/>
  </r>
  <r>
    <x v="34"/>
    <d v="1899-12-30T08:04:00"/>
    <x v="0"/>
    <x v="6"/>
    <x v="0"/>
  </r>
  <r>
    <x v="34"/>
    <d v="1899-12-30T08:04:00"/>
    <x v="0"/>
    <x v="6"/>
    <x v="0"/>
  </r>
  <r>
    <x v="34"/>
    <d v="1899-12-30T10:12:00"/>
    <x v="0"/>
    <x v="6"/>
    <x v="0"/>
  </r>
  <r>
    <x v="34"/>
    <d v="1899-12-30T11:30:00"/>
    <x v="0"/>
    <x v="6"/>
    <x v="0"/>
  </r>
  <r>
    <x v="34"/>
    <d v="1899-12-30T11:36:00"/>
    <x v="0"/>
    <x v="6"/>
    <x v="0"/>
  </r>
  <r>
    <x v="34"/>
    <d v="1899-12-30T19:19:00"/>
    <x v="1"/>
    <x v="6"/>
    <x v="0"/>
  </r>
  <r>
    <x v="34"/>
    <d v="1899-12-30T19:44:00"/>
    <x v="1"/>
    <x v="6"/>
    <x v="0"/>
  </r>
  <r>
    <x v="34"/>
    <d v="1899-12-30T21:16:00"/>
    <x v="1"/>
    <x v="6"/>
    <x v="0"/>
  </r>
  <r>
    <x v="35"/>
    <d v="1899-12-30T10:21:00"/>
    <x v="0"/>
    <x v="6"/>
    <x v="0"/>
  </r>
  <r>
    <x v="36"/>
    <d v="1899-12-30T09:43:00"/>
    <x v="0"/>
    <x v="6"/>
    <x v="0"/>
  </r>
  <r>
    <x v="36"/>
    <d v="1899-12-30T10:13:00"/>
    <x v="0"/>
    <x v="6"/>
    <x v="0"/>
  </r>
  <r>
    <x v="36"/>
    <d v="1899-12-30T10:15:00"/>
    <x v="0"/>
    <x v="6"/>
    <x v="0"/>
  </r>
  <r>
    <x v="36"/>
    <d v="1899-12-30T10:48:00"/>
    <x v="0"/>
    <x v="6"/>
    <x v="0"/>
  </r>
  <r>
    <x v="36"/>
    <d v="1899-12-30T17:08:00"/>
    <x v="1"/>
    <x v="6"/>
    <x v="0"/>
  </r>
  <r>
    <x v="37"/>
    <d v="1899-12-30T10:55:00"/>
    <x v="0"/>
    <x v="7"/>
    <x v="0"/>
  </r>
  <r>
    <x v="38"/>
    <d v="1899-12-30T00:16:00"/>
    <x v="1"/>
    <x v="7"/>
    <x v="0"/>
  </r>
  <r>
    <x v="38"/>
    <d v="1899-12-30T00:17:00"/>
    <x v="1"/>
    <x v="7"/>
    <x v="0"/>
  </r>
  <r>
    <x v="38"/>
    <d v="1899-12-30T00:17:00"/>
    <x v="1"/>
    <x v="7"/>
    <x v="0"/>
  </r>
  <r>
    <x v="38"/>
    <d v="1899-12-30T00:17:00"/>
    <x v="1"/>
    <x v="7"/>
    <x v="0"/>
  </r>
  <r>
    <x v="38"/>
    <d v="1899-12-30T00:17:00"/>
    <x v="1"/>
    <x v="7"/>
    <x v="0"/>
  </r>
  <r>
    <x v="38"/>
    <d v="1899-12-30T00:17:00"/>
    <x v="1"/>
    <x v="7"/>
    <x v="0"/>
  </r>
  <r>
    <x v="38"/>
    <d v="1899-12-30T12:50:00"/>
    <x v="2"/>
    <x v="7"/>
    <x v="0"/>
  </r>
  <r>
    <x v="38"/>
    <d v="1899-12-30T16:03:00"/>
    <x v="2"/>
    <x v="7"/>
    <x v="0"/>
  </r>
  <r>
    <x v="38"/>
    <d v="1899-12-30T16:50:00"/>
    <x v="2"/>
    <x v="7"/>
    <x v="0"/>
  </r>
  <r>
    <x v="38"/>
    <d v="1899-12-30T17:08:00"/>
    <x v="1"/>
    <x v="7"/>
    <x v="0"/>
  </r>
  <r>
    <x v="38"/>
    <d v="1899-12-30T19:43:00"/>
    <x v="1"/>
    <x v="7"/>
    <x v="0"/>
  </r>
  <r>
    <x v="38"/>
    <d v="1899-12-30T20:13:00"/>
    <x v="1"/>
    <x v="7"/>
    <x v="0"/>
  </r>
  <r>
    <x v="38"/>
    <d v="1899-12-30T23:34:00"/>
    <x v="1"/>
    <x v="7"/>
    <x v="0"/>
  </r>
  <r>
    <x v="39"/>
    <d v="1899-12-30T15:00:00"/>
    <x v="2"/>
    <x v="7"/>
    <x v="0"/>
  </r>
  <r>
    <x v="40"/>
    <d v="1899-12-30T00:06:00"/>
    <x v="1"/>
    <x v="7"/>
    <x v="0"/>
  </r>
  <r>
    <x v="40"/>
    <d v="1899-12-30T00:06:00"/>
    <x v="1"/>
    <x v="7"/>
    <x v="0"/>
  </r>
  <r>
    <x v="40"/>
    <d v="1899-12-30T12:09:00"/>
    <x v="2"/>
    <x v="7"/>
    <x v="0"/>
  </r>
  <r>
    <x v="40"/>
    <d v="1899-12-30T21:39:00"/>
    <x v="1"/>
    <x v="7"/>
    <x v="0"/>
  </r>
  <r>
    <x v="41"/>
    <d v="1899-12-30T15:41:00"/>
    <x v="2"/>
    <x v="7"/>
    <x v="0"/>
  </r>
  <r>
    <x v="41"/>
    <d v="1899-12-30T15:53:00"/>
    <x v="2"/>
    <x v="7"/>
    <x v="0"/>
  </r>
  <r>
    <x v="41"/>
    <d v="1899-12-30T21:09:00"/>
    <x v="1"/>
    <x v="7"/>
    <x v="0"/>
  </r>
  <r>
    <x v="42"/>
    <d v="1899-12-30T10:38:00"/>
    <x v="0"/>
    <x v="7"/>
    <x v="0"/>
  </r>
  <r>
    <x v="43"/>
    <d v="1899-12-30T12:23:00"/>
    <x v="2"/>
    <x v="7"/>
    <x v="0"/>
  </r>
  <r>
    <x v="43"/>
    <d v="1899-12-30T12:23:00"/>
    <x v="2"/>
    <x v="7"/>
    <x v="0"/>
  </r>
  <r>
    <x v="44"/>
    <d v="1899-12-30T00:02:00"/>
    <x v="1"/>
    <x v="8"/>
    <x v="0"/>
  </r>
  <r>
    <x v="44"/>
    <d v="1899-12-30T00:02:00"/>
    <x v="1"/>
    <x v="8"/>
    <x v="0"/>
  </r>
  <r>
    <x v="44"/>
    <d v="1899-12-30T11:06:00"/>
    <x v="0"/>
    <x v="8"/>
    <x v="0"/>
  </r>
  <r>
    <x v="44"/>
    <d v="1899-12-30T17:07:00"/>
    <x v="1"/>
    <x v="8"/>
    <x v="0"/>
  </r>
  <r>
    <x v="45"/>
    <d v="1899-12-30T16:21:00"/>
    <x v="2"/>
    <x v="8"/>
    <x v="0"/>
  </r>
  <r>
    <x v="45"/>
    <d v="1899-12-30T19:22:00"/>
    <x v="1"/>
    <x v="8"/>
    <x v="0"/>
  </r>
  <r>
    <x v="46"/>
    <d v="1899-12-30T23:45:00"/>
    <x v="1"/>
    <x v="8"/>
    <x v="0"/>
  </r>
  <r>
    <x v="47"/>
    <d v="1899-12-30T11:22:00"/>
    <x v="0"/>
    <x v="8"/>
    <x v="0"/>
  </r>
  <r>
    <x v="47"/>
    <d v="1899-12-30T13:33:00"/>
    <x v="2"/>
    <x v="8"/>
    <x v="0"/>
  </r>
  <r>
    <x v="47"/>
    <d v="1899-12-30T14:19:00"/>
    <x v="2"/>
    <x v="8"/>
    <x v="0"/>
  </r>
  <r>
    <x v="47"/>
    <d v="1899-12-30T18:33:00"/>
    <x v="1"/>
    <x v="8"/>
    <x v="0"/>
  </r>
  <r>
    <x v="48"/>
    <d v="1899-12-30T10:55:00"/>
    <x v="0"/>
    <x v="8"/>
    <x v="0"/>
  </r>
  <r>
    <x v="48"/>
    <d v="1899-12-30T14:07:00"/>
    <x v="2"/>
    <x v="8"/>
    <x v="0"/>
  </r>
  <r>
    <x v="48"/>
    <d v="1899-12-30T14:07:00"/>
    <x v="2"/>
    <x v="8"/>
    <x v="0"/>
  </r>
  <r>
    <x v="48"/>
    <d v="1899-12-30T16:17:00"/>
    <x v="2"/>
    <x v="8"/>
    <x v="0"/>
  </r>
  <r>
    <x v="48"/>
    <d v="1899-12-30T17:41:00"/>
    <x v="1"/>
    <x v="8"/>
    <x v="0"/>
  </r>
  <r>
    <x v="48"/>
    <d v="1899-12-30T17:42:00"/>
    <x v="1"/>
    <x v="8"/>
    <x v="0"/>
  </r>
  <r>
    <x v="48"/>
    <d v="1899-12-30T21:28:00"/>
    <x v="1"/>
    <x v="8"/>
    <x v="0"/>
  </r>
  <r>
    <x v="49"/>
    <d v="1899-12-30T11:37:00"/>
    <x v="0"/>
    <x v="8"/>
    <x v="0"/>
  </r>
  <r>
    <x v="50"/>
    <d v="1899-12-30T00:20:00"/>
    <x v="1"/>
    <x v="9"/>
    <x v="0"/>
  </r>
  <r>
    <x v="50"/>
    <d v="1899-12-30T23:42:00"/>
    <x v="1"/>
    <x v="9"/>
    <x v="0"/>
  </r>
  <r>
    <x v="51"/>
    <d v="1899-12-30T10:03:00"/>
    <x v="0"/>
    <x v="9"/>
    <x v="0"/>
  </r>
  <r>
    <x v="51"/>
    <d v="1899-12-30T12:22:00"/>
    <x v="2"/>
    <x v="9"/>
    <x v="0"/>
  </r>
  <r>
    <x v="51"/>
    <d v="1899-12-30T12:24:00"/>
    <x v="2"/>
    <x v="9"/>
    <x v="0"/>
  </r>
  <r>
    <x v="51"/>
    <d v="1899-12-30T19:50:00"/>
    <x v="1"/>
    <x v="9"/>
    <x v="0"/>
  </r>
  <r>
    <x v="51"/>
    <d v="1899-12-30T20:50:00"/>
    <x v="1"/>
    <x v="9"/>
    <x v="0"/>
  </r>
  <r>
    <x v="52"/>
    <d v="1899-12-30T12:00:00"/>
    <x v="2"/>
    <x v="10"/>
    <x v="0"/>
  </r>
  <r>
    <x v="52"/>
    <d v="1899-12-30T12:13:00"/>
    <x v="2"/>
    <x v="10"/>
    <x v="0"/>
  </r>
  <r>
    <x v="53"/>
    <d v="1899-12-30T23:51:00"/>
    <x v="1"/>
    <x v="10"/>
    <x v="0"/>
  </r>
  <r>
    <x v="53"/>
    <d v="1899-12-30T23:51:00"/>
    <x v="1"/>
    <x v="10"/>
    <x v="0"/>
  </r>
  <r>
    <x v="54"/>
    <d v="1899-12-30T00:21:00"/>
    <x v="1"/>
    <x v="10"/>
    <x v="0"/>
  </r>
  <r>
    <x v="54"/>
    <d v="1899-12-30T00:21:00"/>
    <x v="1"/>
    <x v="10"/>
    <x v="0"/>
  </r>
  <r>
    <x v="54"/>
    <d v="1899-12-30T00:21:00"/>
    <x v="1"/>
    <x v="10"/>
    <x v="0"/>
  </r>
  <r>
    <x v="54"/>
    <d v="1899-12-30T00:21:00"/>
    <x v="1"/>
    <x v="10"/>
    <x v="0"/>
  </r>
  <r>
    <x v="54"/>
    <d v="1899-12-30T00:21:00"/>
    <x v="1"/>
    <x v="10"/>
    <x v="0"/>
  </r>
  <r>
    <x v="54"/>
    <d v="1899-12-30T00:21:00"/>
    <x v="1"/>
    <x v="10"/>
    <x v="0"/>
  </r>
  <r>
    <x v="54"/>
    <d v="1899-12-30T00:21:00"/>
    <x v="1"/>
    <x v="10"/>
    <x v="0"/>
  </r>
  <r>
    <x v="54"/>
    <d v="1899-12-30T00:21:00"/>
    <x v="1"/>
    <x v="10"/>
    <x v="0"/>
  </r>
  <r>
    <x v="54"/>
    <d v="1899-12-30T00:21:00"/>
    <x v="1"/>
    <x v="10"/>
    <x v="0"/>
  </r>
  <r>
    <x v="54"/>
    <d v="1899-12-30T16:48:00"/>
    <x v="2"/>
    <x v="10"/>
    <x v="0"/>
  </r>
  <r>
    <x v="55"/>
    <d v="1899-12-30T00:03:00"/>
    <x v="1"/>
    <x v="10"/>
    <x v="0"/>
  </r>
  <r>
    <x v="55"/>
    <d v="1899-12-30T00:03:00"/>
    <x v="1"/>
    <x v="10"/>
    <x v="0"/>
  </r>
  <r>
    <x v="55"/>
    <d v="1899-12-30T00:03:00"/>
    <x v="1"/>
    <x v="10"/>
    <x v="0"/>
  </r>
  <r>
    <x v="55"/>
    <d v="1899-12-30T23:48:00"/>
    <x v="1"/>
    <x v="10"/>
    <x v="0"/>
  </r>
  <r>
    <x v="56"/>
    <d v="1899-12-30T00:20:00"/>
    <x v="1"/>
    <x v="11"/>
    <x v="0"/>
  </r>
  <r>
    <x v="56"/>
    <d v="1899-12-30T00:20:00"/>
    <x v="1"/>
    <x v="11"/>
    <x v="0"/>
  </r>
  <r>
    <x v="56"/>
    <d v="1899-12-30T00:20:00"/>
    <x v="1"/>
    <x v="11"/>
    <x v="0"/>
  </r>
  <r>
    <x v="56"/>
    <d v="1899-12-30T00:20:00"/>
    <x v="1"/>
    <x v="11"/>
    <x v="0"/>
  </r>
  <r>
    <x v="56"/>
    <d v="1899-12-30T00:20:00"/>
    <x v="1"/>
    <x v="11"/>
    <x v="0"/>
  </r>
  <r>
    <x v="56"/>
    <d v="1899-12-30T00:20:00"/>
    <x v="1"/>
    <x v="11"/>
    <x v="0"/>
  </r>
  <r>
    <x v="56"/>
    <d v="1899-12-30T00:20:00"/>
    <x v="1"/>
    <x v="11"/>
    <x v="0"/>
  </r>
  <r>
    <x v="56"/>
    <d v="1899-12-30T00:20:00"/>
    <x v="1"/>
    <x v="11"/>
    <x v="0"/>
  </r>
  <r>
    <x v="56"/>
    <d v="1899-12-30T10:31:00"/>
    <x v="0"/>
    <x v="11"/>
    <x v="0"/>
  </r>
  <r>
    <x v="56"/>
    <d v="1899-12-30T10:31:00"/>
    <x v="0"/>
    <x v="11"/>
    <x v="0"/>
  </r>
  <r>
    <x v="56"/>
    <d v="1899-12-30T10:40:00"/>
    <x v="0"/>
    <x v="11"/>
    <x v="0"/>
  </r>
  <r>
    <x v="56"/>
    <d v="1899-12-30T10:50:00"/>
    <x v="0"/>
    <x v="11"/>
    <x v="0"/>
  </r>
  <r>
    <x v="56"/>
    <d v="1899-12-30T18:17:00"/>
    <x v="1"/>
    <x v="11"/>
    <x v="0"/>
  </r>
  <r>
    <x v="56"/>
    <d v="1899-12-30T19:20:00"/>
    <x v="1"/>
    <x v="11"/>
    <x v="0"/>
  </r>
  <r>
    <x v="57"/>
    <d v="1899-12-30T00:06:00"/>
    <x v="1"/>
    <x v="11"/>
    <x v="0"/>
  </r>
  <r>
    <x v="57"/>
    <d v="1899-12-30T11:38:00"/>
    <x v="0"/>
    <x v="11"/>
    <x v="0"/>
  </r>
  <r>
    <x v="57"/>
    <d v="1899-12-30T11:38:00"/>
    <x v="0"/>
    <x v="11"/>
    <x v="0"/>
  </r>
  <r>
    <x v="57"/>
    <d v="1899-12-30T18:04:00"/>
    <x v="1"/>
    <x v="11"/>
    <x v="0"/>
  </r>
  <r>
    <x v="57"/>
    <d v="1899-12-30T18:34:00"/>
    <x v="1"/>
    <x v="11"/>
    <x v="0"/>
  </r>
  <r>
    <x v="57"/>
    <d v="1899-12-30T18:37:00"/>
    <x v="1"/>
    <x v="11"/>
    <x v="0"/>
  </r>
  <r>
    <x v="57"/>
    <d v="1899-12-30T18:56:00"/>
    <x v="1"/>
    <x v="11"/>
    <x v="0"/>
  </r>
  <r>
    <x v="58"/>
    <d v="1899-12-30T00:02:00"/>
    <x v="1"/>
    <x v="11"/>
    <x v="0"/>
  </r>
  <r>
    <x v="58"/>
    <d v="1899-12-30T00:03:00"/>
    <x v="1"/>
    <x v="11"/>
    <x v="0"/>
  </r>
  <r>
    <x v="58"/>
    <d v="1899-12-30T00:03:00"/>
    <x v="1"/>
    <x v="11"/>
    <x v="0"/>
  </r>
  <r>
    <x v="58"/>
    <d v="1899-12-30T00:05:00"/>
    <x v="1"/>
    <x v="11"/>
    <x v="0"/>
  </r>
  <r>
    <x v="58"/>
    <d v="1899-12-30T00:10:00"/>
    <x v="1"/>
    <x v="11"/>
    <x v="0"/>
  </r>
  <r>
    <x v="58"/>
    <d v="1899-12-30T00:11:00"/>
    <x v="1"/>
    <x v="11"/>
    <x v="0"/>
  </r>
  <r>
    <x v="58"/>
    <d v="1899-12-30T00:12:00"/>
    <x v="1"/>
    <x v="11"/>
    <x v="0"/>
  </r>
  <r>
    <x v="58"/>
    <d v="1899-12-30T13:06:00"/>
    <x v="2"/>
    <x v="11"/>
    <x v="0"/>
  </r>
  <r>
    <x v="58"/>
    <d v="1899-12-30T13:06:00"/>
    <x v="2"/>
    <x v="11"/>
    <x v="0"/>
  </r>
  <r>
    <x v="58"/>
    <d v="1899-12-30T13:25:00"/>
    <x v="2"/>
    <x v="11"/>
    <x v="0"/>
  </r>
  <r>
    <x v="58"/>
    <d v="1899-12-30T17:19:00"/>
    <x v="1"/>
    <x v="11"/>
    <x v="0"/>
  </r>
  <r>
    <x v="58"/>
    <d v="1899-12-30T18:15:00"/>
    <x v="1"/>
    <x v="11"/>
    <x v="0"/>
  </r>
  <r>
    <x v="58"/>
    <d v="1899-12-30T18:16:00"/>
    <x v="1"/>
    <x v="11"/>
    <x v="0"/>
  </r>
  <r>
    <x v="58"/>
    <d v="1899-12-30T19:15:00"/>
    <x v="1"/>
    <x v="11"/>
    <x v="0"/>
  </r>
  <r>
    <x v="58"/>
    <d v="1899-12-30T23:13:00"/>
    <x v="1"/>
    <x v="11"/>
    <x v="0"/>
  </r>
  <r>
    <x v="59"/>
    <d v="1899-12-30T00:01:00"/>
    <x v="1"/>
    <x v="11"/>
    <x v="0"/>
  </r>
  <r>
    <x v="59"/>
    <d v="1899-12-30T00:09:00"/>
    <x v="1"/>
    <x v="11"/>
    <x v="0"/>
  </r>
  <r>
    <x v="59"/>
    <d v="1899-12-30T00:09:00"/>
    <x v="1"/>
    <x v="11"/>
    <x v="0"/>
  </r>
  <r>
    <x v="59"/>
    <d v="1899-12-30T00:10:00"/>
    <x v="1"/>
    <x v="11"/>
    <x v="0"/>
  </r>
  <r>
    <x v="59"/>
    <d v="1899-12-30T13:56:00"/>
    <x v="2"/>
    <x v="11"/>
    <x v="0"/>
  </r>
  <r>
    <x v="59"/>
    <d v="1899-12-30T19:24:00"/>
    <x v="1"/>
    <x v="11"/>
    <x v="0"/>
  </r>
  <r>
    <x v="60"/>
    <d v="1899-12-30T00:04:00"/>
    <x v="1"/>
    <x v="11"/>
    <x v="0"/>
  </r>
  <r>
    <x v="60"/>
    <d v="1899-12-30T00:04:00"/>
    <x v="1"/>
    <x v="11"/>
    <x v="0"/>
  </r>
  <r>
    <x v="60"/>
    <d v="1899-12-30T00:04:00"/>
    <x v="1"/>
    <x v="11"/>
    <x v="0"/>
  </r>
  <r>
    <x v="60"/>
    <d v="1899-12-30T00:05:00"/>
    <x v="1"/>
    <x v="11"/>
    <x v="0"/>
  </r>
  <r>
    <x v="60"/>
    <d v="1899-12-30T00:06:00"/>
    <x v="1"/>
    <x v="11"/>
    <x v="0"/>
  </r>
  <r>
    <x v="60"/>
    <d v="1899-12-30T00:06:00"/>
    <x v="1"/>
    <x v="11"/>
    <x v="0"/>
  </r>
  <r>
    <x v="60"/>
    <d v="1899-12-30T00:06:00"/>
    <x v="1"/>
    <x v="11"/>
    <x v="0"/>
  </r>
  <r>
    <x v="60"/>
    <d v="1899-12-30T00:06:00"/>
    <x v="1"/>
    <x v="11"/>
    <x v="0"/>
  </r>
  <r>
    <x v="60"/>
    <d v="1899-12-30T00:07:00"/>
    <x v="1"/>
    <x v="11"/>
    <x v="0"/>
  </r>
  <r>
    <x v="60"/>
    <d v="1899-12-30T00:08:00"/>
    <x v="1"/>
    <x v="11"/>
    <x v="0"/>
  </r>
  <r>
    <x v="60"/>
    <d v="1899-12-30T00:09:00"/>
    <x v="1"/>
    <x v="11"/>
    <x v="0"/>
  </r>
  <r>
    <x v="60"/>
    <d v="1899-12-30T00:10:00"/>
    <x v="1"/>
    <x v="11"/>
    <x v="0"/>
  </r>
  <r>
    <x v="60"/>
    <d v="1899-12-30T00:10:00"/>
    <x v="1"/>
    <x v="11"/>
    <x v="0"/>
  </r>
  <r>
    <x v="60"/>
    <d v="1899-12-30T00:11:00"/>
    <x v="1"/>
    <x v="11"/>
    <x v="0"/>
  </r>
  <r>
    <x v="60"/>
    <d v="1899-12-30T00:11:00"/>
    <x v="1"/>
    <x v="11"/>
    <x v="0"/>
  </r>
  <r>
    <x v="60"/>
    <d v="1899-12-30T00:11:00"/>
    <x v="1"/>
    <x v="11"/>
    <x v="0"/>
  </r>
  <r>
    <x v="60"/>
    <d v="1899-12-30T00:13:00"/>
    <x v="1"/>
    <x v="11"/>
    <x v="0"/>
  </r>
  <r>
    <x v="60"/>
    <d v="1899-12-30T00:14:00"/>
    <x v="1"/>
    <x v="11"/>
    <x v="0"/>
  </r>
  <r>
    <x v="60"/>
    <d v="1899-12-30T00:14:00"/>
    <x v="1"/>
    <x v="11"/>
    <x v="0"/>
  </r>
  <r>
    <x v="60"/>
    <d v="1899-12-30T00:15:00"/>
    <x v="1"/>
    <x v="11"/>
    <x v="0"/>
  </r>
  <r>
    <x v="60"/>
    <d v="1899-12-30T00:16:00"/>
    <x v="1"/>
    <x v="11"/>
    <x v="0"/>
  </r>
  <r>
    <x v="60"/>
    <d v="1899-12-30T00:20:00"/>
    <x v="1"/>
    <x v="11"/>
    <x v="0"/>
  </r>
  <r>
    <x v="60"/>
    <d v="1899-12-30T00:27:00"/>
    <x v="1"/>
    <x v="11"/>
    <x v="0"/>
  </r>
  <r>
    <x v="60"/>
    <d v="1899-12-30T00:32:00"/>
    <x v="1"/>
    <x v="11"/>
    <x v="0"/>
  </r>
  <r>
    <x v="60"/>
    <d v="1899-12-30T00:38:00"/>
    <x v="1"/>
    <x v="11"/>
    <x v="0"/>
  </r>
  <r>
    <x v="60"/>
    <d v="1899-12-30T00:41:00"/>
    <x v="1"/>
    <x v="11"/>
    <x v="0"/>
  </r>
  <r>
    <x v="60"/>
    <d v="1899-12-30T12:51:00"/>
    <x v="2"/>
    <x v="11"/>
    <x v="0"/>
  </r>
  <r>
    <x v="60"/>
    <d v="1899-12-30T12:51:00"/>
    <x v="2"/>
    <x v="11"/>
    <x v="0"/>
  </r>
  <r>
    <x v="60"/>
    <d v="1899-12-30T13:14:00"/>
    <x v="2"/>
    <x v="11"/>
    <x v="0"/>
  </r>
  <r>
    <x v="60"/>
    <d v="1899-12-30T13:16:00"/>
    <x v="2"/>
    <x v="11"/>
    <x v="0"/>
  </r>
  <r>
    <x v="60"/>
    <d v="1899-12-30T16:49:00"/>
    <x v="2"/>
    <x v="11"/>
    <x v="0"/>
  </r>
  <r>
    <x v="60"/>
    <d v="1899-12-30T17:02:00"/>
    <x v="1"/>
    <x v="11"/>
    <x v="0"/>
  </r>
  <r>
    <x v="60"/>
    <d v="1899-12-30T19:15:00"/>
    <x v="1"/>
    <x v="11"/>
    <x v="0"/>
  </r>
  <r>
    <x v="61"/>
    <d v="1899-12-30T12:04:00"/>
    <x v="2"/>
    <x v="11"/>
    <x v="0"/>
  </r>
  <r>
    <x v="61"/>
    <d v="1899-12-30T12:04:00"/>
    <x v="2"/>
    <x v="11"/>
    <x v="0"/>
  </r>
  <r>
    <x v="61"/>
    <d v="1899-12-30T12:04:00"/>
    <x v="2"/>
    <x v="11"/>
    <x v="0"/>
  </r>
  <r>
    <x v="61"/>
    <d v="1899-12-30T12:04:00"/>
    <x v="2"/>
    <x v="11"/>
    <x v="0"/>
  </r>
  <r>
    <x v="61"/>
    <d v="1899-12-30T12:53:00"/>
    <x v="2"/>
    <x v="11"/>
    <x v="0"/>
  </r>
  <r>
    <x v="61"/>
    <d v="1899-12-30T12:54:00"/>
    <x v="2"/>
    <x v="11"/>
    <x v="0"/>
  </r>
  <r>
    <x v="61"/>
    <d v="1899-12-30T15:01:00"/>
    <x v="2"/>
    <x v="11"/>
    <x v="0"/>
  </r>
  <r>
    <x v="61"/>
    <d v="1899-12-30T23:41:00"/>
    <x v="1"/>
    <x v="11"/>
    <x v="0"/>
  </r>
  <r>
    <x v="61"/>
    <d v="1899-12-30T23:42:00"/>
    <x v="1"/>
    <x v="11"/>
    <x v="0"/>
  </r>
  <r>
    <x v="62"/>
    <d v="1899-12-30T00:05:00"/>
    <x v="1"/>
    <x v="12"/>
    <x v="0"/>
  </r>
  <r>
    <x v="62"/>
    <d v="1899-12-30T00:09:00"/>
    <x v="1"/>
    <x v="12"/>
    <x v="0"/>
  </r>
  <r>
    <x v="62"/>
    <d v="1899-12-30T00:27:00"/>
    <x v="1"/>
    <x v="12"/>
    <x v="0"/>
  </r>
  <r>
    <x v="62"/>
    <d v="1899-12-30T00:27:00"/>
    <x v="1"/>
    <x v="12"/>
    <x v="0"/>
  </r>
  <r>
    <x v="62"/>
    <d v="1899-12-30T00:27:00"/>
    <x v="1"/>
    <x v="12"/>
    <x v="0"/>
  </r>
  <r>
    <x v="62"/>
    <d v="1899-12-30T00:27:00"/>
    <x v="1"/>
    <x v="12"/>
    <x v="0"/>
  </r>
  <r>
    <x v="62"/>
    <d v="1899-12-30T00:27:00"/>
    <x v="1"/>
    <x v="12"/>
    <x v="0"/>
  </r>
  <r>
    <x v="62"/>
    <d v="1899-12-30T00:27:00"/>
    <x v="1"/>
    <x v="12"/>
    <x v="0"/>
  </r>
  <r>
    <x v="62"/>
    <d v="1899-12-30T00:27:00"/>
    <x v="1"/>
    <x v="12"/>
    <x v="0"/>
  </r>
  <r>
    <x v="62"/>
    <d v="1899-12-30T00:27:00"/>
    <x v="1"/>
    <x v="12"/>
    <x v="0"/>
  </r>
  <r>
    <x v="62"/>
    <d v="1899-12-30T00:27:00"/>
    <x v="1"/>
    <x v="12"/>
    <x v="0"/>
  </r>
  <r>
    <x v="62"/>
    <d v="1899-12-30T12:21:00"/>
    <x v="2"/>
    <x v="12"/>
    <x v="0"/>
  </r>
  <r>
    <x v="62"/>
    <d v="1899-12-30T12:37:00"/>
    <x v="2"/>
    <x v="12"/>
    <x v="0"/>
  </r>
  <r>
    <x v="62"/>
    <d v="1899-12-30T22:20:00"/>
    <x v="1"/>
    <x v="12"/>
    <x v="0"/>
  </r>
  <r>
    <x v="62"/>
    <d v="1899-12-30T22:20:00"/>
    <x v="1"/>
    <x v="12"/>
    <x v="0"/>
  </r>
  <r>
    <x v="62"/>
    <d v="1899-12-30T22:22:00"/>
    <x v="1"/>
    <x v="12"/>
    <x v="0"/>
  </r>
  <r>
    <x v="62"/>
    <d v="1899-12-30T22:23:00"/>
    <x v="1"/>
    <x v="12"/>
    <x v="0"/>
  </r>
  <r>
    <x v="63"/>
    <d v="1899-12-30T13:46:00"/>
    <x v="2"/>
    <x v="12"/>
    <x v="0"/>
  </r>
  <r>
    <x v="63"/>
    <d v="1899-12-30T17:20:00"/>
    <x v="1"/>
    <x v="12"/>
    <x v="0"/>
  </r>
  <r>
    <x v="63"/>
    <d v="1899-12-30T17:20:00"/>
    <x v="1"/>
    <x v="12"/>
    <x v="0"/>
  </r>
  <r>
    <x v="63"/>
    <d v="1899-12-30T19:12:00"/>
    <x v="1"/>
    <x v="12"/>
    <x v="0"/>
  </r>
  <r>
    <x v="64"/>
    <d v="1899-12-30T18:51:00"/>
    <x v="1"/>
    <x v="12"/>
    <x v="0"/>
  </r>
  <r>
    <x v="64"/>
    <d v="1899-12-30T22:12:00"/>
    <x v="1"/>
    <x v="12"/>
    <x v="0"/>
  </r>
  <r>
    <x v="65"/>
    <d v="1899-12-30T13:49:00"/>
    <x v="2"/>
    <x v="12"/>
    <x v="0"/>
  </r>
  <r>
    <x v="65"/>
    <d v="1899-12-30T13:49:00"/>
    <x v="2"/>
    <x v="12"/>
    <x v="0"/>
  </r>
  <r>
    <x v="65"/>
    <d v="1899-12-30T13:52:00"/>
    <x v="2"/>
    <x v="12"/>
    <x v="0"/>
  </r>
  <r>
    <x v="65"/>
    <d v="1899-12-30T18:31:00"/>
    <x v="1"/>
    <x v="12"/>
    <x v="0"/>
  </r>
  <r>
    <x v="65"/>
    <d v="1899-12-30T20:11:00"/>
    <x v="1"/>
    <x v="12"/>
    <x v="0"/>
  </r>
  <r>
    <x v="65"/>
    <d v="1899-12-30T20:18:00"/>
    <x v="1"/>
    <x v="12"/>
    <x v="0"/>
  </r>
  <r>
    <x v="65"/>
    <d v="1899-12-30T20:21:00"/>
    <x v="1"/>
    <x v="12"/>
    <x v="0"/>
  </r>
  <r>
    <x v="65"/>
    <d v="1899-12-30T20:22:00"/>
    <x v="1"/>
    <x v="12"/>
    <x v="0"/>
  </r>
  <r>
    <x v="65"/>
    <d v="1899-12-30T22:31:00"/>
    <x v="1"/>
    <x v="12"/>
    <x v="0"/>
  </r>
  <r>
    <x v="66"/>
    <d v="1899-12-30T00:15:00"/>
    <x v="1"/>
    <x v="12"/>
    <x v="0"/>
  </r>
  <r>
    <x v="66"/>
    <d v="1899-12-30T00:15:00"/>
    <x v="1"/>
    <x v="12"/>
    <x v="0"/>
  </r>
  <r>
    <x v="66"/>
    <d v="1899-12-30T00:15:00"/>
    <x v="1"/>
    <x v="12"/>
    <x v="0"/>
  </r>
  <r>
    <x v="66"/>
    <d v="1899-12-30T00:15:00"/>
    <x v="1"/>
    <x v="12"/>
    <x v="0"/>
  </r>
  <r>
    <x v="66"/>
    <d v="1899-12-30T00:20:00"/>
    <x v="1"/>
    <x v="12"/>
    <x v="0"/>
  </r>
  <r>
    <x v="66"/>
    <d v="1899-12-30T00:22:00"/>
    <x v="1"/>
    <x v="12"/>
    <x v="0"/>
  </r>
  <r>
    <x v="66"/>
    <d v="1899-12-30T16:06:00"/>
    <x v="2"/>
    <x v="12"/>
    <x v="0"/>
  </r>
  <r>
    <x v="66"/>
    <d v="1899-12-30T18:04:00"/>
    <x v="1"/>
    <x v="12"/>
    <x v="0"/>
  </r>
  <r>
    <x v="67"/>
    <d v="1899-12-30T11:45:00"/>
    <x v="0"/>
    <x v="12"/>
    <x v="0"/>
  </r>
  <r>
    <x v="68"/>
    <d v="1899-12-30T18:29:00"/>
    <x v="1"/>
    <x v="13"/>
    <x v="0"/>
  </r>
  <r>
    <x v="69"/>
    <d v="1899-12-30T11:08:00"/>
    <x v="0"/>
    <x v="13"/>
    <x v="0"/>
  </r>
  <r>
    <x v="69"/>
    <d v="1899-12-30T11:15:00"/>
    <x v="0"/>
    <x v="13"/>
    <x v="0"/>
  </r>
  <r>
    <x v="69"/>
    <d v="1899-12-30T23:39:00"/>
    <x v="1"/>
    <x v="13"/>
    <x v="0"/>
  </r>
  <r>
    <x v="69"/>
    <d v="1899-12-30T23:40:00"/>
    <x v="1"/>
    <x v="13"/>
    <x v="0"/>
  </r>
  <r>
    <x v="70"/>
    <d v="1899-12-30T00:03:00"/>
    <x v="1"/>
    <x v="13"/>
    <x v="0"/>
  </r>
  <r>
    <x v="70"/>
    <d v="1899-12-30T00:04:00"/>
    <x v="1"/>
    <x v="13"/>
    <x v="0"/>
  </r>
  <r>
    <x v="71"/>
    <d v="1899-12-30T12:47:00"/>
    <x v="2"/>
    <x v="13"/>
    <x v="0"/>
  </r>
  <r>
    <x v="72"/>
    <d v="1899-12-30T00:11:00"/>
    <x v="1"/>
    <x v="14"/>
    <x v="0"/>
  </r>
  <r>
    <x v="72"/>
    <d v="1899-12-30T00:11:00"/>
    <x v="1"/>
    <x v="14"/>
    <x v="0"/>
  </r>
  <r>
    <x v="72"/>
    <d v="1899-12-30T00:11:00"/>
    <x v="1"/>
    <x v="14"/>
    <x v="0"/>
  </r>
  <r>
    <x v="72"/>
    <d v="1899-12-30T00:11:00"/>
    <x v="1"/>
    <x v="14"/>
    <x v="0"/>
  </r>
  <r>
    <x v="72"/>
    <d v="1899-12-30T00:13:00"/>
    <x v="1"/>
    <x v="14"/>
    <x v="0"/>
  </r>
  <r>
    <x v="72"/>
    <d v="1899-12-30T00:13:00"/>
    <x v="1"/>
    <x v="14"/>
    <x v="0"/>
  </r>
  <r>
    <x v="72"/>
    <d v="1899-12-30T19:06:00"/>
    <x v="1"/>
    <x v="14"/>
    <x v="0"/>
  </r>
  <r>
    <x v="73"/>
    <d v="1899-12-30T15:43:00"/>
    <x v="2"/>
    <x v="14"/>
    <x v="0"/>
  </r>
  <r>
    <x v="73"/>
    <d v="1899-12-30T15:43:00"/>
    <x v="2"/>
    <x v="14"/>
    <x v="0"/>
  </r>
  <r>
    <x v="73"/>
    <d v="1899-12-30T15:44:00"/>
    <x v="2"/>
    <x v="14"/>
    <x v="0"/>
  </r>
  <r>
    <x v="73"/>
    <d v="1899-12-30T16:26:00"/>
    <x v="2"/>
    <x v="14"/>
    <x v="0"/>
  </r>
  <r>
    <x v="73"/>
    <d v="1899-12-30T22:08:00"/>
    <x v="1"/>
    <x v="14"/>
    <x v="0"/>
  </r>
  <r>
    <x v="74"/>
    <d v="1899-12-30T14:04:00"/>
    <x v="2"/>
    <x v="14"/>
    <x v="0"/>
  </r>
  <r>
    <x v="74"/>
    <d v="1899-12-30T14:42:00"/>
    <x v="2"/>
    <x v="14"/>
    <x v="0"/>
  </r>
  <r>
    <x v="75"/>
    <d v="1899-12-30T08:42:00"/>
    <x v="0"/>
    <x v="15"/>
    <x v="0"/>
  </r>
  <r>
    <x v="75"/>
    <d v="1899-12-30T08:42:00"/>
    <x v="0"/>
    <x v="15"/>
    <x v="0"/>
  </r>
  <r>
    <x v="75"/>
    <d v="1899-12-30T09:42:00"/>
    <x v="0"/>
    <x v="15"/>
    <x v="0"/>
  </r>
  <r>
    <x v="75"/>
    <d v="1899-12-30T10:42:00"/>
    <x v="0"/>
    <x v="15"/>
    <x v="0"/>
  </r>
  <r>
    <x v="75"/>
    <d v="1899-12-30T10:42:00"/>
    <x v="0"/>
    <x v="15"/>
    <x v="0"/>
  </r>
  <r>
    <x v="75"/>
    <d v="1899-12-30T10:50:00"/>
    <x v="0"/>
    <x v="15"/>
    <x v="0"/>
  </r>
  <r>
    <x v="75"/>
    <d v="1899-12-30T15:22:00"/>
    <x v="2"/>
    <x v="15"/>
    <x v="0"/>
  </r>
  <r>
    <x v="76"/>
    <d v="1899-12-30T09:33:00"/>
    <x v="0"/>
    <x v="15"/>
    <x v="0"/>
  </r>
  <r>
    <x v="76"/>
    <d v="1899-12-30T09:36:00"/>
    <x v="0"/>
    <x v="15"/>
    <x v="0"/>
  </r>
  <r>
    <x v="76"/>
    <d v="1899-12-30T09:36:00"/>
    <x v="0"/>
    <x v="15"/>
    <x v="0"/>
  </r>
  <r>
    <x v="76"/>
    <d v="1899-12-30T09:50:00"/>
    <x v="0"/>
    <x v="15"/>
    <x v="0"/>
  </r>
  <r>
    <x v="77"/>
    <d v="1899-12-30T11:55:00"/>
    <x v="0"/>
    <x v="15"/>
    <x v="0"/>
  </r>
  <r>
    <x v="77"/>
    <d v="1899-12-30T23:31:00"/>
    <x v="1"/>
    <x v="15"/>
    <x v="0"/>
  </r>
  <r>
    <x v="78"/>
    <d v="1899-12-30T00:04:00"/>
    <x v="1"/>
    <x v="15"/>
    <x v="0"/>
  </r>
  <r>
    <x v="78"/>
    <d v="1899-12-30T09:33:00"/>
    <x v="0"/>
    <x v="15"/>
    <x v="0"/>
  </r>
  <r>
    <x v="78"/>
    <d v="1899-12-30T14:59:00"/>
    <x v="2"/>
    <x v="15"/>
    <x v="0"/>
  </r>
  <r>
    <x v="79"/>
    <d v="1899-12-30T10:19:00"/>
    <x v="0"/>
    <x v="15"/>
    <x v="0"/>
  </r>
  <r>
    <x v="79"/>
    <d v="1899-12-30T20:47:00"/>
    <x v="1"/>
    <x v="15"/>
    <x v="0"/>
  </r>
  <r>
    <x v="79"/>
    <d v="1899-12-30T21:21:00"/>
    <x v="1"/>
    <x v="15"/>
    <x v="0"/>
  </r>
  <r>
    <x v="79"/>
    <d v="1899-12-30T21:22:00"/>
    <x v="1"/>
    <x v="15"/>
    <x v="0"/>
  </r>
  <r>
    <x v="79"/>
    <d v="1899-12-30T22:48:00"/>
    <x v="1"/>
    <x v="15"/>
    <x v="0"/>
  </r>
  <r>
    <x v="80"/>
    <d v="1899-12-30T10:34:00"/>
    <x v="0"/>
    <x v="15"/>
    <x v="0"/>
  </r>
  <r>
    <x v="80"/>
    <d v="1899-12-30T14:37:00"/>
    <x v="2"/>
    <x v="15"/>
    <x v="0"/>
  </r>
  <r>
    <x v="80"/>
    <d v="1899-12-30T20:07:00"/>
    <x v="1"/>
    <x v="15"/>
    <x v="0"/>
  </r>
  <r>
    <x v="80"/>
    <d v="1899-12-30T22:47:00"/>
    <x v="1"/>
    <x v="15"/>
    <x v="0"/>
  </r>
  <r>
    <x v="80"/>
    <d v="1899-12-30T22:49:00"/>
    <x v="1"/>
    <x v="15"/>
    <x v="0"/>
  </r>
  <r>
    <x v="80"/>
    <d v="1899-12-30T22:55:00"/>
    <x v="1"/>
    <x v="15"/>
    <x v="0"/>
  </r>
  <r>
    <x v="80"/>
    <d v="1899-12-30T23:39:00"/>
    <x v="1"/>
    <x v="15"/>
    <x v="0"/>
  </r>
  <r>
    <x v="81"/>
    <d v="1899-12-30T23:17:00"/>
    <x v="1"/>
    <x v="16"/>
    <x v="0"/>
  </r>
  <r>
    <x v="81"/>
    <d v="1899-12-30T23:27:00"/>
    <x v="1"/>
    <x v="16"/>
    <x v="0"/>
  </r>
  <r>
    <x v="82"/>
    <d v="1899-12-30T00:08:00"/>
    <x v="1"/>
    <x v="16"/>
    <x v="0"/>
  </r>
  <r>
    <x v="82"/>
    <d v="1899-12-30T00:15:00"/>
    <x v="1"/>
    <x v="16"/>
    <x v="0"/>
  </r>
  <r>
    <x v="82"/>
    <d v="1899-12-30T00:16:00"/>
    <x v="1"/>
    <x v="16"/>
    <x v="0"/>
  </r>
  <r>
    <x v="82"/>
    <d v="1899-12-30T00:16:00"/>
    <x v="1"/>
    <x v="16"/>
    <x v="0"/>
  </r>
  <r>
    <x v="82"/>
    <d v="1899-12-30T00:22:00"/>
    <x v="1"/>
    <x v="16"/>
    <x v="0"/>
  </r>
  <r>
    <x v="82"/>
    <d v="1899-12-30T15:20:00"/>
    <x v="2"/>
    <x v="16"/>
    <x v="0"/>
  </r>
  <r>
    <x v="82"/>
    <d v="1899-12-30T22:57:00"/>
    <x v="1"/>
    <x v="16"/>
    <x v="0"/>
  </r>
  <r>
    <x v="83"/>
    <d v="1899-12-30T21:23:00"/>
    <x v="1"/>
    <x v="16"/>
    <x v="0"/>
  </r>
  <r>
    <x v="84"/>
    <d v="1899-12-30T12:09:00"/>
    <x v="2"/>
    <x v="16"/>
    <x v="0"/>
  </r>
  <r>
    <x v="85"/>
    <d v="1899-12-30T00:24:00"/>
    <x v="1"/>
    <x v="16"/>
    <x v="0"/>
  </r>
  <r>
    <x v="85"/>
    <d v="1899-12-30T00:28:00"/>
    <x v="1"/>
    <x v="16"/>
    <x v="0"/>
  </r>
  <r>
    <x v="85"/>
    <d v="1899-12-30T12:02:00"/>
    <x v="2"/>
    <x v="16"/>
    <x v="0"/>
  </r>
  <r>
    <x v="85"/>
    <d v="1899-12-30T12:35:00"/>
    <x v="2"/>
    <x v="16"/>
    <x v="0"/>
  </r>
  <r>
    <x v="85"/>
    <d v="1899-12-30T13:03:00"/>
    <x v="2"/>
    <x v="16"/>
    <x v="0"/>
  </r>
  <r>
    <x v="85"/>
    <d v="1899-12-30T14:46:00"/>
    <x v="2"/>
    <x v="16"/>
    <x v="0"/>
  </r>
  <r>
    <x v="85"/>
    <d v="1899-12-30T22:42:00"/>
    <x v="1"/>
    <x v="16"/>
    <x v="0"/>
  </r>
  <r>
    <x v="85"/>
    <d v="1899-12-30T23:49:00"/>
    <x v="1"/>
    <x v="16"/>
    <x v="0"/>
  </r>
  <r>
    <x v="86"/>
    <d v="1899-12-30T10:15:00"/>
    <x v="0"/>
    <x v="16"/>
    <x v="0"/>
  </r>
  <r>
    <x v="86"/>
    <d v="1899-12-30T20:39:00"/>
    <x v="1"/>
    <x v="16"/>
    <x v="0"/>
  </r>
  <r>
    <x v="86"/>
    <d v="1899-12-30T20:45:00"/>
    <x v="1"/>
    <x v="16"/>
    <x v="0"/>
  </r>
  <r>
    <x v="86"/>
    <d v="1899-12-30T20:45:00"/>
    <x v="1"/>
    <x v="16"/>
    <x v="0"/>
  </r>
  <r>
    <x v="86"/>
    <d v="1899-12-30T21:17:00"/>
    <x v="1"/>
    <x v="16"/>
    <x v="0"/>
  </r>
  <r>
    <x v="87"/>
    <d v="1899-12-30T09:05:00"/>
    <x v="0"/>
    <x v="16"/>
    <x v="0"/>
  </r>
  <r>
    <x v="87"/>
    <d v="1899-12-30T09:14:00"/>
    <x v="0"/>
    <x v="16"/>
    <x v="0"/>
  </r>
  <r>
    <x v="87"/>
    <d v="1899-12-30T09:28:00"/>
    <x v="0"/>
    <x v="16"/>
    <x v="0"/>
  </r>
  <r>
    <x v="87"/>
    <d v="1899-12-30T09:48:00"/>
    <x v="0"/>
    <x v="16"/>
    <x v="0"/>
  </r>
  <r>
    <x v="88"/>
    <d v="1899-12-30T00:16:00"/>
    <x v="1"/>
    <x v="17"/>
    <x v="0"/>
  </r>
  <r>
    <x v="88"/>
    <d v="1899-12-30T00:16:00"/>
    <x v="1"/>
    <x v="17"/>
    <x v="0"/>
  </r>
  <r>
    <x v="88"/>
    <d v="1899-12-30T00:26:00"/>
    <x v="1"/>
    <x v="17"/>
    <x v="0"/>
  </r>
  <r>
    <x v="88"/>
    <d v="1899-12-30T14:02:00"/>
    <x v="2"/>
    <x v="17"/>
    <x v="0"/>
  </r>
  <r>
    <x v="88"/>
    <d v="1899-12-30T14:17:00"/>
    <x v="2"/>
    <x v="17"/>
    <x v="0"/>
  </r>
  <r>
    <x v="88"/>
    <d v="1899-12-30T14:18:00"/>
    <x v="2"/>
    <x v="17"/>
    <x v="0"/>
  </r>
  <r>
    <x v="89"/>
    <d v="1899-12-30T17:04:00"/>
    <x v="1"/>
    <x v="17"/>
    <x v="0"/>
  </r>
  <r>
    <x v="89"/>
    <d v="1899-12-30T17:06:00"/>
    <x v="1"/>
    <x v="17"/>
    <x v="0"/>
  </r>
  <r>
    <x v="89"/>
    <d v="1899-12-30T17:08:00"/>
    <x v="1"/>
    <x v="17"/>
    <x v="0"/>
  </r>
  <r>
    <x v="89"/>
    <d v="1899-12-30T17:14:00"/>
    <x v="1"/>
    <x v="17"/>
    <x v="0"/>
  </r>
  <r>
    <x v="89"/>
    <d v="1899-12-30T17:23:00"/>
    <x v="1"/>
    <x v="17"/>
    <x v="0"/>
  </r>
  <r>
    <x v="89"/>
    <d v="1899-12-30T23:57:00"/>
    <x v="1"/>
    <x v="17"/>
    <x v="0"/>
  </r>
  <r>
    <x v="90"/>
    <d v="1899-12-30T00:05:00"/>
    <x v="1"/>
    <x v="17"/>
    <x v="0"/>
  </r>
  <r>
    <x v="90"/>
    <d v="1899-12-30T23:14:00"/>
    <x v="1"/>
    <x v="17"/>
    <x v="0"/>
  </r>
  <r>
    <x v="91"/>
    <d v="1899-12-30T10:06:00"/>
    <x v="0"/>
    <x v="17"/>
    <x v="0"/>
  </r>
  <r>
    <x v="91"/>
    <d v="1899-12-30T10:49:00"/>
    <x v="0"/>
    <x v="17"/>
    <x v="0"/>
  </r>
  <r>
    <x v="91"/>
    <d v="1899-12-30T16:01:00"/>
    <x v="2"/>
    <x v="17"/>
    <x v="0"/>
  </r>
  <r>
    <x v="91"/>
    <d v="1899-12-30T16:01:00"/>
    <x v="2"/>
    <x v="17"/>
    <x v="0"/>
  </r>
  <r>
    <x v="91"/>
    <d v="1899-12-30T18:44:00"/>
    <x v="1"/>
    <x v="17"/>
    <x v="0"/>
  </r>
  <r>
    <x v="92"/>
    <d v="1899-12-30T23:29:00"/>
    <x v="1"/>
    <x v="17"/>
    <x v="0"/>
  </r>
  <r>
    <x v="92"/>
    <d v="1899-12-30T23:34:00"/>
    <x v="1"/>
    <x v="17"/>
    <x v="0"/>
  </r>
  <r>
    <x v="93"/>
    <d v="1899-12-30T00:07:00"/>
    <x v="1"/>
    <x v="17"/>
    <x v="0"/>
  </r>
  <r>
    <x v="93"/>
    <d v="1899-12-30T00:08:00"/>
    <x v="1"/>
    <x v="17"/>
    <x v="0"/>
  </r>
  <r>
    <x v="93"/>
    <d v="1899-12-30T00:09:00"/>
    <x v="1"/>
    <x v="17"/>
    <x v="0"/>
  </r>
  <r>
    <x v="93"/>
    <d v="1899-12-30T00:10:00"/>
    <x v="1"/>
    <x v="17"/>
    <x v="0"/>
  </r>
  <r>
    <x v="93"/>
    <d v="1899-12-30T00:17:00"/>
    <x v="1"/>
    <x v="17"/>
    <x v="0"/>
  </r>
  <r>
    <x v="93"/>
    <d v="1899-12-30T00:21:00"/>
    <x v="1"/>
    <x v="17"/>
    <x v="0"/>
  </r>
  <r>
    <x v="93"/>
    <d v="1899-12-30T12:01:00"/>
    <x v="2"/>
    <x v="17"/>
    <x v="0"/>
  </r>
  <r>
    <x v="93"/>
    <d v="1899-12-30T12:02:00"/>
    <x v="2"/>
    <x v="17"/>
    <x v="0"/>
  </r>
  <r>
    <x v="93"/>
    <d v="1899-12-30T12:15:00"/>
    <x v="2"/>
    <x v="17"/>
    <x v="0"/>
  </r>
  <r>
    <x v="93"/>
    <d v="1899-12-30T14:36:00"/>
    <x v="2"/>
    <x v="17"/>
    <x v="0"/>
  </r>
  <r>
    <x v="94"/>
    <d v="1899-12-30T23:16:00"/>
    <x v="1"/>
    <x v="18"/>
    <x v="0"/>
  </r>
  <r>
    <x v="94"/>
    <d v="1899-12-30T23:30:00"/>
    <x v="1"/>
    <x v="18"/>
    <x v="0"/>
  </r>
  <r>
    <x v="95"/>
    <d v="1899-12-30T10:48:00"/>
    <x v="0"/>
    <x v="18"/>
    <x v="0"/>
  </r>
  <r>
    <x v="95"/>
    <d v="1899-12-30T11:24:00"/>
    <x v="0"/>
    <x v="18"/>
    <x v="0"/>
  </r>
  <r>
    <x v="95"/>
    <d v="1899-12-30T11:26:00"/>
    <x v="0"/>
    <x v="18"/>
    <x v="0"/>
  </r>
  <r>
    <x v="95"/>
    <d v="1899-12-30T19:42:00"/>
    <x v="1"/>
    <x v="18"/>
    <x v="0"/>
  </r>
  <r>
    <x v="95"/>
    <d v="1899-12-30T19:43:00"/>
    <x v="1"/>
    <x v="18"/>
    <x v="0"/>
  </r>
  <r>
    <x v="95"/>
    <d v="1899-12-30T20:20:00"/>
    <x v="1"/>
    <x v="18"/>
    <x v="0"/>
  </r>
  <r>
    <x v="95"/>
    <d v="1899-12-30T23:52:00"/>
    <x v="1"/>
    <x v="18"/>
    <x v="0"/>
  </r>
  <r>
    <x v="95"/>
    <d v="1899-12-30T23:54:00"/>
    <x v="1"/>
    <x v="18"/>
    <x v="0"/>
  </r>
  <r>
    <x v="96"/>
    <d v="1899-12-30T16:53:00"/>
    <x v="2"/>
    <x v="18"/>
    <x v="0"/>
  </r>
  <r>
    <x v="96"/>
    <d v="1899-12-30T17:03:00"/>
    <x v="1"/>
    <x v="18"/>
    <x v="0"/>
  </r>
  <r>
    <x v="96"/>
    <d v="1899-12-30T17:03:00"/>
    <x v="1"/>
    <x v="18"/>
    <x v="0"/>
  </r>
  <r>
    <x v="96"/>
    <d v="1899-12-30T17:32:00"/>
    <x v="1"/>
    <x v="18"/>
    <x v="0"/>
  </r>
  <r>
    <x v="97"/>
    <d v="1899-12-30T09:45:00"/>
    <x v="0"/>
    <x v="18"/>
    <x v="0"/>
  </r>
  <r>
    <x v="97"/>
    <d v="1899-12-30T10:00:00"/>
    <x v="0"/>
    <x v="18"/>
    <x v="0"/>
  </r>
  <r>
    <x v="97"/>
    <d v="1899-12-30T23:28:00"/>
    <x v="1"/>
    <x v="18"/>
    <x v="0"/>
  </r>
  <r>
    <x v="98"/>
    <d v="1899-12-30T10:39:00"/>
    <x v="0"/>
    <x v="18"/>
    <x v="0"/>
  </r>
  <r>
    <x v="98"/>
    <d v="1899-12-30T11:25:00"/>
    <x v="0"/>
    <x v="18"/>
    <x v="0"/>
  </r>
  <r>
    <x v="98"/>
    <d v="1899-12-30T11:25:00"/>
    <x v="0"/>
    <x v="18"/>
    <x v="0"/>
  </r>
  <r>
    <x v="98"/>
    <d v="1899-12-30T11:26:00"/>
    <x v="0"/>
    <x v="18"/>
    <x v="0"/>
  </r>
  <r>
    <x v="98"/>
    <d v="1899-12-30T11:44:00"/>
    <x v="0"/>
    <x v="18"/>
    <x v="0"/>
  </r>
  <r>
    <x v="98"/>
    <d v="1899-12-30T11:50:00"/>
    <x v="0"/>
    <x v="18"/>
    <x v="0"/>
  </r>
  <r>
    <x v="98"/>
    <d v="1899-12-30T11:51:00"/>
    <x v="0"/>
    <x v="18"/>
    <x v="0"/>
  </r>
  <r>
    <x v="98"/>
    <d v="1899-12-30T11:51:00"/>
    <x v="0"/>
    <x v="18"/>
    <x v="0"/>
  </r>
  <r>
    <x v="98"/>
    <d v="1899-12-30T20:26:00"/>
    <x v="1"/>
    <x v="18"/>
    <x v="0"/>
  </r>
  <r>
    <x v="99"/>
    <d v="1899-12-30T00:04:00"/>
    <x v="1"/>
    <x v="18"/>
    <x v="0"/>
  </r>
  <r>
    <x v="99"/>
    <d v="1899-12-30T00:06:00"/>
    <x v="1"/>
    <x v="18"/>
    <x v="0"/>
  </r>
  <r>
    <x v="99"/>
    <d v="1899-12-30T15:50:00"/>
    <x v="2"/>
    <x v="18"/>
    <x v="0"/>
  </r>
  <r>
    <x v="99"/>
    <d v="1899-12-30T19:07:00"/>
    <x v="1"/>
    <x v="18"/>
    <x v="0"/>
  </r>
  <r>
    <x v="99"/>
    <d v="1899-12-30T19:07:00"/>
    <x v="1"/>
    <x v="18"/>
    <x v="0"/>
  </r>
  <r>
    <x v="100"/>
    <d v="1899-12-30T17:41:00"/>
    <x v="1"/>
    <x v="18"/>
    <x v="0"/>
  </r>
  <r>
    <x v="100"/>
    <d v="1899-12-30T18:16:00"/>
    <x v="1"/>
    <x v="18"/>
    <x v="0"/>
  </r>
  <r>
    <x v="100"/>
    <d v="1899-12-30T21:54:00"/>
    <x v="1"/>
    <x v="18"/>
    <x v="0"/>
  </r>
  <r>
    <x v="100"/>
    <d v="1899-12-30T21:59:00"/>
    <x v="1"/>
    <x v="18"/>
    <x v="0"/>
  </r>
  <r>
    <x v="100"/>
    <d v="1899-12-30T22:44:00"/>
    <x v="1"/>
    <x v="18"/>
    <x v="0"/>
  </r>
  <r>
    <x v="101"/>
    <d v="1899-12-30T00:11:00"/>
    <x v="1"/>
    <x v="19"/>
    <x v="0"/>
  </r>
  <r>
    <x v="101"/>
    <d v="1899-12-30T00:12:00"/>
    <x v="1"/>
    <x v="19"/>
    <x v="0"/>
  </r>
  <r>
    <x v="101"/>
    <d v="1899-12-30T10:32:00"/>
    <x v="0"/>
    <x v="19"/>
    <x v="0"/>
  </r>
  <r>
    <x v="101"/>
    <d v="1899-12-30T23:30:00"/>
    <x v="1"/>
    <x v="19"/>
    <x v="0"/>
  </r>
  <r>
    <x v="101"/>
    <d v="1899-12-30T23:35:00"/>
    <x v="1"/>
    <x v="19"/>
    <x v="0"/>
  </r>
  <r>
    <x v="101"/>
    <d v="1899-12-30T23:53:00"/>
    <x v="1"/>
    <x v="19"/>
    <x v="0"/>
  </r>
  <r>
    <x v="102"/>
    <d v="1899-12-30T00:10:00"/>
    <x v="1"/>
    <x v="19"/>
    <x v="0"/>
  </r>
  <r>
    <x v="102"/>
    <d v="1899-12-30T00:18:00"/>
    <x v="1"/>
    <x v="19"/>
    <x v="0"/>
  </r>
  <r>
    <x v="102"/>
    <d v="1899-12-30T00:23:00"/>
    <x v="1"/>
    <x v="19"/>
    <x v="0"/>
  </r>
  <r>
    <x v="102"/>
    <d v="1899-12-30T17:37:00"/>
    <x v="1"/>
    <x v="19"/>
    <x v="0"/>
  </r>
  <r>
    <x v="102"/>
    <d v="1899-12-30T20:00:00"/>
    <x v="1"/>
    <x v="19"/>
    <x v="0"/>
  </r>
  <r>
    <x v="103"/>
    <d v="1899-12-30T10:52:00"/>
    <x v="0"/>
    <x v="19"/>
    <x v="0"/>
  </r>
  <r>
    <x v="103"/>
    <d v="1899-12-30T15:38:00"/>
    <x v="2"/>
    <x v="19"/>
    <x v="0"/>
  </r>
  <r>
    <x v="103"/>
    <d v="1899-12-30T15:39:00"/>
    <x v="2"/>
    <x v="19"/>
    <x v="0"/>
  </r>
  <r>
    <x v="103"/>
    <d v="1899-12-30T15:41:00"/>
    <x v="2"/>
    <x v="19"/>
    <x v="0"/>
  </r>
  <r>
    <x v="103"/>
    <d v="1899-12-30T15:43:00"/>
    <x v="2"/>
    <x v="19"/>
    <x v="0"/>
  </r>
  <r>
    <x v="103"/>
    <d v="1899-12-30T18:01:00"/>
    <x v="1"/>
    <x v="19"/>
    <x v="0"/>
  </r>
  <r>
    <x v="103"/>
    <d v="1899-12-30T22:18:00"/>
    <x v="1"/>
    <x v="19"/>
    <x v="0"/>
  </r>
  <r>
    <x v="103"/>
    <d v="1899-12-30T23:50:00"/>
    <x v="1"/>
    <x v="19"/>
    <x v="0"/>
  </r>
  <r>
    <x v="103"/>
    <d v="1899-12-30T23:59:00"/>
    <x v="1"/>
    <x v="19"/>
    <x v="0"/>
  </r>
  <r>
    <x v="104"/>
    <d v="1899-12-30T00:01:00"/>
    <x v="1"/>
    <x v="19"/>
    <x v="0"/>
  </r>
  <r>
    <x v="104"/>
    <d v="1899-12-30T17:52:00"/>
    <x v="1"/>
    <x v="19"/>
    <x v="0"/>
  </r>
  <r>
    <x v="105"/>
    <d v="1899-12-30T00:00:00"/>
    <x v="1"/>
    <x v="19"/>
    <x v="0"/>
  </r>
  <r>
    <x v="105"/>
    <d v="1899-12-30T00:01:00"/>
    <x v="1"/>
    <x v="19"/>
    <x v="0"/>
  </r>
  <r>
    <x v="105"/>
    <d v="1899-12-30T00:06:00"/>
    <x v="1"/>
    <x v="19"/>
    <x v="0"/>
  </r>
  <r>
    <x v="105"/>
    <d v="1899-12-30T07:29:00"/>
    <x v="0"/>
    <x v="19"/>
    <x v="0"/>
  </r>
  <r>
    <x v="105"/>
    <d v="1899-12-30T13:28:00"/>
    <x v="2"/>
    <x v="19"/>
    <x v="0"/>
  </r>
  <r>
    <x v="105"/>
    <d v="1899-12-30T13:56:00"/>
    <x v="2"/>
    <x v="19"/>
    <x v="0"/>
  </r>
  <r>
    <x v="105"/>
    <d v="1899-12-30T18:30:00"/>
    <x v="1"/>
    <x v="19"/>
    <x v="0"/>
  </r>
  <r>
    <x v="105"/>
    <d v="1899-12-30T20:52:00"/>
    <x v="1"/>
    <x v="19"/>
    <x v="0"/>
  </r>
  <r>
    <x v="105"/>
    <d v="1899-12-30T20:53:00"/>
    <x v="1"/>
    <x v="19"/>
    <x v="0"/>
  </r>
  <r>
    <x v="105"/>
    <d v="1899-12-30T21:00:00"/>
    <x v="1"/>
    <x v="19"/>
    <x v="0"/>
  </r>
  <r>
    <x v="105"/>
    <d v="1899-12-30T21:43:00"/>
    <x v="1"/>
    <x v="19"/>
    <x v="0"/>
  </r>
  <r>
    <x v="105"/>
    <d v="1899-12-30T21:52:00"/>
    <x v="1"/>
    <x v="19"/>
    <x v="0"/>
  </r>
  <r>
    <x v="105"/>
    <d v="1899-12-30T21:55:00"/>
    <x v="1"/>
    <x v="19"/>
    <x v="0"/>
  </r>
  <r>
    <x v="105"/>
    <d v="1899-12-30T22:05:00"/>
    <x v="1"/>
    <x v="19"/>
    <x v="0"/>
  </r>
  <r>
    <x v="105"/>
    <d v="1899-12-30T22:29:00"/>
    <x v="1"/>
    <x v="19"/>
    <x v="0"/>
  </r>
  <r>
    <x v="106"/>
    <d v="1899-12-30T00:06:00"/>
    <x v="1"/>
    <x v="19"/>
    <x v="0"/>
  </r>
  <r>
    <x v="106"/>
    <d v="1899-12-30T00:09:00"/>
    <x v="1"/>
    <x v="19"/>
    <x v="0"/>
  </r>
  <r>
    <x v="106"/>
    <d v="1899-12-30T00:09:00"/>
    <x v="1"/>
    <x v="19"/>
    <x v="0"/>
  </r>
  <r>
    <x v="106"/>
    <d v="1899-12-30T00:11:00"/>
    <x v="1"/>
    <x v="19"/>
    <x v="0"/>
  </r>
  <r>
    <x v="106"/>
    <d v="1899-12-30T00:11:00"/>
    <x v="1"/>
    <x v="19"/>
    <x v="0"/>
  </r>
  <r>
    <x v="106"/>
    <d v="1899-12-30T00:13:00"/>
    <x v="1"/>
    <x v="19"/>
    <x v="0"/>
  </r>
  <r>
    <x v="106"/>
    <d v="1899-12-30T00:25:00"/>
    <x v="1"/>
    <x v="19"/>
    <x v="0"/>
  </r>
  <r>
    <x v="106"/>
    <d v="1899-12-30T00:25:00"/>
    <x v="1"/>
    <x v="19"/>
    <x v="0"/>
  </r>
  <r>
    <x v="106"/>
    <d v="1899-12-30T00:27:00"/>
    <x v="1"/>
    <x v="19"/>
    <x v="0"/>
  </r>
  <r>
    <x v="106"/>
    <d v="1899-12-30T09:50:00"/>
    <x v="0"/>
    <x v="19"/>
    <x v="0"/>
  </r>
  <r>
    <x v="106"/>
    <d v="1899-12-30T10:34:00"/>
    <x v="0"/>
    <x v="19"/>
    <x v="0"/>
  </r>
  <r>
    <x v="106"/>
    <d v="1899-12-30T11:08:00"/>
    <x v="0"/>
    <x v="19"/>
    <x v="0"/>
  </r>
  <r>
    <x v="106"/>
    <d v="1899-12-30T11:31:00"/>
    <x v="0"/>
    <x v="19"/>
    <x v="0"/>
  </r>
  <r>
    <x v="106"/>
    <d v="1899-12-30T11:47:00"/>
    <x v="0"/>
    <x v="19"/>
    <x v="0"/>
  </r>
  <r>
    <x v="106"/>
    <d v="1899-12-30T18:12:00"/>
    <x v="1"/>
    <x v="19"/>
    <x v="0"/>
  </r>
  <r>
    <x v="106"/>
    <d v="1899-12-30T18:23:00"/>
    <x v="1"/>
    <x v="19"/>
    <x v="0"/>
  </r>
  <r>
    <x v="106"/>
    <d v="1899-12-30T18:53:00"/>
    <x v="1"/>
    <x v="19"/>
    <x v="0"/>
  </r>
  <r>
    <x v="106"/>
    <d v="1899-12-30T20:17:00"/>
    <x v="1"/>
    <x v="19"/>
    <x v="0"/>
  </r>
  <r>
    <x v="106"/>
    <d v="1899-12-30T21:03:00"/>
    <x v="1"/>
    <x v="19"/>
    <x v="0"/>
  </r>
  <r>
    <x v="106"/>
    <d v="1899-12-30T21:04:00"/>
    <x v="1"/>
    <x v="19"/>
    <x v="0"/>
  </r>
  <r>
    <x v="106"/>
    <d v="1899-12-30T22:41:00"/>
    <x v="1"/>
    <x v="19"/>
    <x v="0"/>
  </r>
  <r>
    <x v="106"/>
    <d v="1899-12-30T23:39:00"/>
    <x v="1"/>
    <x v="19"/>
    <x v="0"/>
  </r>
  <r>
    <x v="106"/>
    <d v="1899-12-30T23:42:00"/>
    <x v="1"/>
    <x v="19"/>
    <x v="0"/>
  </r>
  <r>
    <x v="107"/>
    <d v="1899-12-30T00:01:00"/>
    <x v="1"/>
    <x v="19"/>
    <x v="0"/>
  </r>
  <r>
    <x v="107"/>
    <d v="1899-12-30T00:07:00"/>
    <x v="1"/>
    <x v="19"/>
    <x v="0"/>
  </r>
  <r>
    <x v="107"/>
    <d v="1899-12-30T00:32:00"/>
    <x v="1"/>
    <x v="19"/>
    <x v="0"/>
  </r>
  <r>
    <x v="107"/>
    <d v="1899-12-30T12:45:00"/>
    <x v="2"/>
    <x v="19"/>
    <x v="0"/>
  </r>
  <r>
    <x v="107"/>
    <d v="1899-12-30T12:55:00"/>
    <x v="2"/>
    <x v="19"/>
    <x v="0"/>
  </r>
  <r>
    <x v="107"/>
    <d v="1899-12-30T13:13:00"/>
    <x v="2"/>
    <x v="19"/>
    <x v="0"/>
  </r>
  <r>
    <x v="107"/>
    <d v="1899-12-30T13:20:00"/>
    <x v="2"/>
    <x v="19"/>
    <x v="0"/>
  </r>
  <r>
    <x v="107"/>
    <d v="1899-12-30T17:23:00"/>
    <x v="1"/>
    <x v="19"/>
    <x v="0"/>
  </r>
  <r>
    <x v="107"/>
    <d v="1899-12-30T17:44:00"/>
    <x v="1"/>
    <x v="19"/>
    <x v="0"/>
  </r>
  <r>
    <x v="107"/>
    <d v="1899-12-30T17:44:00"/>
    <x v="1"/>
    <x v="19"/>
    <x v="0"/>
  </r>
  <r>
    <x v="107"/>
    <d v="1899-12-30T17:46:00"/>
    <x v="1"/>
    <x v="19"/>
    <x v="0"/>
  </r>
  <r>
    <x v="107"/>
    <d v="1899-12-30T18:03:00"/>
    <x v="1"/>
    <x v="19"/>
    <x v="0"/>
  </r>
  <r>
    <x v="107"/>
    <d v="1899-12-30T18:26:00"/>
    <x v="1"/>
    <x v="19"/>
    <x v="0"/>
  </r>
  <r>
    <x v="107"/>
    <d v="1899-12-30T19:45:00"/>
    <x v="1"/>
    <x v="19"/>
    <x v="0"/>
  </r>
  <r>
    <x v="108"/>
    <d v="1899-12-30T00:02:00"/>
    <x v="1"/>
    <x v="20"/>
    <x v="1"/>
  </r>
  <r>
    <x v="108"/>
    <d v="1899-12-30T00:02:00"/>
    <x v="1"/>
    <x v="20"/>
    <x v="1"/>
  </r>
  <r>
    <x v="108"/>
    <d v="1899-12-30T00:06:00"/>
    <x v="1"/>
    <x v="20"/>
    <x v="1"/>
  </r>
  <r>
    <x v="108"/>
    <d v="1899-12-30T00:06:00"/>
    <x v="1"/>
    <x v="20"/>
    <x v="1"/>
  </r>
  <r>
    <x v="108"/>
    <d v="1899-12-30T00:10:00"/>
    <x v="1"/>
    <x v="20"/>
    <x v="1"/>
  </r>
  <r>
    <x v="108"/>
    <d v="1899-12-30T00:17:00"/>
    <x v="1"/>
    <x v="20"/>
    <x v="1"/>
  </r>
  <r>
    <x v="108"/>
    <d v="1899-12-30T00:23:00"/>
    <x v="1"/>
    <x v="20"/>
    <x v="1"/>
  </r>
  <r>
    <x v="108"/>
    <d v="1899-12-30T07:28:00"/>
    <x v="0"/>
    <x v="20"/>
    <x v="1"/>
  </r>
  <r>
    <x v="108"/>
    <d v="1899-12-30T09:54:00"/>
    <x v="0"/>
    <x v="20"/>
    <x v="1"/>
  </r>
  <r>
    <x v="108"/>
    <d v="1899-12-30T13:30:00"/>
    <x v="2"/>
    <x v="20"/>
    <x v="1"/>
  </r>
  <r>
    <x v="108"/>
    <d v="1899-12-30T14:31:00"/>
    <x v="2"/>
    <x v="20"/>
    <x v="1"/>
  </r>
  <r>
    <x v="108"/>
    <d v="1899-12-30T19:49:00"/>
    <x v="1"/>
    <x v="20"/>
    <x v="1"/>
  </r>
  <r>
    <x v="108"/>
    <d v="1899-12-30T19:49:00"/>
    <x v="1"/>
    <x v="20"/>
    <x v="1"/>
  </r>
  <r>
    <x v="108"/>
    <d v="1899-12-30T19:49:00"/>
    <x v="1"/>
    <x v="20"/>
    <x v="1"/>
  </r>
  <r>
    <x v="108"/>
    <d v="1899-12-30T20:13:00"/>
    <x v="1"/>
    <x v="20"/>
    <x v="1"/>
  </r>
  <r>
    <x v="108"/>
    <d v="1899-12-30T20:14:00"/>
    <x v="1"/>
    <x v="20"/>
    <x v="1"/>
  </r>
  <r>
    <x v="108"/>
    <d v="1899-12-30T21:22:00"/>
    <x v="1"/>
    <x v="20"/>
    <x v="1"/>
  </r>
  <r>
    <x v="108"/>
    <d v="1899-12-30T22:18:00"/>
    <x v="1"/>
    <x v="20"/>
    <x v="1"/>
  </r>
  <r>
    <x v="109"/>
    <d v="1899-12-30T00:01:00"/>
    <x v="1"/>
    <x v="20"/>
    <x v="1"/>
  </r>
  <r>
    <x v="109"/>
    <d v="1899-12-30T00:01:00"/>
    <x v="1"/>
    <x v="20"/>
    <x v="1"/>
  </r>
  <r>
    <x v="109"/>
    <d v="1899-12-30T00:02:00"/>
    <x v="1"/>
    <x v="20"/>
    <x v="1"/>
  </r>
  <r>
    <x v="109"/>
    <d v="1899-12-30T00:05:00"/>
    <x v="1"/>
    <x v="20"/>
    <x v="1"/>
  </r>
  <r>
    <x v="109"/>
    <d v="1899-12-30T00:06:00"/>
    <x v="1"/>
    <x v="20"/>
    <x v="1"/>
  </r>
  <r>
    <x v="109"/>
    <d v="1899-12-30T00:07:00"/>
    <x v="1"/>
    <x v="20"/>
    <x v="1"/>
  </r>
  <r>
    <x v="109"/>
    <d v="1899-12-30T00:11:00"/>
    <x v="1"/>
    <x v="20"/>
    <x v="1"/>
  </r>
  <r>
    <x v="109"/>
    <d v="1899-12-30T11:16:00"/>
    <x v="0"/>
    <x v="20"/>
    <x v="1"/>
  </r>
  <r>
    <x v="109"/>
    <d v="1899-12-30T11:19:00"/>
    <x v="0"/>
    <x v="20"/>
    <x v="1"/>
  </r>
  <r>
    <x v="109"/>
    <d v="1899-12-30T11:47:00"/>
    <x v="0"/>
    <x v="20"/>
    <x v="1"/>
  </r>
  <r>
    <x v="109"/>
    <d v="1899-12-30T12:00:00"/>
    <x v="2"/>
    <x v="20"/>
    <x v="1"/>
  </r>
  <r>
    <x v="109"/>
    <d v="1899-12-30T17:28:00"/>
    <x v="1"/>
    <x v="20"/>
    <x v="1"/>
  </r>
  <r>
    <x v="109"/>
    <d v="1899-12-30T21:23:00"/>
    <x v="1"/>
    <x v="20"/>
    <x v="1"/>
  </r>
  <r>
    <x v="110"/>
    <d v="1899-12-30T09:27:00"/>
    <x v="0"/>
    <x v="20"/>
    <x v="1"/>
  </r>
  <r>
    <x v="110"/>
    <d v="1899-12-30T10:15:00"/>
    <x v="0"/>
    <x v="20"/>
    <x v="1"/>
  </r>
  <r>
    <x v="110"/>
    <d v="1899-12-30T10:29:00"/>
    <x v="0"/>
    <x v="20"/>
    <x v="1"/>
  </r>
  <r>
    <x v="110"/>
    <d v="1899-12-30T17:05:00"/>
    <x v="1"/>
    <x v="20"/>
    <x v="1"/>
  </r>
  <r>
    <x v="110"/>
    <d v="1899-12-30T17:14:00"/>
    <x v="1"/>
    <x v="20"/>
    <x v="1"/>
  </r>
  <r>
    <x v="110"/>
    <d v="1899-12-30T18:38:00"/>
    <x v="1"/>
    <x v="20"/>
    <x v="1"/>
  </r>
  <r>
    <x v="110"/>
    <d v="1899-12-30T23:05:00"/>
    <x v="1"/>
    <x v="20"/>
    <x v="1"/>
  </r>
  <r>
    <x v="110"/>
    <d v="1899-12-30T23:28:00"/>
    <x v="1"/>
    <x v="20"/>
    <x v="1"/>
  </r>
  <r>
    <x v="111"/>
    <d v="1899-12-30T00:06:00"/>
    <x v="1"/>
    <x v="20"/>
    <x v="1"/>
  </r>
  <r>
    <x v="111"/>
    <d v="1899-12-30T11:50:00"/>
    <x v="0"/>
    <x v="20"/>
    <x v="1"/>
  </r>
  <r>
    <x v="111"/>
    <d v="1899-12-30T12:44:00"/>
    <x v="2"/>
    <x v="20"/>
    <x v="1"/>
  </r>
  <r>
    <x v="111"/>
    <d v="1899-12-30T12:57:00"/>
    <x v="2"/>
    <x v="20"/>
    <x v="1"/>
  </r>
  <r>
    <x v="111"/>
    <d v="1899-12-30T23:48:00"/>
    <x v="1"/>
    <x v="20"/>
    <x v="1"/>
  </r>
  <r>
    <x v="112"/>
    <d v="1899-12-30T00:09:00"/>
    <x v="1"/>
    <x v="20"/>
    <x v="1"/>
  </r>
  <r>
    <x v="112"/>
    <d v="1899-12-30T09:12:00"/>
    <x v="0"/>
    <x v="20"/>
    <x v="1"/>
  </r>
  <r>
    <x v="112"/>
    <d v="1899-12-30T09:35:00"/>
    <x v="0"/>
    <x v="20"/>
    <x v="1"/>
  </r>
  <r>
    <x v="112"/>
    <d v="1899-12-30T09:36:00"/>
    <x v="0"/>
    <x v="20"/>
    <x v="1"/>
  </r>
  <r>
    <x v="112"/>
    <d v="1899-12-30T09:42:00"/>
    <x v="0"/>
    <x v="20"/>
    <x v="1"/>
  </r>
  <r>
    <x v="113"/>
    <d v="1899-12-30T10:48:00"/>
    <x v="0"/>
    <x v="20"/>
    <x v="1"/>
  </r>
  <r>
    <x v="113"/>
    <d v="1899-12-30T11:00:00"/>
    <x v="0"/>
    <x v="20"/>
    <x v="1"/>
  </r>
  <r>
    <x v="113"/>
    <d v="1899-12-30T11:21:00"/>
    <x v="0"/>
    <x v="20"/>
    <x v="1"/>
  </r>
  <r>
    <x v="113"/>
    <d v="1899-12-30T11:24:00"/>
    <x v="0"/>
    <x v="20"/>
    <x v="1"/>
  </r>
  <r>
    <x v="113"/>
    <d v="1899-12-30T11:25:00"/>
    <x v="0"/>
    <x v="20"/>
    <x v="1"/>
  </r>
  <r>
    <x v="113"/>
    <d v="1899-12-30T11:25:00"/>
    <x v="0"/>
    <x v="20"/>
    <x v="1"/>
  </r>
  <r>
    <x v="113"/>
    <d v="1899-12-30T11:27:00"/>
    <x v="0"/>
    <x v="20"/>
    <x v="1"/>
  </r>
  <r>
    <x v="113"/>
    <d v="1899-12-30T14:31:00"/>
    <x v="2"/>
    <x v="20"/>
    <x v="1"/>
  </r>
  <r>
    <x v="113"/>
    <d v="1899-12-30T16:38:00"/>
    <x v="2"/>
    <x v="20"/>
    <x v="1"/>
  </r>
  <r>
    <x v="114"/>
    <d v="1899-12-30T00:05:00"/>
    <x v="1"/>
    <x v="20"/>
    <x v="1"/>
  </r>
  <r>
    <x v="114"/>
    <d v="1899-12-30T18:07:00"/>
    <x v="1"/>
    <x v="20"/>
    <x v="1"/>
  </r>
  <r>
    <x v="114"/>
    <d v="1899-12-30T22:20:00"/>
    <x v="1"/>
    <x v="20"/>
    <x v="1"/>
  </r>
  <r>
    <x v="114"/>
    <d v="1899-12-30T22:43:00"/>
    <x v="1"/>
    <x v="20"/>
    <x v="1"/>
  </r>
  <r>
    <x v="115"/>
    <d v="1899-12-30T10:08:00"/>
    <x v="0"/>
    <x v="21"/>
    <x v="1"/>
  </r>
  <r>
    <x v="115"/>
    <d v="1899-12-30T10:11:00"/>
    <x v="0"/>
    <x v="21"/>
    <x v="1"/>
  </r>
  <r>
    <x v="115"/>
    <d v="1899-12-30T10:13:00"/>
    <x v="0"/>
    <x v="21"/>
    <x v="1"/>
  </r>
  <r>
    <x v="115"/>
    <d v="1899-12-30T10:20:00"/>
    <x v="0"/>
    <x v="21"/>
    <x v="1"/>
  </r>
  <r>
    <x v="115"/>
    <d v="1899-12-30T10:21:00"/>
    <x v="0"/>
    <x v="21"/>
    <x v="1"/>
  </r>
  <r>
    <x v="115"/>
    <d v="1899-12-30T10:23:00"/>
    <x v="0"/>
    <x v="21"/>
    <x v="1"/>
  </r>
  <r>
    <x v="115"/>
    <d v="1899-12-30T11:51:00"/>
    <x v="0"/>
    <x v="21"/>
    <x v="1"/>
  </r>
  <r>
    <x v="116"/>
    <d v="1899-12-30T11:25:00"/>
    <x v="0"/>
    <x v="21"/>
    <x v="1"/>
  </r>
  <r>
    <x v="116"/>
    <d v="1899-12-30T11:27:00"/>
    <x v="0"/>
    <x v="21"/>
    <x v="1"/>
  </r>
  <r>
    <x v="116"/>
    <d v="1899-12-30T11:47:00"/>
    <x v="0"/>
    <x v="21"/>
    <x v="1"/>
  </r>
  <r>
    <x v="116"/>
    <d v="1899-12-30T11:51:00"/>
    <x v="0"/>
    <x v="21"/>
    <x v="1"/>
  </r>
  <r>
    <x v="116"/>
    <d v="1899-12-30T14:07:00"/>
    <x v="2"/>
    <x v="21"/>
    <x v="1"/>
  </r>
  <r>
    <x v="116"/>
    <d v="1899-12-30T22:58:00"/>
    <x v="1"/>
    <x v="21"/>
    <x v="1"/>
  </r>
  <r>
    <x v="116"/>
    <d v="1899-12-30T23:04:00"/>
    <x v="1"/>
    <x v="21"/>
    <x v="1"/>
  </r>
  <r>
    <x v="117"/>
    <d v="1899-12-30T10:35:00"/>
    <x v="0"/>
    <x v="21"/>
    <x v="1"/>
  </r>
  <r>
    <x v="117"/>
    <d v="1899-12-30T10:37:00"/>
    <x v="0"/>
    <x v="21"/>
    <x v="1"/>
  </r>
  <r>
    <x v="117"/>
    <d v="1899-12-30T12:17:00"/>
    <x v="2"/>
    <x v="21"/>
    <x v="1"/>
  </r>
  <r>
    <x v="117"/>
    <d v="1899-12-30T12:31:00"/>
    <x v="2"/>
    <x v="21"/>
    <x v="1"/>
  </r>
  <r>
    <x v="117"/>
    <d v="1899-12-30T14:19:00"/>
    <x v="2"/>
    <x v="21"/>
    <x v="1"/>
  </r>
  <r>
    <x v="117"/>
    <d v="1899-12-30T14:21:00"/>
    <x v="2"/>
    <x v="21"/>
    <x v="1"/>
  </r>
  <r>
    <x v="118"/>
    <d v="1899-12-30T10:06:00"/>
    <x v="0"/>
    <x v="21"/>
    <x v="1"/>
  </r>
  <r>
    <x v="118"/>
    <d v="1899-12-30T10:16:00"/>
    <x v="0"/>
    <x v="21"/>
    <x v="1"/>
  </r>
  <r>
    <x v="118"/>
    <d v="1899-12-30T10:18:00"/>
    <x v="0"/>
    <x v="21"/>
    <x v="1"/>
  </r>
  <r>
    <x v="118"/>
    <d v="1899-12-30T10:20:00"/>
    <x v="0"/>
    <x v="21"/>
    <x v="1"/>
  </r>
  <r>
    <x v="118"/>
    <d v="1899-12-30T14:48:00"/>
    <x v="2"/>
    <x v="21"/>
    <x v="1"/>
  </r>
  <r>
    <x v="118"/>
    <d v="1899-12-30T18:16:00"/>
    <x v="1"/>
    <x v="21"/>
    <x v="1"/>
  </r>
  <r>
    <x v="118"/>
    <d v="1899-12-30T18:17:00"/>
    <x v="1"/>
    <x v="21"/>
    <x v="1"/>
  </r>
  <r>
    <x v="118"/>
    <d v="1899-12-30T20:46:00"/>
    <x v="1"/>
    <x v="21"/>
    <x v="1"/>
  </r>
  <r>
    <x v="118"/>
    <d v="1899-12-30T21:00:00"/>
    <x v="1"/>
    <x v="21"/>
    <x v="1"/>
  </r>
  <r>
    <x v="118"/>
    <d v="1899-12-30T21:01:00"/>
    <x v="1"/>
    <x v="21"/>
    <x v="1"/>
  </r>
  <r>
    <x v="118"/>
    <d v="1899-12-30T21:02:00"/>
    <x v="1"/>
    <x v="21"/>
    <x v="1"/>
  </r>
  <r>
    <x v="118"/>
    <d v="1899-12-30T21:34:00"/>
    <x v="1"/>
    <x v="21"/>
    <x v="1"/>
  </r>
  <r>
    <x v="118"/>
    <d v="1899-12-30T21:35:00"/>
    <x v="1"/>
    <x v="21"/>
    <x v="1"/>
  </r>
  <r>
    <x v="118"/>
    <d v="1899-12-30T21:58:00"/>
    <x v="1"/>
    <x v="21"/>
    <x v="1"/>
  </r>
  <r>
    <x v="118"/>
    <d v="1899-12-30T21:58:00"/>
    <x v="1"/>
    <x v="21"/>
    <x v="1"/>
  </r>
  <r>
    <x v="119"/>
    <d v="1899-12-30T00:04:00"/>
    <x v="1"/>
    <x v="21"/>
    <x v="1"/>
  </r>
  <r>
    <x v="119"/>
    <d v="1899-12-30T00:04:00"/>
    <x v="1"/>
    <x v="21"/>
    <x v="1"/>
  </r>
  <r>
    <x v="119"/>
    <d v="1899-12-30T00:13:00"/>
    <x v="1"/>
    <x v="21"/>
    <x v="1"/>
  </r>
  <r>
    <x v="119"/>
    <d v="1899-12-30T00:14:00"/>
    <x v="1"/>
    <x v="21"/>
    <x v="1"/>
  </r>
  <r>
    <x v="119"/>
    <d v="1899-12-30T00:16:00"/>
    <x v="1"/>
    <x v="21"/>
    <x v="1"/>
  </r>
  <r>
    <x v="119"/>
    <d v="1899-12-30T10:19:00"/>
    <x v="0"/>
    <x v="21"/>
    <x v="1"/>
  </r>
  <r>
    <x v="119"/>
    <d v="1899-12-30T10:41:00"/>
    <x v="0"/>
    <x v="21"/>
    <x v="1"/>
  </r>
  <r>
    <x v="119"/>
    <d v="1899-12-30T11:10:00"/>
    <x v="0"/>
    <x v="21"/>
    <x v="1"/>
  </r>
  <r>
    <x v="119"/>
    <d v="1899-12-30T11:18:00"/>
    <x v="0"/>
    <x v="21"/>
    <x v="1"/>
  </r>
  <r>
    <x v="119"/>
    <d v="1899-12-30T12:05:00"/>
    <x v="2"/>
    <x v="21"/>
    <x v="1"/>
  </r>
  <r>
    <x v="119"/>
    <d v="1899-12-30T13:41:00"/>
    <x v="2"/>
    <x v="21"/>
    <x v="1"/>
  </r>
  <r>
    <x v="119"/>
    <d v="1899-12-30T14:09:00"/>
    <x v="2"/>
    <x v="21"/>
    <x v="1"/>
  </r>
  <r>
    <x v="120"/>
    <d v="1899-12-30T00:09:00"/>
    <x v="1"/>
    <x v="21"/>
    <x v="1"/>
  </r>
  <r>
    <x v="120"/>
    <d v="1899-12-30T09:31:00"/>
    <x v="0"/>
    <x v="21"/>
    <x v="1"/>
  </r>
  <r>
    <x v="120"/>
    <d v="1899-12-30T10:04:00"/>
    <x v="0"/>
    <x v="21"/>
    <x v="1"/>
  </r>
  <r>
    <x v="120"/>
    <d v="1899-12-30T10:06:00"/>
    <x v="0"/>
    <x v="21"/>
    <x v="1"/>
  </r>
  <r>
    <x v="120"/>
    <d v="1899-12-30T10:11:00"/>
    <x v="0"/>
    <x v="21"/>
    <x v="1"/>
  </r>
  <r>
    <x v="120"/>
    <d v="1899-12-30T10:12:00"/>
    <x v="0"/>
    <x v="21"/>
    <x v="1"/>
  </r>
  <r>
    <x v="120"/>
    <d v="1899-12-30T10:18:00"/>
    <x v="0"/>
    <x v="21"/>
    <x v="1"/>
  </r>
  <r>
    <x v="120"/>
    <d v="1899-12-30T11:09:00"/>
    <x v="0"/>
    <x v="21"/>
    <x v="1"/>
  </r>
  <r>
    <x v="120"/>
    <d v="1899-12-30T13:44:00"/>
    <x v="2"/>
    <x v="21"/>
    <x v="1"/>
  </r>
  <r>
    <x v="120"/>
    <d v="1899-12-30T17:27:00"/>
    <x v="1"/>
    <x v="21"/>
    <x v="1"/>
  </r>
  <r>
    <x v="120"/>
    <d v="1899-12-30T17:34:00"/>
    <x v="1"/>
    <x v="21"/>
    <x v="1"/>
  </r>
  <r>
    <x v="120"/>
    <d v="1899-12-30T21:12:00"/>
    <x v="1"/>
    <x v="21"/>
    <x v="1"/>
  </r>
  <r>
    <x v="120"/>
    <d v="1899-12-30T21:13:00"/>
    <x v="1"/>
    <x v="21"/>
    <x v="1"/>
  </r>
  <r>
    <x v="120"/>
    <d v="1899-12-30T21:15:00"/>
    <x v="1"/>
    <x v="21"/>
    <x v="1"/>
  </r>
  <r>
    <x v="120"/>
    <d v="1899-12-30T21:17:00"/>
    <x v="1"/>
    <x v="21"/>
    <x v="1"/>
  </r>
  <r>
    <x v="120"/>
    <d v="1899-12-30T21:26:00"/>
    <x v="1"/>
    <x v="21"/>
    <x v="1"/>
  </r>
  <r>
    <x v="120"/>
    <d v="1899-12-30T21:54:00"/>
    <x v="1"/>
    <x v="21"/>
    <x v="1"/>
  </r>
  <r>
    <x v="121"/>
    <d v="1899-12-30T09:39:00"/>
    <x v="0"/>
    <x v="21"/>
    <x v="1"/>
  </r>
  <r>
    <x v="121"/>
    <d v="1899-12-30T09:39:00"/>
    <x v="0"/>
    <x v="21"/>
    <x v="1"/>
  </r>
  <r>
    <x v="121"/>
    <d v="1899-12-30T11:24:00"/>
    <x v="0"/>
    <x v="21"/>
    <x v="1"/>
  </r>
  <r>
    <x v="121"/>
    <d v="1899-12-30T11:25:00"/>
    <x v="0"/>
    <x v="21"/>
    <x v="1"/>
  </r>
  <r>
    <x v="121"/>
    <d v="1899-12-30T11:36:00"/>
    <x v="0"/>
    <x v="21"/>
    <x v="1"/>
  </r>
  <r>
    <x v="121"/>
    <d v="1899-12-30T11:38:00"/>
    <x v="0"/>
    <x v="21"/>
    <x v="1"/>
  </r>
  <r>
    <x v="121"/>
    <d v="1899-12-30T11:43:00"/>
    <x v="0"/>
    <x v="21"/>
    <x v="1"/>
  </r>
  <r>
    <x v="121"/>
    <d v="1899-12-30T11:47:00"/>
    <x v="0"/>
    <x v="21"/>
    <x v="1"/>
  </r>
  <r>
    <x v="121"/>
    <d v="1899-12-30T17:28:00"/>
    <x v="1"/>
    <x v="21"/>
    <x v="1"/>
  </r>
  <r>
    <x v="121"/>
    <d v="1899-12-30T18:02:00"/>
    <x v="1"/>
    <x v="21"/>
    <x v="1"/>
  </r>
  <r>
    <x v="121"/>
    <d v="1899-12-30T22:22:00"/>
    <x v="1"/>
    <x v="21"/>
    <x v="1"/>
  </r>
  <r>
    <x v="122"/>
    <d v="1899-12-30T09:57:00"/>
    <x v="0"/>
    <x v="22"/>
    <x v="0"/>
  </r>
  <r>
    <x v="122"/>
    <d v="1899-12-30T11:26:00"/>
    <x v="0"/>
    <x v="22"/>
    <x v="0"/>
  </r>
  <r>
    <x v="122"/>
    <d v="1899-12-30T22:59:00"/>
    <x v="1"/>
    <x v="22"/>
    <x v="0"/>
  </r>
  <r>
    <x v="122"/>
    <d v="1899-12-30T23:10:00"/>
    <x v="1"/>
    <x v="22"/>
    <x v="0"/>
  </r>
  <r>
    <x v="122"/>
    <d v="1899-12-30T23:15:00"/>
    <x v="1"/>
    <x v="22"/>
    <x v="0"/>
  </r>
  <r>
    <x v="123"/>
    <d v="1899-12-30T09:49:00"/>
    <x v="0"/>
    <x v="22"/>
    <x v="0"/>
  </r>
  <r>
    <x v="123"/>
    <d v="1899-12-30T12:53:00"/>
    <x v="2"/>
    <x v="22"/>
    <x v="0"/>
  </r>
  <r>
    <x v="123"/>
    <d v="1899-12-30T17:29:00"/>
    <x v="1"/>
    <x v="22"/>
    <x v="0"/>
  </r>
  <r>
    <x v="123"/>
    <d v="1899-12-30T17:30:00"/>
    <x v="1"/>
    <x v="22"/>
    <x v="0"/>
  </r>
  <r>
    <x v="124"/>
    <d v="1899-12-30T11:59:00"/>
    <x v="0"/>
    <x v="22"/>
    <x v="0"/>
  </r>
  <r>
    <x v="124"/>
    <d v="1899-12-30T14:57:00"/>
    <x v="2"/>
    <x v="22"/>
    <x v="0"/>
  </r>
  <r>
    <x v="124"/>
    <d v="1899-12-30T15:03:00"/>
    <x v="2"/>
    <x v="22"/>
    <x v="0"/>
  </r>
  <r>
    <x v="124"/>
    <d v="1899-12-30T15:07:00"/>
    <x v="2"/>
    <x v="22"/>
    <x v="0"/>
  </r>
  <r>
    <x v="124"/>
    <d v="1899-12-30T15:22:00"/>
    <x v="2"/>
    <x v="22"/>
    <x v="0"/>
  </r>
  <r>
    <x v="124"/>
    <d v="1899-12-30T15:36:00"/>
    <x v="2"/>
    <x v="22"/>
    <x v="0"/>
  </r>
  <r>
    <x v="125"/>
    <d v="1899-12-30T12:07:00"/>
    <x v="2"/>
    <x v="22"/>
    <x v="0"/>
  </r>
  <r>
    <x v="125"/>
    <d v="1899-12-30T12:28:00"/>
    <x v="2"/>
    <x v="22"/>
    <x v="0"/>
  </r>
  <r>
    <x v="125"/>
    <d v="1899-12-30T13:06:00"/>
    <x v="2"/>
    <x v="22"/>
    <x v="0"/>
  </r>
  <r>
    <x v="125"/>
    <d v="1899-12-30T13:31:00"/>
    <x v="2"/>
    <x v="22"/>
    <x v="0"/>
  </r>
  <r>
    <x v="125"/>
    <d v="1899-12-30T13:37:00"/>
    <x v="2"/>
    <x v="22"/>
    <x v="0"/>
  </r>
  <r>
    <x v="125"/>
    <d v="1899-12-30T13:46:00"/>
    <x v="2"/>
    <x v="22"/>
    <x v="0"/>
  </r>
  <r>
    <x v="125"/>
    <d v="1899-12-30T14:03:00"/>
    <x v="2"/>
    <x v="22"/>
    <x v="0"/>
  </r>
  <r>
    <x v="126"/>
    <d v="1899-12-30T20:02:00"/>
    <x v="1"/>
    <x v="22"/>
    <x v="0"/>
  </r>
  <r>
    <x v="127"/>
    <d v="1899-12-30T09:42:00"/>
    <x v="0"/>
    <x v="22"/>
    <x v="0"/>
  </r>
  <r>
    <x v="127"/>
    <d v="1899-12-30T09:47:00"/>
    <x v="0"/>
    <x v="22"/>
    <x v="0"/>
  </r>
  <r>
    <x v="128"/>
    <d v="1899-12-30T00:02:00"/>
    <x v="1"/>
    <x v="22"/>
    <x v="0"/>
  </r>
  <r>
    <x v="128"/>
    <d v="1899-12-30T11:00:00"/>
    <x v="0"/>
    <x v="22"/>
    <x v="0"/>
  </r>
  <r>
    <x v="128"/>
    <d v="1899-12-30T15:49:00"/>
    <x v="2"/>
    <x v="22"/>
    <x v="0"/>
  </r>
  <r>
    <x v="128"/>
    <d v="1899-12-30T15:59:00"/>
    <x v="2"/>
    <x v="22"/>
    <x v="0"/>
  </r>
  <r>
    <x v="128"/>
    <d v="1899-12-30T16:00:00"/>
    <x v="2"/>
    <x v="22"/>
    <x v="0"/>
  </r>
  <r>
    <x v="128"/>
    <d v="1899-12-30T17:08:00"/>
    <x v="1"/>
    <x v="22"/>
    <x v="0"/>
  </r>
  <r>
    <x v="128"/>
    <d v="1899-12-30T17:12:00"/>
    <x v="1"/>
    <x v="22"/>
    <x v="0"/>
  </r>
  <r>
    <x v="128"/>
    <d v="1899-12-30T18:02:00"/>
    <x v="1"/>
    <x v="22"/>
    <x v="0"/>
  </r>
  <r>
    <x v="128"/>
    <d v="1899-12-30T22:44:00"/>
    <x v="1"/>
    <x v="22"/>
    <x v="0"/>
  </r>
  <r>
    <x v="128"/>
    <d v="1899-12-30T22:44:00"/>
    <x v="1"/>
    <x v="22"/>
    <x v="0"/>
  </r>
  <r>
    <x v="129"/>
    <d v="1899-12-30T11:24:00"/>
    <x v="0"/>
    <x v="23"/>
    <x v="0"/>
  </r>
  <r>
    <x v="129"/>
    <d v="1899-12-30T11:34:00"/>
    <x v="0"/>
    <x v="23"/>
    <x v="0"/>
  </r>
  <r>
    <x v="129"/>
    <d v="1899-12-30T12:45:00"/>
    <x v="2"/>
    <x v="23"/>
    <x v="0"/>
  </r>
  <r>
    <x v="129"/>
    <d v="1899-12-30T12:46:00"/>
    <x v="2"/>
    <x v="23"/>
    <x v="0"/>
  </r>
  <r>
    <x v="129"/>
    <d v="1899-12-30T12:49:00"/>
    <x v="2"/>
    <x v="23"/>
    <x v="0"/>
  </r>
  <r>
    <x v="129"/>
    <d v="1899-12-30T18:09:00"/>
    <x v="1"/>
    <x v="23"/>
    <x v="0"/>
  </r>
  <r>
    <x v="130"/>
    <d v="1899-12-30T00:02:00"/>
    <x v="1"/>
    <x v="23"/>
    <x v="0"/>
  </r>
  <r>
    <x v="130"/>
    <d v="1899-12-30T00:05:00"/>
    <x v="1"/>
    <x v="23"/>
    <x v="0"/>
  </r>
  <r>
    <x v="130"/>
    <d v="1899-12-30T00:09:00"/>
    <x v="1"/>
    <x v="23"/>
    <x v="0"/>
  </r>
  <r>
    <x v="130"/>
    <d v="1899-12-30T00:09:00"/>
    <x v="1"/>
    <x v="23"/>
    <x v="0"/>
  </r>
  <r>
    <x v="130"/>
    <d v="1899-12-30T00:11:00"/>
    <x v="1"/>
    <x v="23"/>
    <x v="0"/>
  </r>
  <r>
    <x v="130"/>
    <d v="1899-12-30T00:11:00"/>
    <x v="1"/>
    <x v="23"/>
    <x v="0"/>
  </r>
  <r>
    <x v="130"/>
    <d v="1899-12-30T00:17:00"/>
    <x v="1"/>
    <x v="23"/>
    <x v="0"/>
  </r>
  <r>
    <x v="130"/>
    <d v="1899-12-30T00:18:00"/>
    <x v="1"/>
    <x v="23"/>
    <x v="0"/>
  </r>
  <r>
    <x v="130"/>
    <d v="1899-12-30T00:25:00"/>
    <x v="1"/>
    <x v="23"/>
    <x v="0"/>
  </r>
  <r>
    <x v="130"/>
    <d v="1899-12-30T14:42:00"/>
    <x v="2"/>
    <x v="23"/>
    <x v="0"/>
  </r>
  <r>
    <x v="130"/>
    <d v="1899-12-30T16:34:00"/>
    <x v="2"/>
    <x v="23"/>
    <x v="0"/>
  </r>
  <r>
    <x v="130"/>
    <d v="1899-12-30T17:03:00"/>
    <x v="1"/>
    <x v="23"/>
    <x v="0"/>
  </r>
  <r>
    <x v="130"/>
    <d v="1899-12-30T17:04:00"/>
    <x v="1"/>
    <x v="23"/>
    <x v="0"/>
  </r>
  <r>
    <x v="130"/>
    <d v="1899-12-30T17:44:00"/>
    <x v="1"/>
    <x v="23"/>
    <x v="0"/>
  </r>
  <r>
    <x v="130"/>
    <d v="1899-12-30T22:59:00"/>
    <x v="1"/>
    <x v="23"/>
    <x v="0"/>
  </r>
  <r>
    <x v="130"/>
    <d v="1899-12-30T23:45:00"/>
    <x v="1"/>
    <x v="23"/>
    <x v="0"/>
  </r>
  <r>
    <x v="130"/>
    <d v="1899-12-30T23:46:00"/>
    <x v="1"/>
    <x v="23"/>
    <x v="0"/>
  </r>
  <r>
    <x v="131"/>
    <d v="1899-12-30T14:53:00"/>
    <x v="2"/>
    <x v="23"/>
    <x v="0"/>
  </r>
  <r>
    <x v="131"/>
    <d v="1899-12-30T21:32:00"/>
    <x v="1"/>
    <x v="23"/>
    <x v="0"/>
  </r>
  <r>
    <x v="131"/>
    <d v="1899-12-30T22:02:00"/>
    <x v="1"/>
    <x v="23"/>
    <x v="0"/>
  </r>
  <r>
    <x v="131"/>
    <d v="1899-12-30T22:10:00"/>
    <x v="1"/>
    <x v="23"/>
    <x v="0"/>
  </r>
  <r>
    <x v="132"/>
    <d v="1899-12-30T09:49:00"/>
    <x v="0"/>
    <x v="24"/>
    <x v="1"/>
  </r>
  <r>
    <x v="132"/>
    <d v="1899-12-30T09:50:00"/>
    <x v="0"/>
    <x v="24"/>
    <x v="1"/>
  </r>
  <r>
    <x v="132"/>
    <d v="1899-12-30T09:51:00"/>
    <x v="0"/>
    <x v="24"/>
    <x v="1"/>
  </r>
  <r>
    <x v="132"/>
    <d v="1899-12-30T16:51:00"/>
    <x v="2"/>
    <x v="24"/>
    <x v="1"/>
  </r>
  <r>
    <x v="133"/>
    <d v="1899-12-30T15:53:00"/>
    <x v="2"/>
    <x v="24"/>
    <x v="1"/>
  </r>
  <r>
    <x v="133"/>
    <d v="1899-12-30T15:55:00"/>
    <x v="2"/>
    <x v="24"/>
    <x v="1"/>
  </r>
  <r>
    <x v="133"/>
    <d v="1899-12-30T15:55:00"/>
    <x v="2"/>
    <x v="24"/>
    <x v="1"/>
  </r>
  <r>
    <x v="133"/>
    <d v="1899-12-30T21:49:00"/>
    <x v="1"/>
    <x v="24"/>
    <x v="1"/>
  </r>
  <r>
    <x v="134"/>
    <d v="1899-12-30T10:23:00"/>
    <x v="0"/>
    <x v="24"/>
    <x v="1"/>
  </r>
  <r>
    <x v="134"/>
    <d v="1899-12-30T11:41:00"/>
    <x v="0"/>
    <x v="24"/>
    <x v="1"/>
  </r>
  <r>
    <x v="134"/>
    <d v="1899-12-30T12:01:00"/>
    <x v="2"/>
    <x v="24"/>
    <x v="1"/>
  </r>
  <r>
    <x v="134"/>
    <d v="1899-12-30T12:16:00"/>
    <x v="2"/>
    <x v="24"/>
    <x v="1"/>
  </r>
  <r>
    <x v="134"/>
    <d v="1899-12-30T12:17:00"/>
    <x v="2"/>
    <x v="24"/>
    <x v="1"/>
  </r>
  <r>
    <x v="134"/>
    <d v="1899-12-30T13:44:00"/>
    <x v="2"/>
    <x v="24"/>
    <x v="1"/>
  </r>
  <r>
    <x v="134"/>
    <d v="1899-12-30T17:51:00"/>
    <x v="1"/>
    <x v="24"/>
    <x v="1"/>
  </r>
  <r>
    <x v="134"/>
    <d v="1899-12-30T18:21:00"/>
    <x v="1"/>
    <x v="24"/>
    <x v="1"/>
  </r>
  <r>
    <x v="134"/>
    <d v="1899-12-30T18:31:00"/>
    <x v="1"/>
    <x v="24"/>
    <x v="1"/>
  </r>
  <r>
    <x v="134"/>
    <d v="1899-12-30T19:37:00"/>
    <x v="1"/>
    <x v="24"/>
    <x v="1"/>
  </r>
  <r>
    <x v="134"/>
    <d v="1899-12-30T21:10:00"/>
    <x v="1"/>
    <x v="24"/>
    <x v="1"/>
  </r>
  <r>
    <x v="135"/>
    <d v="1899-12-30T00:16:00"/>
    <x v="1"/>
    <x v="24"/>
    <x v="1"/>
  </r>
  <r>
    <x v="135"/>
    <d v="1899-12-30T00:16:00"/>
    <x v="1"/>
    <x v="24"/>
    <x v="1"/>
  </r>
  <r>
    <x v="135"/>
    <d v="1899-12-30T17:41:00"/>
    <x v="1"/>
    <x v="24"/>
    <x v="1"/>
  </r>
  <r>
    <x v="135"/>
    <d v="1899-12-30T21:31:00"/>
    <x v="1"/>
    <x v="24"/>
    <x v="1"/>
  </r>
  <r>
    <x v="136"/>
    <d v="1899-12-30T10:04:00"/>
    <x v="0"/>
    <x v="24"/>
    <x v="1"/>
  </r>
  <r>
    <x v="136"/>
    <d v="1899-12-30T10:09:00"/>
    <x v="0"/>
    <x v="24"/>
    <x v="1"/>
  </r>
  <r>
    <x v="136"/>
    <d v="1899-12-30T11:58:00"/>
    <x v="0"/>
    <x v="24"/>
    <x v="1"/>
  </r>
  <r>
    <x v="136"/>
    <d v="1899-12-30T12:49:00"/>
    <x v="2"/>
    <x v="24"/>
    <x v="1"/>
  </r>
  <r>
    <x v="136"/>
    <d v="1899-12-30T12:51:00"/>
    <x v="2"/>
    <x v="24"/>
    <x v="1"/>
  </r>
  <r>
    <x v="136"/>
    <d v="1899-12-30T12:55:00"/>
    <x v="2"/>
    <x v="24"/>
    <x v="1"/>
  </r>
  <r>
    <x v="136"/>
    <d v="1899-12-30T14:23:00"/>
    <x v="2"/>
    <x v="24"/>
    <x v="1"/>
  </r>
  <r>
    <x v="136"/>
    <d v="1899-12-30T18:58:00"/>
    <x v="1"/>
    <x v="24"/>
    <x v="1"/>
  </r>
  <r>
    <x v="136"/>
    <d v="1899-12-30T21:02:00"/>
    <x v="1"/>
    <x v="24"/>
    <x v="1"/>
  </r>
  <r>
    <x v="136"/>
    <d v="1899-12-30T21:08:00"/>
    <x v="1"/>
    <x v="24"/>
    <x v="1"/>
  </r>
  <r>
    <x v="137"/>
    <d v="1899-12-30T09:09:00"/>
    <x v="0"/>
    <x v="24"/>
    <x v="1"/>
  </r>
  <r>
    <x v="137"/>
    <d v="1899-12-30T09:10:00"/>
    <x v="0"/>
    <x v="24"/>
    <x v="1"/>
  </r>
  <r>
    <x v="137"/>
    <d v="1899-12-30T09:11:00"/>
    <x v="0"/>
    <x v="24"/>
    <x v="1"/>
  </r>
  <r>
    <x v="137"/>
    <d v="1899-12-30T14:38:00"/>
    <x v="2"/>
    <x v="24"/>
    <x v="1"/>
  </r>
  <r>
    <x v="137"/>
    <d v="1899-12-30T16:38:00"/>
    <x v="2"/>
    <x v="24"/>
    <x v="1"/>
  </r>
  <r>
    <x v="137"/>
    <d v="1899-12-30T16:43:00"/>
    <x v="2"/>
    <x v="24"/>
    <x v="1"/>
  </r>
  <r>
    <x v="137"/>
    <d v="1899-12-30T23:37:00"/>
    <x v="1"/>
    <x v="24"/>
    <x v="1"/>
  </r>
  <r>
    <x v="137"/>
    <d v="1899-12-30T23:47:00"/>
    <x v="1"/>
    <x v="24"/>
    <x v="1"/>
  </r>
  <r>
    <x v="137"/>
    <d v="1899-12-30T23:49:00"/>
    <x v="1"/>
    <x v="24"/>
    <x v="1"/>
  </r>
  <r>
    <x v="137"/>
    <d v="1899-12-30T23:51:00"/>
    <x v="1"/>
    <x v="24"/>
    <x v="1"/>
  </r>
  <r>
    <x v="137"/>
    <d v="1899-12-30T23:53:00"/>
    <x v="1"/>
    <x v="24"/>
    <x v="1"/>
  </r>
  <r>
    <x v="138"/>
    <d v="1899-12-30T00:02:00"/>
    <x v="1"/>
    <x v="24"/>
    <x v="1"/>
  </r>
  <r>
    <x v="138"/>
    <d v="1899-12-30T00:11:00"/>
    <x v="1"/>
    <x v="24"/>
    <x v="1"/>
  </r>
  <r>
    <x v="138"/>
    <d v="1899-12-30T18:02:00"/>
    <x v="1"/>
    <x v="24"/>
    <x v="1"/>
  </r>
  <r>
    <x v="138"/>
    <d v="1899-12-30T18:06:00"/>
    <x v="1"/>
    <x v="24"/>
    <x v="1"/>
  </r>
  <r>
    <x v="138"/>
    <d v="1899-12-30T18:43:00"/>
    <x v="1"/>
    <x v="24"/>
    <x v="1"/>
  </r>
  <r>
    <x v="138"/>
    <d v="1899-12-30T23:33:00"/>
    <x v="1"/>
    <x v="24"/>
    <x v="1"/>
  </r>
  <r>
    <x v="138"/>
    <d v="1899-12-30T23:34:00"/>
    <x v="1"/>
    <x v="24"/>
    <x v="1"/>
  </r>
  <r>
    <x v="138"/>
    <d v="1899-12-30T23:35:00"/>
    <x v="1"/>
    <x v="24"/>
    <x v="1"/>
  </r>
  <r>
    <x v="139"/>
    <d v="1899-12-30T10:30:00"/>
    <x v="0"/>
    <x v="25"/>
    <x v="0"/>
  </r>
  <r>
    <x v="139"/>
    <d v="1899-12-30T10:50:00"/>
    <x v="0"/>
    <x v="25"/>
    <x v="0"/>
  </r>
  <r>
    <x v="139"/>
    <d v="1899-12-30T13:18:00"/>
    <x v="2"/>
    <x v="25"/>
    <x v="0"/>
  </r>
  <r>
    <x v="139"/>
    <d v="1899-12-30T13:56:00"/>
    <x v="2"/>
    <x v="25"/>
    <x v="0"/>
  </r>
  <r>
    <x v="139"/>
    <d v="1899-12-30T17:42:00"/>
    <x v="1"/>
    <x v="25"/>
    <x v="0"/>
  </r>
  <r>
    <x v="139"/>
    <d v="1899-12-30T22:45:00"/>
    <x v="1"/>
    <x v="25"/>
    <x v="0"/>
  </r>
  <r>
    <x v="139"/>
    <d v="1899-12-30T22:46:00"/>
    <x v="1"/>
    <x v="25"/>
    <x v="0"/>
  </r>
  <r>
    <x v="140"/>
    <d v="1899-12-30T09:00:00"/>
    <x v="0"/>
    <x v="25"/>
    <x v="0"/>
  </r>
  <r>
    <x v="140"/>
    <d v="1899-12-30T09:56:00"/>
    <x v="0"/>
    <x v="25"/>
    <x v="0"/>
  </r>
  <r>
    <x v="140"/>
    <d v="1899-12-30T09:57:00"/>
    <x v="0"/>
    <x v="25"/>
    <x v="0"/>
  </r>
  <r>
    <x v="140"/>
    <d v="1899-12-30T09:58:00"/>
    <x v="0"/>
    <x v="25"/>
    <x v="0"/>
  </r>
  <r>
    <x v="140"/>
    <d v="1899-12-30T10:06:00"/>
    <x v="0"/>
    <x v="25"/>
    <x v="0"/>
  </r>
  <r>
    <x v="140"/>
    <d v="1899-12-30T10:12:00"/>
    <x v="0"/>
    <x v="25"/>
    <x v="0"/>
  </r>
  <r>
    <x v="140"/>
    <d v="1899-12-30T12:21:00"/>
    <x v="2"/>
    <x v="25"/>
    <x v="0"/>
  </r>
  <r>
    <x v="140"/>
    <d v="1899-12-30T15:24:00"/>
    <x v="2"/>
    <x v="25"/>
    <x v="0"/>
  </r>
  <r>
    <x v="140"/>
    <d v="1899-12-30T15:29:00"/>
    <x v="2"/>
    <x v="25"/>
    <x v="0"/>
  </r>
  <r>
    <x v="140"/>
    <d v="1899-12-30T17:49:00"/>
    <x v="1"/>
    <x v="25"/>
    <x v="0"/>
  </r>
  <r>
    <x v="140"/>
    <d v="1899-12-30T18:01:00"/>
    <x v="1"/>
    <x v="25"/>
    <x v="0"/>
  </r>
  <r>
    <x v="140"/>
    <d v="1899-12-30T23:59:00"/>
    <x v="1"/>
    <x v="25"/>
    <x v="0"/>
  </r>
  <r>
    <x v="141"/>
    <d v="1899-12-30T00:08:00"/>
    <x v="1"/>
    <x v="25"/>
    <x v="0"/>
  </r>
  <r>
    <x v="141"/>
    <d v="1899-12-30T00:08:00"/>
    <x v="1"/>
    <x v="25"/>
    <x v="0"/>
  </r>
  <r>
    <x v="141"/>
    <d v="1899-12-30T00:11:00"/>
    <x v="1"/>
    <x v="25"/>
    <x v="0"/>
  </r>
  <r>
    <x v="141"/>
    <d v="1899-12-30T00:12:00"/>
    <x v="1"/>
    <x v="25"/>
    <x v="0"/>
  </r>
  <r>
    <x v="141"/>
    <d v="1899-12-30T00:12:00"/>
    <x v="1"/>
    <x v="25"/>
    <x v="0"/>
  </r>
  <r>
    <x v="141"/>
    <d v="1899-12-30T00:16:00"/>
    <x v="1"/>
    <x v="25"/>
    <x v="0"/>
  </r>
  <r>
    <x v="141"/>
    <d v="1899-12-30T00:29:00"/>
    <x v="1"/>
    <x v="25"/>
    <x v="0"/>
  </r>
  <r>
    <x v="141"/>
    <d v="1899-12-30T08:44:00"/>
    <x v="0"/>
    <x v="25"/>
    <x v="0"/>
  </r>
  <r>
    <x v="141"/>
    <d v="1899-12-30T10:07:00"/>
    <x v="0"/>
    <x v="25"/>
    <x v="0"/>
  </r>
  <r>
    <x v="141"/>
    <d v="1899-12-30T10:09:00"/>
    <x v="0"/>
    <x v="25"/>
    <x v="0"/>
  </r>
  <r>
    <x v="141"/>
    <d v="1899-12-30T10:10:00"/>
    <x v="0"/>
    <x v="25"/>
    <x v="0"/>
  </r>
  <r>
    <x v="141"/>
    <d v="1899-12-30T10:32:00"/>
    <x v="0"/>
    <x v="25"/>
    <x v="0"/>
  </r>
  <r>
    <x v="141"/>
    <d v="1899-12-30T13:53:00"/>
    <x v="2"/>
    <x v="25"/>
    <x v="0"/>
  </r>
  <r>
    <x v="141"/>
    <d v="1899-12-30T15:21:00"/>
    <x v="2"/>
    <x v="25"/>
    <x v="0"/>
  </r>
  <r>
    <x v="142"/>
    <d v="1899-12-30T00:03:00"/>
    <x v="1"/>
    <x v="25"/>
    <x v="0"/>
  </r>
  <r>
    <x v="142"/>
    <d v="1899-12-30T00:04:00"/>
    <x v="1"/>
    <x v="25"/>
    <x v="0"/>
  </r>
  <r>
    <x v="142"/>
    <d v="1899-12-30T00:08:00"/>
    <x v="1"/>
    <x v="25"/>
    <x v="0"/>
  </r>
  <r>
    <x v="142"/>
    <d v="1899-12-30T12:29:00"/>
    <x v="2"/>
    <x v="25"/>
    <x v="0"/>
  </r>
  <r>
    <x v="142"/>
    <d v="1899-12-30T22:09:00"/>
    <x v="1"/>
    <x v="25"/>
    <x v="0"/>
  </r>
  <r>
    <x v="142"/>
    <d v="1899-12-30T23:42:00"/>
    <x v="1"/>
    <x v="25"/>
    <x v="0"/>
  </r>
  <r>
    <x v="143"/>
    <d v="1899-12-30T00:07:00"/>
    <x v="1"/>
    <x v="25"/>
    <x v="0"/>
  </r>
  <r>
    <x v="143"/>
    <d v="1899-12-30T00:07:00"/>
    <x v="1"/>
    <x v="25"/>
    <x v="0"/>
  </r>
  <r>
    <x v="143"/>
    <d v="1899-12-30T00:07:00"/>
    <x v="1"/>
    <x v="25"/>
    <x v="0"/>
  </r>
  <r>
    <x v="143"/>
    <d v="1899-12-30T00:07:00"/>
    <x v="1"/>
    <x v="25"/>
    <x v="0"/>
  </r>
  <r>
    <x v="143"/>
    <d v="1899-12-30T00:07:00"/>
    <x v="1"/>
    <x v="25"/>
    <x v="0"/>
  </r>
  <r>
    <x v="143"/>
    <d v="1899-12-30T00:07:00"/>
    <x v="1"/>
    <x v="25"/>
    <x v="0"/>
  </r>
  <r>
    <x v="143"/>
    <d v="1899-12-30T09:43:00"/>
    <x v="0"/>
    <x v="25"/>
    <x v="0"/>
  </r>
  <r>
    <x v="143"/>
    <d v="1899-12-30T09:44:00"/>
    <x v="0"/>
    <x v="25"/>
    <x v="0"/>
  </r>
  <r>
    <x v="143"/>
    <d v="1899-12-30T10:09:00"/>
    <x v="0"/>
    <x v="25"/>
    <x v="0"/>
  </r>
  <r>
    <x v="143"/>
    <d v="1899-12-30T10:13:00"/>
    <x v="0"/>
    <x v="25"/>
    <x v="0"/>
  </r>
  <r>
    <x v="143"/>
    <d v="1899-12-30T10:15:00"/>
    <x v="0"/>
    <x v="25"/>
    <x v="0"/>
  </r>
  <r>
    <x v="143"/>
    <d v="1899-12-30T19:02:00"/>
    <x v="1"/>
    <x v="25"/>
    <x v="0"/>
  </r>
  <r>
    <x v="144"/>
    <d v="1899-12-30T09:00:00"/>
    <x v="0"/>
    <x v="25"/>
    <x v="0"/>
  </r>
  <r>
    <x v="144"/>
    <d v="1899-12-30T09:06:00"/>
    <x v="0"/>
    <x v="25"/>
    <x v="0"/>
  </r>
  <r>
    <x v="144"/>
    <d v="1899-12-30T14:59:00"/>
    <x v="2"/>
    <x v="25"/>
    <x v="0"/>
  </r>
  <r>
    <x v="144"/>
    <d v="1899-12-30T15:00:00"/>
    <x v="2"/>
    <x v="25"/>
    <x v="0"/>
  </r>
  <r>
    <x v="144"/>
    <d v="1899-12-30T16:09:00"/>
    <x v="2"/>
    <x v="25"/>
    <x v="0"/>
  </r>
  <r>
    <x v="145"/>
    <d v="1899-12-30T12:04:00"/>
    <x v="2"/>
    <x v="25"/>
    <x v="0"/>
  </r>
  <r>
    <x v="145"/>
    <d v="1899-12-30T12:25:00"/>
    <x v="2"/>
    <x v="25"/>
    <x v="0"/>
  </r>
  <r>
    <x v="145"/>
    <d v="1899-12-30T14:03:00"/>
    <x v="2"/>
    <x v="25"/>
    <x v="0"/>
  </r>
  <r>
    <x v="145"/>
    <d v="1899-12-30T18:29:00"/>
    <x v="1"/>
    <x v="25"/>
    <x v="0"/>
  </r>
  <r>
    <x v="145"/>
    <d v="1899-12-30T18:31:00"/>
    <x v="1"/>
    <x v="25"/>
    <x v="0"/>
  </r>
  <r>
    <x v="145"/>
    <d v="1899-12-30T18:50:00"/>
    <x v="1"/>
    <x v="25"/>
    <x v="0"/>
  </r>
  <r>
    <x v="145"/>
    <d v="1899-12-30T20:30:00"/>
    <x v="1"/>
    <x v="25"/>
    <x v="0"/>
  </r>
  <r>
    <x v="146"/>
    <d v="1899-12-30T10:00:00"/>
    <x v="0"/>
    <x v="26"/>
    <x v="0"/>
  </r>
  <r>
    <x v="146"/>
    <d v="1899-12-30T10:59:00"/>
    <x v="0"/>
    <x v="26"/>
    <x v="0"/>
  </r>
  <r>
    <x v="146"/>
    <d v="1899-12-30T10:59:00"/>
    <x v="0"/>
    <x v="26"/>
    <x v="0"/>
  </r>
  <r>
    <x v="146"/>
    <d v="1899-12-30T15:19:00"/>
    <x v="2"/>
    <x v="26"/>
    <x v="0"/>
  </r>
  <r>
    <x v="146"/>
    <d v="1899-12-30T17:44:00"/>
    <x v="1"/>
    <x v="26"/>
    <x v="0"/>
  </r>
  <r>
    <x v="146"/>
    <d v="1899-12-30T18:26:00"/>
    <x v="1"/>
    <x v="26"/>
    <x v="0"/>
  </r>
  <r>
    <x v="147"/>
    <d v="1899-12-30T10:20:00"/>
    <x v="0"/>
    <x v="26"/>
    <x v="0"/>
  </r>
  <r>
    <x v="147"/>
    <d v="1899-12-30T10:44:00"/>
    <x v="0"/>
    <x v="26"/>
    <x v="0"/>
  </r>
  <r>
    <x v="147"/>
    <d v="1899-12-30T10:45:00"/>
    <x v="0"/>
    <x v="26"/>
    <x v="0"/>
  </r>
  <r>
    <x v="147"/>
    <d v="1899-12-30T12:46:00"/>
    <x v="2"/>
    <x v="26"/>
    <x v="0"/>
  </r>
  <r>
    <x v="147"/>
    <d v="1899-12-30T16:36:00"/>
    <x v="2"/>
    <x v="26"/>
    <x v="0"/>
  </r>
  <r>
    <x v="147"/>
    <d v="1899-12-30T17:56:00"/>
    <x v="1"/>
    <x v="26"/>
    <x v="0"/>
  </r>
  <r>
    <x v="147"/>
    <d v="1899-12-30T19:07:00"/>
    <x v="1"/>
    <x v="26"/>
    <x v="0"/>
  </r>
  <r>
    <x v="147"/>
    <d v="1899-12-30T22:47:00"/>
    <x v="1"/>
    <x v="26"/>
    <x v="0"/>
  </r>
  <r>
    <x v="147"/>
    <d v="1899-12-30T22:58:00"/>
    <x v="1"/>
    <x v="26"/>
    <x v="0"/>
  </r>
  <r>
    <x v="147"/>
    <d v="1899-12-30T23:26:00"/>
    <x v="1"/>
    <x v="26"/>
    <x v="0"/>
  </r>
  <r>
    <x v="148"/>
    <d v="1899-12-30T00:09:00"/>
    <x v="1"/>
    <x v="26"/>
    <x v="0"/>
  </r>
  <r>
    <x v="148"/>
    <d v="1899-12-30T00:12:00"/>
    <x v="1"/>
    <x v="26"/>
    <x v="0"/>
  </r>
  <r>
    <x v="148"/>
    <d v="1899-12-30T00:15:00"/>
    <x v="1"/>
    <x v="26"/>
    <x v="0"/>
  </r>
  <r>
    <x v="148"/>
    <d v="1899-12-30T00:16:00"/>
    <x v="1"/>
    <x v="26"/>
    <x v="0"/>
  </r>
  <r>
    <x v="148"/>
    <d v="1899-12-30T08:50:00"/>
    <x v="0"/>
    <x v="26"/>
    <x v="0"/>
  </r>
  <r>
    <x v="148"/>
    <d v="1899-12-30T08:52:00"/>
    <x v="0"/>
    <x v="26"/>
    <x v="0"/>
  </r>
  <r>
    <x v="148"/>
    <d v="1899-12-30T10:25:00"/>
    <x v="0"/>
    <x v="26"/>
    <x v="0"/>
  </r>
  <r>
    <x v="148"/>
    <d v="1899-12-30T10:25:00"/>
    <x v="0"/>
    <x v="26"/>
    <x v="0"/>
  </r>
  <r>
    <x v="148"/>
    <d v="1899-12-30T10:41:00"/>
    <x v="0"/>
    <x v="26"/>
    <x v="0"/>
  </r>
  <r>
    <x v="148"/>
    <d v="1899-12-30T10:55:00"/>
    <x v="0"/>
    <x v="26"/>
    <x v="0"/>
  </r>
  <r>
    <x v="148"/>
    <d v="1899-12-30T11:45:00"/>
    <x v="0"/>
    <x v="26"/>
    <x v="0"/>
  </r>
  <r>
    <x v="149"/>
    <d v="1899-12-30T10:28:00"/>
    <x v="0"/>
    <x v="26"/>
    <x v="0"/>
  </r>
  <r>
    <x v="149"/>
    <d v="1899-12-30T10:36:00"/>
    <x v="0"/>
    <x v="26"/>
    <x v="0"/>
  </r>
  <r>
    <x v="149"/>
    <d v="1899-12-30T10:39:00"/>
    <x v="0"/>
    <x v="26"/>
    <x v="0"/>
  </r>
  <r>
    <x v="149"/>
    <d v="1899-12-30T17:08:00"/>
    <x v="1"/>
    <x v="26"/>
    <x v="0"/>
  </r>
  <r>
    <x v="149"/>
    <d v="1899-12-30T21:41:00"/>
    <x v="1"/>
    <x v="26"/>
    <x v="0"/>
  </r>
  <r>
    <x v="150"/>
    <d v="1899-12-30T11:11:00"/>
    <x v="0"/>
    <x v="26"/>
    <x v="0"/>
  </r>
  <r>
    <x v="150"/>
    <d v="1899-12-30T11:19:00"/>
    <x v="0"/>
    <x v="26"/>
    <x v="0"/>
  </r>
  <r>
    <x v="150"/>
    <d v="1899-12-30T14:47:00"/>
    <x v="2"/>
    <x v="26"/>
    <x v="0"/>
  </r>
  <r>
    <x v="151"/>
    <d v="1899-12-30T10:47:00"/>
    <x v="0"/>
    <x v="26"/>
    <x v="0"/>
  </r>
  <r>
    <x v="151"/>
    <d v="1899-12-30T11:02:00"/>
    <x v="0"/>
    <x v="26"/>
    <x v="0"/>
  </r>
  <r>
    <x v="151"/>
    <d v="1899-12-30T11:44:00"/>
    <x v="0"/>
    <x v="26"/>
    <x v="0"/>
  </r>
  <r>
    <x v="152"/>
    <d v="1899-12-30T18:25:00"/>
    <x v="1"/>
    <x v="26"/>
    <x v="0"/>
  </r>
  <r>
    <x v="152"/>
    <d v="1899-12-30T18:33:00"/>
    <x v="1"/>
    <x v="26"/>
    <x v="0"/>
  </r>
  <r>
    <x v="152"/>
    <d v="1899-12-30T18:47:00"/>
    <x v="1"/>
    <x v="26"/>
    <x v="0"/>
  </r>
  <r>
    <x v="153"/>
    <d v="1899-12-30T10:50:00"/>
    <x v="0"/>
    <x v="27"/>
    <x v="0"/>
  </r>
  <r>
    <x v="153"/>
    <d v="1899-12-30T15:58:00"/>
    <x v="2"/>
    <x v="27"/>
    <x v="0"/>
  </r>
  <r>
    <x v="153"/>
    <d v="1899-12-30T18:25:00"/>
    <x v="1"/>
    <x v="27"/>
    <x v="0"/>
  </r>
  <r>
    <x v="153"/>
    <d v="1899-12-30T18:36:00"/>
    <x v="1"/>
    <x v="27"/>
    <x v="0"/>
  </r>
  <r>
    <x v="153"/>
    <d v="1899-12-30T19:23:00"/>
    <x v="1"/>
    <x v="27"/>
    <x v="0"/>
  </r>
  <r>
    <x v="153"/>
    <d v="1899-12-30T23:22:00"/>
    <x v="1"/>
    <x v="27"/>
    <x v="0"/>
  </r>
  <r>
    <x v="153"/>
    <d v="1899-12-30T23:34:00"/>
    <x v="1"/>
    <x v="27"/>
    <x v="0"/>
  </r>
  <r>
    <x v="154"/>
    <d v="1899-12-30T10:24:00"/>
    <x v="0"/>
    <x v="27"/>
    <x v="0"/>
  </r>
  <r>
    <x v="154"/>
    <d v="1899-12-30T10:29:00"/>
    <x v="0"/>
    <x v="27"/>
    <x v="0"/>
  </r>
  <r>
    <x v="154"/>
    <d v="1899-12-30T11:55:00"/>
    <x v="0"/>
    <x v="27"/>
    <x v="0"/>
  </r>
  <r>
    <x v="154"/>
    <d v="1899-12-30T11:58:00"/>
    <x v="0"/>
    <x v="27"/>
    <x v="0"/>
  </r>
  <r>
    <x v="154"/>
    <d v="1899-12-30T11:59:00"/>
    <x v="0"/>
    <x v="27"/>
    <x v="0"/>
  </r>
  <r>
    <x v="154"/>
    <d v="1899-12-30T12:20:00"/>
    <x v="2"/>
    <x v="27"/>
    <x v="0"/>
  </r>
  <r>
    <x v="154"/>
    <d v="1899-12-30T12:20:00"/>
    <x v="2"/>
    <x v="27"/>
    <x v="0"/>
  </r>
  <r>
    <x v="154"/>
    <d v="1899-12-30T12:21:00"/>
    <x v="2"/>
    <x v="27"/>
    <x v="0"/>
  </r>
  <r>
    <x v="154"/>
    <d v="1899-12-30T12:24:00"/>
    <x v="2"/>
    <x v="27"/>
    <x v="0"/>
  </r>
  <r>
    <x v="154"/>
    <d v="1899-12-30T12:25:00"/>
    <x v="2"/>
    <x v="27"/>
    <x v="0"/>
  </r>
  <r>
    <x v="154"/>
    <d v="1899-12-30T12:26:00"/>
    <x v="2"/>
    <x v="27"/>
    <x v="0"/>
  </r>
  <r>
    <x v="154"/>
    <d v="1899-12-30T12:26:00"/>
    <x v="2"/>
    <x v="27"/>
    <x v="0"/>
  </r>
  <r>
    <x v="154"/>
    <d v="1899-12-30T12:26:00"/>
    <x v="2"/>
    <x v="27"/>
    <x v="0"/>
  </r>
  <r>
    <x v="154"/>
    <d v="1899-12-30T12:27:00"/>
    <x v="2"/>
    <x v="27"/>
    <x v="0"/>
  </r>
  <r>
    <x v="154"/>
    <d v="1899-12-30T12:40:00"/>
    <x v="2"/>
    <x v="27"/>
    <x v="0"/>
  </r>
  <r>
    <x v="154"/>
    <d v="1899-12-30T12:42:00"/>
    <x v="2"/>
    <x v="27"/>
    <x v="0"/>
  </r>
  <r>
    <x v="154"/>
    <d v="1899-12-30T12:44:00"/>
    <x v="2"/>
    <x v="27"/>
    <x v="0"/>
  </r>
  <r>
    <x v="154"/>
    <d v="1899-12-30T12:45:00"/>
    <x v="2"/>
    <x v="27"/>
    <x v="0"/>
  </r>
  <r>
    <x v="154"/>
    <d v="1899-12-30T14:50:00"/>
    <x v="2"/>
    <x v="27"/>
    <x v="0"/>
  </r>
  <r>
    <x v="154"/>
    <d v="1899-12-30T17:24:00"/>
    <x v="1"/>
    <x v="27"/>
    <x v="0"/>
  </r>
  <r>
    <x v="155"/>
    <d v="1899-12-30T14:06:00"/>
    <x v="2"/>
    <x v="27"/>
    <x v="0"/>
  </r>
  <r>
    <x v="155"/>
    <d v="1899-12-30T15:40:00"/>
    <x v="2"/>
    <x v="27"/>
    <x v="0"/>
  </r>
  <r>
    <x v="155"/>
    <d v="1899-12-30T20:24:00"/>
    <x v="1"/>
    <x v="27"/>
    <x v="0"/>
  </r>
  <r>
    <x v="155"/>
    <d v="1899-12-30T21:05:00"/>
    <x v="1"/>
    <x v="27"/>
    <x v="0"/>
  </r>
  <r>
    <x v="156"/>
    <d v="1899-12-30T10:30:00"/>
    <x v="0"/>
    <x v="27"/>
    <x v="0"/>
  </r>
  <r>
    <x v="156"/>
    <d v="1899-12-30T10:55:00"/>
    <x v="0"/>
    <x v="27"/>
    <x v="0"/>
  </r>
  <r>
    <x v="156"/>
    <d v="1899-12-30T22:20:00"/>
    <x v="1"/>
    <x v="27"/>
    <x v="0"/>
  </r>
  <r>
    <x v="156"/>
    <d v="1899-12-30T22:20:00"/>
    <x v="1"/>
    <x v="27"/>
    <x v="0"/>
  </r>
  <r>
    <x v="157"/>
    <d v="1899-12-30T10:39:00"/>
    <x v="0"/>
    <x v="27"/>
    <x v="0"/>
  </r>
  <r>
    <x v="157"/>
    <d v="1899-12-30T11:02:00"/>
    <x v="0"/>
    <x v="27"/>
    <x v="0"/>
  </r>
  <r>
    <x v="157"/>
    <d v="1899-12-30T11:05:00"/>
    <x v="0"/>
    <x v="27"/>
    <x v="0"/>
  </r>
  <r>
    <x v="157"/>
    <d v="1899-12-30T19:16:00"/>
    <x v="1"/>
    <x v="27"/>
    <x v="0"/>
  </r>
  <r>
    <x v="158"/>
    <d v="1899-12-30T00:01:00"/>
    <x v="1"/>
    <x v="27"/>
    <x v="0"/>
  </r>
  <r>
    <x v="158"/>
    <d v="1899-12-30T14:13:00"/>
    <x v="2"/>
    <x v="27"/>
    <x v="0"/>
  </r>
  <r>
    <x v="158"/>
    <d v="1899-12-30T14:17:00"/>
    <x v="2"/>
    <x v="27"/>
    <x v="0"/>
  </r>
  <r>
    <x v="158"/>
    <d v="1899-12-30T18:13:00"/>
    <x v="1"/>
    <x v="27"/>
    <x v="0"/>
  </r>
  <r>
    <x v="158"/>
    <d v="1899-12-30T18:37:00"/>
    <x v="1"/>
    <x v="27"/>
    <x v="0"/>
  </r>
  <r>
    <x v="158"/>
    <d v="1899-12-30T23:33:00"/>
    <x v="1"/>
    <x v="27"/>
    <x v="0"/>
  </r>
  <r>
    <x v="159"/>
    <d v="1899-12-30T00:05:00"/>
    <x v="1"/>
    <x v="27"/>
    <x v="0"/>
  </r>
  <r>
    <x v="159"/>
    <d v="1899-12-30T11:46:00"/>
    <x v="0"/>
    <x v="27"/>
    <x v="0"/>
  </r>
  <r>
    <x v="159"/>
    <d v="1899-12-30T11:50:00"/>
    <x v="0"/>
    <x v="27"/>
    <x v="0"/>
  </r>
  <r>
    <x v="159"/>
    <d v="1899-12-30T11:51:00"/>
    <x v="0"/>
    <x v="27"/>
    <x v="0"/>
  </r>
  <r>
    <x v="159"/>
    <d v="1899-12-30T12:07:00"/>
    <x v="2"/>
    <x v="27"/>
    <x v="0"/>
  </r>
  <r>
    <x v="159"/>
    <d v="1899-12-30T12:07:00"/>
    <x v="2"/>
    <x v="27"/>
    <x v="0"/>
  </r>
  <r>
    <x v="159"/>
    <d v="1899-12-30T15:39:00"/>
    <x v="2"/>
    <x v="27"/>
    <x v="0"/>
  </r>
  <r>
    <x v="159"/>
    <d v="1899-12-30T15:54:00"/>
    <x v="2"/>
    <x v="27"/>
    <x v="0"/>
  </r>
  <r>
    <x v="159"/>
    <d v="1899-12-30T16:51:00"/>
    <x v="2"/>
    <x v="27"/>
    <x v="0"/>
  </r>
  <r>
    <x v="159"/>
    <d v="1899-12-30T21:33:00"/>
    <x v="1"/>
    <x v="27"/>
    <x v="0"/>
  </r>
  <r>
    <x v="159"/>
    <d v="1899-12-30T21:38:00"/>
    <x v="1"/>
    <x v="27"/>
    <x v="0"/>
  </r>
  <r>
    <x v="159"/>
    <d v="1899-12-30T21:39:00"/>
    <x v="1"/>
    <x v="27"/>
    <x v="0"/>
  </r>
  <r>
    <x v="160"/>
    <d v="1899-12-30T00:03:00"/>
    <x v="1"/>
    <x v="28"/>
    <x v="0"/>
  </r>
  <r>
    <x v="160"/>
    <d v="1899-12-30T00:03:00"/>
    <x v="1"/>
    <x v="28"/>
    <x v="0"/>
  </r>
  <r>
    <x v="160"/>
    <d v="1899-12-30T00:03:00"/>
    <x v="1"/>
    <x v="28"/>
    <x v="0"/>
  </r>
  <r>
    <x v="160"/>
    <d v="1899-12-30T18:14:00"/>
    <x v="1"/>
    <x v="28"/>
    <x v="0"/>
  </r>
  <r>
    <x v="161"/>
    <d v="1899-12-30T09:59:00"/>
    <x v="0"/>
    <x v="28"/>
    <x v="0"/>
  </r>
  <r>
    <x v="161"/>
    <d v="1899-12-30T12:45:00"/>
    <x v="2"/>
    <x v="28"/>
    <x v="0"/>
  </r>
  <r>
    <x v="161"/>
    <d v="1899-12-30T13:41:00"/>
    <x v="2"/>
    <x v="28"/>
    <x v="0"/>
  </r>
  <r>
    <x v="161"/>
    <d v="1899-12-30T13:42:00"/>
    <x v="2"/>
    <x v="28"/>
    <x v="0"/>
  </r>
  <r>
    <x v="161"/>
    <d v="1899-12-30T13:47:00"/>
    <x v="2"/>
    <x v="28"/>
    <x v="0"/>
  </r>
  <r>
    <x v="161"/>
    <d v="1899-12-30T14:17:00"/>
    <x v="2"/>
    <x v="28"/>
    <x v="0"/>
  </r>
  <r>
    <x v="161"/>
    <d v="1899-12-30T19:22:00"/>
    <x v="1"/>
    <x v="28"/>
    <x v="0"/>
  </r>
  <r>
    <x v="161"/>
    <d v="1899-12-30T19:24:00"/>
    <x v="1"/>
    <x v="28"/>
    <x v="0"/>
  </r>
  <r>
    <x v="161"/>
    <d v="1899-12-30T19:25:00"/>
    <x v="1"/>
    <x v="28"/>
    <x v="0"/>
  </r>
  <r>
    <x v="161"/>
    <d v="1899-12-30T19:32:00"/>
    <x v="1"/>
    <x v="28"/>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B9D43A-44D8-4BFE-ACEF-42821853780B}" name="PivotTable14" cacheId="7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rowHeaderCaption="DATE" colHeaderCaption="TIME CATEGORIES">
  <location ref="B93:F101" firstHeaderRow="1" firstDataRow="2" firstDataCol="1"/>
  <pivotFields count="8">
    <pivotField axis="axisRow" dataField="1" numFmtId="14" showAll="0">
      <items count="1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t="default"/>
      </items>
    </pivotField>
    <pivotField numFmtId="172" showAll="0"/>
    <pivotField axis="axisCol" showAll="0">
      <items count="7">
        <item x="0"/>
        <item m="1" x="5"/>
        <item m="1" x="3"/>
        <item m="1" x="4"/>
        <item x="1"/>
        <item x="2"/>
        <item t="default"/>
      </items>
    </pivotField>
    <pivotField axis="axisRow" showAll="0">
      <items count="30">
        <item x="10"/>
        <item x="15"/>
        <item x="19"/>
        <item x="24"/>
        <item x="0"/>
        <item x="5"/>
        <item x="11"/>
        <item x="16"/>
        <item x="20"/>
        <item x="25"/>
        <item x="1"/>
        <item x="6"/>
        <item x="12"/>
        <item x="17"/>
        <item x="21"/>
        <item x="26"/>
        <item x="2"/>
        <item x="7"/>
        <item x="13"/>
        <item x="18"/>
        <item x="22"/>
        <item x="27"/>
        <item x="3"/>
        <item x="8"/>
        <item x="14"/>
        <item x="23"/>
        <item x="28"/>
        <item x="4"/>
        <item x="9"/>
        <item t="default"/>
      </items>
    </pivotField>
    <pivotField axis="axisRow" showAll="0">
      <items count="3">
        <item h="1" x="0"/>
        <item x="1"/>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x="2"/>
        <item sd="0" x="3"/>
        <item t="default"/>
      </items>
    </pivotField>
  </pivotFields>
  <rowFields count="4">
    <field x="3"/>
    <field x="5"/>
    <field x="0"/>
    <field x="4"/>
  </rowFields>
  <rowItems count="7">
    <i>
      <x v="3"/>
    </i>
    <i r="1">
      <x v="4"/>
    </i>
    <i>
      <x v="8"/>
    </i>
    <i r="1">
      <x v="3"/>
    </i>
    <i>
      <x v="14"/>
    </i>
    <i r="1">
      <x v="3"/>
    </i>
    <i t="grand">
      <x/>
    </i>
  </rowItems>
  <colFields count="1">
    <field x="2"/>
  </colFields>
  <colItems count="4">
    <i>
      <x/>
    </i>
    <i>
      <x v="4"/>
    </i>
    <i>
      <x v="5"/>
    </i>
    <i t="grand">
      <x/>
    </i>
  </colItems>
  <dataFields count="1">
    <dataField name="TOP EARNING WEEK" fld="0" subtotal="count" baseField="0" baseItem="0"/>
  </dataFields>
  <formats count="88">
    <format dxfId="108">
      <pivotArea type="origin" dataOnly="0" labelOnly="1" outline="0" fieldPosition="0"/>
    </format>
    <format dxfId="109">
      <pivotArea type="origin" dataOnly="0" labelOnly="1" outline="0" fieldPosition="0"/>
    </format>
    <format dxfId="110">
      <pivotArea field="2" type="button" dataOnly="0" labelOnly="1" outline="0" axis="axisCol" fieldPosition="0"/>
    </format>
    <format dxfId="111">
      <pivotArea type="topRight" dataOnly="0" labelOnly="1" outline="0" fieldPosition="0"/>
    </format>
    <format dxfId="112">
      <pivotArea type="all" dataOnly="0" outline="0" fieldPosition="0"/>
    </format>
    <format dxfId="113">
      <pivotArea collapsedLevelsAreSubtotals="1" fieldPosition="0">
        <references count="2">
          <reference field="2" count="0" selected="0"/>
          <reference field="4" count="0"/>
        </references>
      </pivotArea>
    </format>
    <format dxfId="114">
      <pivotArea collapsedLevelsAreSubtotals="1" fieldPosition="0">
        <references count="3">
          <reference field="2" count="0" selected="0"/>
          <reference field="3" count="1">
            <x v="3"/>
          </reference>
          <reference field="4" count="0" selected="0"/>
        </references>
      </pivotArea>
    </format>
    <format dxfId="115">
      <pivotArea collapsedLevelsAreSubtotals="1" fieldPosition="0">
        <references count="4">
          <reference field="2" count="0" selected="0"/>
          <reference field="3" count="1" selected="0">
            <x v="3"/>
          </reference>
          <reference field="4" count="0" selected="0"/>
          <reference field="5" count="1">
            <x v="4"/>
          </reference>
        </references>
      </pivotArea>
    </format>
    <format dxfId="116">
      <pivotArea collapsedLevelsAreSubtotals="1" fieldPosition="0">
        <references count="3">
          <reference field="2" count="0" selected="0"/>
          <reference field="3" count="1">
            <x v="8"/>
          </reference>
          <reference field="4" count="0" selected="0"/>
        </references>
      </pivotArea>
    </format>
    <format dxfId="117">
      <pivotArea collapsedLevelsAreSubtotals="1" fieldPosition="0">
        <references count="4">
          <reference field="2" count="0" selected="0"/>
          <reference field="3" count="1" selected="0">
            <x v="8"/>
          </reference>
          <reference field="4" count="0" selected="0"/>
          <reference field="5" count="1">
            <x v="3"/>
          </reference>
        </references>
      </pivotArea>
    </format>
    <format dxfId="118">
      <pivotArea collapsedLevelsAreSubtotals="1" fieldPosition="0">
        <references count="3">
          <reference field="2" count="0" selected="0"/>
          <reference field="3" count="1">
            <x v="14"/>
          </reference>
          <reference field="4" count="0" selected="0"/>
        </references>
      </pivotArea>
    </format>
    <format dxfId="119">
      <pivotArea collapsedLevelsAreSubtotals="1" fieldPosition="0">
        <references count="4">
          <reference field="2" count="0" selected="0"/>
          <reference field="3" count="1" selected="0">
            <x v="14"/>
          </reference>
          <reference field="4" count="0" selected="0"/>
          <reference field="5" count="1">
            <x v="3"/>
          </reference>
        </references>
      </pivotArea>
    </format>
    <format dxfId="120">
      <pivotArea dataOnly="0" labelOnly="1" fieldPosition="0">
        <references count="1">
          <reference field="4" count="0"/>
        </references>
      </pivotArea>
    </format>
    <format dxfId="121">
      <pivotArea dataOnly="0" labelOnly="1" fieldPosition="0">
        <references count="2">
          <reference field="3" count="3">
            <x v="3"/>
            <x v="8"/>
            <x v="14"/>
          </reference>
          <reference field="4" count="0" selected="0"/>
        </references>
      </pivotArea>
    </format>
    <format dxfId="122">
      <pivotArea dataOnly="0" labelOnly="1" fieldPosition="0">
        <references count="3">
          <reference field="3" count="1" selected="0">
            <x v="3"/>
          </reference>
          <reference field="4" count="0" selected="0"/>
          <reference field="5" count="1">
            <x v="4"/>
          </reference>
        </references>
      </pivotArea>
    </format>
    <format dxfId="123">
      <pivotArea dataOnly="0" labelOnly="1" fieldPosition="0">
        <references count="3">
          <reference field="3" count="1" selected="0">
            <x v="8"/>
          </reference>
          <reference field="4" count="0" selected="0"/>
          <reference field="5" count="1">
            <x v="3"/>
          </reference>
        </references>
      </pivotArea>
    </format>
    <format dxfId="124">
      <pivotArea dataOnly="0" labelOnly="1" fieldPosition="0">
        <references count="3">
          <reference field="3" count="1" selected="0">
            <x v="14"/>
          </reference>
          <reference field="4" count="0" selected="0"/>
          <reference field="5" count="1">
            <x v="3"/>
          </reference>
        </references>
      </pivotArea>
    </format>
    <format dxfId="125">
      <pivotArea dataOnly="0" fieldPosition="0">
        <references count="1">
          <reference field="4" count="0"/>
        </references>
      </pivotArea>
    </format>
    <format dxfId="126">
      <pivotArea field="4" type="button" dataOnly="0" labelOnly="1" outline="0" axis="axisRow" fieldPosition="3"/>
    </format>
    <format dxfId="127">
      <pivotArea dataOnly="0" labelOnly="1" fieldPosition="0">
        <references count="1">
          <reference field="2" count="0"/>
        </references>
      </pivotArea>
    </format>
    <format dxfId="128">
      <pivotArea dataOnly="0" labelOnly="1" grandCol="1" outline="0" fieldPosition="0"/>
    </format>
    <format dxfId="129">
      <pivotArea field="4" type="button" dataOnly="0" labelOnly="1" outline="0" axis="axisRow" fieldPosition="3"/>
    </format>
    <format dxfId="130">
      <pivotArea dataOnly="0" labelOnly="1" fieldPosition="0">
        <references count="1">
          <reference field="2" count="0"/>
        </references>
      </pivotArea>
    </format>
    <format dxfId="131">
      <pivotArea dataOnly="0" labelOnly="1" grandCol="1" outline="0" fieldPosition="0"/>
    </format>
    <format dxfId="132">
      <pivotArea field="2" type="button" dataOnly="0" labelOnly="1" outline="0" axis="axisCol" fieldPosition="0"/>
    </format>
    <format dxfId="133">
      <pivotArea collapsedLevelsAreSubtotals="1" fieldPosition="0">
        <references count="3">
          <reference field="2" count="0" selected="0"/>
          <reference field="3" count="1">
            <x v="3"/>
          </reference>
          <reference field="4" count="0" selected="0"/>
        </references>
      </pivotArea>
    </format>
    <format dxfId="134">
      <pivotArea collapsedLevelsAreSubtotals="1" fieldPosition="0">
        <references count="4">
          <reference field="2" count="0" selected="0"/>
          <reference field="3" count="1" selected="0">
            <x v="3"/>
          </reference>
          <reference field="4" count="0" selected="0"/>
          <reference field="5" count="1">
            <x v="4"/>
          </reference>
        </references>
      </pivotArea>
    </format>
    <format dxfId="135">
      <pivotArea collapsedLevelsAreSubtotals="1" fieldPosition="0">
        <references count="3">
          <reference field="2" count="0" selected="0"/>
          <reference field="3" count="1">
            <x v="8"/>
          </reference>
          <reference field="4" count="0" selected="0"/>
        </references>
      </pivotArea>
    </format>
    <format dxfId="136">
      <pivotArea collapsedLevelsAreSubtotals="1" fieldPosition="0">
        <references count="4">
          <reference field="2" count="0" selected="0"/>
          <reference field="3" count="1" selected="0">
            <x v="8"/>
          </reference>
          <reference field="4" count="0" selected="0"/>
          <reference field="5" count="1">
            <x v="3"/>
          </reference>
        </references>
      </pivotArea>
    </format>
    <format dxfId="137">
      <pivotArea collapsedLevelsAreSubtotals="1" fieldPosition="0">
        <references count="3">
          <reference field="2" count="0" selected="0"/>
          <reference field="3" count="1">
            <x v="14"/>
          </reference>
          <reference field="4" count="0" selected="0"/>
        </references>
      </pivotArea>
    </format>
    <format dxfId="138">
      <pivotArea collapsedLevelsAreSubtotals="1" fieldPosition="0">
        <references count="4">
          <reference field="2" count="0" selected="0"/>
          <reference field="3" count="1" selected="0">
            <x v="14"/>
          </reference>
          <reference field="4" count="0" selected="0"/>
          <reference field="5" count="1">
            <x v="3"/>
          </reference>
        </references>
      </pivotArea>
    </format>
    <format dxfId="139">
      <pivotArea dataOnly="0" labelOnly="1" fieldPosition="0">
        <references count="2">
          <reference field="3" count="3">
            <x v="3"/>
            <x v="8"/>
            <x v="14"/>
          </reference>
          <reference field="4" count="0" selected="0"/>
        </references>
      </pivotArea>
    </format>
    <format dxfId="140">
      <pivotArea dataOnly="0" labelOnly="1" fieldPosition="0">
        <references count="3">
          <reference field="3" count="1" selected="0">
            <x v="3"/>
          </reference>
          <reference field="4" count="0" selected="0"/>
          <reference field="5" count="1">
            <x v="4"/>
          </reference>
        </references>
      </pivotArea>
    </format>
    <format dxfId="141">
      <pivotArea dataOnly="0" labelOnly="1" fieldPosition="0">
        <references count="3">
          <reference field="3" count="1" selected="0">
            <x v="8"/>
          </reference>
          <reference field="4" count="0" selected="0"/>
          <reference field="5" count="1">
            <x v="3"/>
          </reference>
        </references>
      </pivotArea>
    </format>
    <format dxfId="142">
      <pivotArea dataOnly="0" labelOnly="1" fieldPosition="0">
        <references count="3">
          <reference field="3" count="1" selected="0">
            <x v="14"/>
          </reference>
          <reference field="4" count="0" selected="0"/>
          <reference field="5" count="1">
            <x v="3"/>
          </reference>
        </references>
      </pivotArea>
    </format>
    <format dxfId="143">
      <pivotArea collapsedLevelsAreSubtotals="1" fieldPosition="0">
        <references count="3">
          <reference field="2" count="0" selected="0"/>
          <reference field="3" count="1">
            <x v="3"/>
          </reference>
          <reference field="4" count="0" selected="0"/>
        </references>
      </pivotArea>
    </format>
    <format dxfId="144">
      <pivotArea collapsedLevelsAreSubtotals="1" fieldPosition="0">
        <references count="4">
          <reference field="2" count="0" selected="0"/>
          <reference field="3" count="1" selected="0">
            <x v="3"/>
          </reference>
          <reference field="4" count="0" selected="0"/>
          <reference field="5" count="1">
            <x v="4"/>
          </reference>
        </references>
      </pivotArea>
    </format>
    <format dxfId="145">
      <pivotArea collapsedLevelsAreSubtotals="1" fieldPosition="0">
        <references count="3">
          <reference field="2" count="0" selected="0"/>
          <reference field="3" count="1">
            <x v="8"/>
          </reference>
          <reference field="4" count="0" selected="0"/>
        </references>
      </pivotArea>
    </format>
    <format dxfId="146">
      <pivotArea collapsedLevelsAreSubtotals="1" fieldPosition="0">
        <references count="4">
          <reference field="2" count="0" selected="0"/>
          <reference field="3" count="1" selected="0">
            <x v="8"/>
          </reference>
          <reference field="4" count="0" selected="0"/>
          <reference field="5" count="1">
            <x v="3"/>
          </reference>
        </references>
      </pivotArea>
    </format>
    <format dxfId="147">
      <pivotArea collapsedLevelsAreSubtotals="1" fieldPosition="0">
        <references count="3">
          <reference field="2" count="0" selected="0"/>
          <reference field="3" count="1">
            <x v="14"/>
          </reference>
          <reference field="4" count="0" selected="0"/>
        </references>
      </pivotArea>
    </format>
    <format dxfId="148">
      <pivotArea collapsedLevelsAreSubtotals="1" fieldPosition="0">
        <references count="4">
          <reference field="2" count="0" selected="0"/>
          <reference field="3" count="1" selected="0">
            <x v="14"/>
          </reference>
          <reference field="4" count="0" selected="0"/>
          <reference field="5" count="1">
            <x v="3"/>
          </reference>
        </references>
      </pivotArea>
    </format>
    <format dxfId="149">
      <pivotArea dataOnly="0" labelOnly="1" fieldPosition="0">
        <references count="2">
          <reference field="3" count="3">
            <x v="3"/>
            <x v="8"/>
            <x v="14"/>
          </reference>
          <reference field="4" count="0" selected="0"/>
        </references>
      </pivotArea>
    </format>
    <format dxfId="150">
      <pivotArea dataOnly="0" labelOnly="1" fieldPosition="0">
        <references count="3">
          <reference field="3" count="1" selected="0">
            <x v="3"/>
          </reference>
          <reference field="4" count="0" selected="0"/>
          <reference field="5" count="1">
            <x v="4"/>
          </reference>
        </references>
      </pivotArea>
    </format>
    <format dxfId="151">
      <pivotArea dataOnly="0" labelOnly="1" fieldPosition="0">
        <references count="3">
          <reference field="3" count="1" selected="0">
            <x v="8"/>
          </reference>
          <reference field="4" count="0" selected="0"/>
          <reference field="5" count="1">
            <x v="3"/>
          </reference>
        </references>
      </pivotArea>
    </format>
    <format dxfId="152">
      <pivotArea collapsedLevelsAreSubtotals="1" fieldPosition="0">
        <references count="2">
          <reference field="2" count="0" selected="0"/>
          <reference field="4" count="0"/>
        </references>
      </pivotArea>
    </format>
    <format dxfId="153">
      <pivotArea dataOnly="0" labelOnly="1" fieldPosition="0">
        <references count="1">
          <reference field="4" count="0"/>
        </references>
      </pivotArea>
    </format>
    <format dxfId="154">
      <pivotArea dataOnly="0" grandCol="1" outline="0" fieldPosition="0"/>
    </format>
    <format dxfId="155">
      <pivotArea dataOnly="0" grandCol="1" outline="0" fieldPosition="0"/>
    </format>
    <format dxfId="156">
      <pivotArea dataOnly="0" grandCol="1" outline="0" fieldPosition="0"/>
    </format>
    <format dxfId="157">
      <pivotArea dataOnly="0" grandCol="1" outline="0" fieldPosition="0"/>
    </format>
    <format dxfId="158">
      <pivotArea dataOnly="0" grandCol="1" outline="0" fieldPosition="0"/>
    </format>
    <format dxfId="159">
      <pivotArea dataOnly="0" grandCol="1" outline="0" fieldPosition="0"/>
    </format>
    <format dxfId="160">
      <pivotArea outline="0" collapsedLevelsAreSubtotals="1" fieldPosition="0">
        <references count="1">
          <reference field="2" count="1" selected="0">
            <x v="4"/>
          </reference>
        </references>
      </pivotArea>
    </format>
    <format dxfId="161">
      <pivotArea dataOnly="0" outline="0" fieldPosition="0">
        <references count="1">
          <reference field="2" count="1">
            <x v="4"/>
          </reference>
        </references>
      </pivotArea>
    </format>
    <format dxfId="162">
      <pivotArea dataOnly="0" outline="0" fieldPosition="0">
        <references count="1">
          <reference field="2" count="1">
            <x v="0"/>
          </reference>
        </references>
      </pivotArea>
    </format>
    <format dxfId="163">
      <pivotArea dataOnly="0" outline="0" fieldPosition="0">
        <references count="1">
          <reference field="2" count="1">
            <x v="0"/>
          </reference>
        </references>
      </pivotArea>
    </format>
    <format dxfId="164">
      <pivotArea dataOnly="0" outline="0" fieldPosition="0">
        <references count="1">
          <reference field="2" count="1">
            <x v="5"/>
          </reference>
        </references>
      </pivotArea>
    </format>
    <format dxfId="165">
      <pivotArea dataOnly="0" outline="0" fieldPosition="0">
        <references count="1">
          <reference field="2" count="1">
            <x v="5"/>
          </reference>
        </references>
      </pivotArea>
    </format>
    <format dxfId="166">
      <pivotArea dataOnly="0" labelOnly="1" fieldPosition="0">
        <references count="1">
          <reference field="3" count="0"/>
        </references>
      </pivotArea>
    </format>
    <format dxfId="167">
      <pivotArea dataOnly="0" labelOnly="1" fieldPosition="0">
        <references count="1">
          <reference field="3" count="0"/>
        </references>
      </pivotArea>
    </format>
    <format dxfId="168">
      <pivotArea dataOnly="0" labelOnly="1" fieldPosition="0">
        <references count="2">
          <reference field="3" count="1" selected="0">
            <x v="3"/>
          </reference>
          <reference field="5" count="1">
            <x v="4"/>
          </reference>
        </references>
      </pivotArea>
    </format>
    <format dxfId="169">
      <pivotArea dataOnly="0" labelOnly="1" fieldPosition="0">
        <references count="2">
          <reference field="3" count="1" selected="0">
            <x v="3"/>
          </reference>
          <reference field="5" count="1">
            <x v="4"/>
          </reference>
        </references>
      </pivotArea>
    </format>
    <format dxfId="170">
      <pivotArea dataOnly="0" labelOnly="1" fieldPosition="0">
        <references count="2">
          <reference field="3" count="1" selected="0">
            <x v="8"/>
          </reference>
          <reference field="5" count="1">
            <x v="3"/>
          </reference>
        </references>
      </pivotArea>
    </format>
    <format dxfId="171">
      <pivotArea dataOnly="0" labelOnly="1" fieldPosition="0">
        <references count="2">
          <reference field="3" count="1" selected="0">
            <x v="8"/>
          </reference>
          <reference field="5" count="1">
            <x v="3"/>
          </reference>
        </references>
      </pivotArea>
    </format>
    <format dxfId="172">
      <pivotArea dataOnly="0" labelOnly="1" fieldPosition="0">
        <references count="2">
          <reference field="3" count="1" selected="0">
            <x v="14"/>
          </reference>
          <reference field="5" count="1">
            <x v="3"/>
          </reference>
        </references>
      </pivotArea>
    </format>
    <format dxfId="173">
      <pivotArea dataOnly="0" labelOnly="1" fieldPosition="0">
        <references count="2">
          <reference field="3" count="1" selected="0">
            <x v="14"/>
          </reference>
          <reference field="5" count="1">
            <x v="3"/>
          </reference>
        </references>
      </pivotArea>
    </format>
    <format dxfId="174">
      <pivotArea dataOnly="0" labelOnly="1" grandRow="1" outline="0" fieldPosition="0"/>
    </format>
    <format dxfId="175">
      <pivotArea dataOnly="0" labelOnly="1" grandRow="1" outline="0" fieldPosition="0"/>
    </format>
    <format dxfId="176">
      <pivotArea field="3" type="button" dataOnly="0" labelOnly="1" outline="0" axis="axisRow" fieldPosition="0"/>
    </format>
    <format dxfId="177">
      <pivotArea dataOnly="0" labelOnly="1" fieldPosition="0">
        <references count="1">
          <reference field="2" count="0"/>
        </references>
      </pivotArea>
    </format>
    <format dxfId="178">
      <pivotArea dataOnly="0" labelOnly="1" grandCol="1" outline="0" fieldPosition="0"/>
    </format>
    <format dxfId="179">
      <pivotArea dataOnly="0" grandRow="1" fieldPosition="0"/>
    </format>
    <format dxfId="107">
      <pivotArea field="3" grandCol="1" collapsedLevelsAreSubtotals="1" axis="axisRow" fieldPosition="0">
        <references count="1">
          <reference field="3" count="1">
            <x v="3"/>
          </reference>
        </references>
      </pivotArea>
    </format>
    <format dxfId="106">
      <pivotArea field="5" grandCol="1" collapsedLevelsAreSubtotals="1" axis="axisRow" fieldPosition="1">
        <references count="2">
          <reference field="3" count="1" selected="0">
            <x v="3"/>
          </reference>
          <reference field="5" count="1">
            <x v="4"/>
          </reference>
        </references>
      </pivotArea>
    </format>
    <format dxfId="105">
      <pivotArea field="3" grandCol="1" collapsedLevelsAreSubtotals="1" axis="axisRow" fieldPosition="0">
        <references count="1">
          <reference field="3" count="1">
            <x v="8"/>
          </reference>
        </references>
      </pivotArea>
    </format>
    <format dxfId="104">
      <pivotArea field="5" grandCol="1" collapsedLevelsAreSubtotals="1" axis="axisRow" fieldPosition="1">
        <references count="2">
          <reference field="3" count="1" selected="0">
            <x v="8"/>
          </reference>
          <reference field="5" count="1">
            <x v="3"/>
          </reference>
        </references>
      </pivotArea>
    </format>
    <format dxfId="103">
      <pivotArea field="3" grandCol="1" collapsedLevelsAreSubtotals="1" axis="axisRow" fieldPosition="0">
        <references count="1">
          <reference field="3" count="1">
            <x v="14"/>
          </reference>
        </references>
      </pivotArea>
    </format>
    <format dxfId="102">
      <pivotArea field="5" grandCol="1" collapsedLevelsAreSubtotals="1" axis="axisRow" fieldPosition="1">
        <references count="2">
          <reference field="3" count="1" selected="0">
            <x v="14"/>
          </reference>
          <reference field="5" count="1">
            <x v="3"/>
          </reference>
        </references>
      </pivotArea>
    </format>
    <format dxfId="101">
      <pivotArea type="origin" dataOnly="0" labelOnly="1" outline="0" fieldPosition="0"/>
    </format>
    <format dxfId="100">
      <pivotArea field="2" type="button" dataOnly="0" labelOnly="1" outline="0" axis="axisCol" fieldPosition="0"/>
    </format>
    <format dxfId="99">
      <pivotArea type="topRight" dataOnly="0" labelOnly="1" outline="0" fieldPosition="0"/>
    </format>
    <format dxfId="98">
      <pivotArea type="origin" dataOnly="0" labelOnly="1" outline="0" fieldPosition="0"/>
    </format>
    <format dxfId="97">
      <pivotArea field="2" type="button" dataOnly="0" labelOnly="1" outline="0" axis="axisCol" fieldPosition="0"/>
    </format>
    <format dxfId="96">
      <pivotArea type="topRight" dataOnly="0" labelOnly="1" outline="0" fieldPosition="0"/>
    </format>
    <format dxfId="95">
      <pivotArea field="3" type="button" dataOnly="0" labelOnly="1" outline="0" axis="axisRow" fieldPosition="0"/>
    </format>
    <format dxfId="94">
      <pivotArea dataOnly="0" labelOnly="1" fieldPosition="0">
        <references count="1">
          <reference field="2" count="1">
            <x v="0"/>
          </reference>
        </references>
      </pivotArea>
    </format>
    <format dxfId="93">
      <pivotArea type="origin" dataOnly="0" labelOnly="1" outline="0" fieldPosition="0"/>
    </format>
    <format dxfId="0">
      <pivotArea dataOnly="0" labelOnly="1" fieldPosition="0">
        <references count="1">
          <reference field="2" count="1">
            <x v="4"/>
          </reference>
        </references>
      </pivotArea>
    </format>
  </formats>
  <chartFormats count="3">
    <chartFormat chart="0" format="0" series="1">
      <pivotArea type="data" outline="0" fieldPosition="0">
        <references count="2">
          <reference field="4294967294" count="1" selected="0">
            <x v="0"/>
          </reference>
          <reference field="2" count="1" selected="0">
            <x v="0"/>
          </reference>
        </references>
      </pivotArea>
    </chartFormat>
    <chartFormat chart="0" format="1" series="1">
      <pivotArea type="data" outline="0" fieldPosition="0">
        <references count="2">
          <reference field="4294967294" count="1" selected="0">
            <x v="0"/>
          </reference>
          <reference field="2" count="1" selected="0">
            <x v="4"/>
          </reference>
        </references>
      </pivotArea>
    </chartFormat>
    <chartFormat chart="0" format="2" series="1">
      <pivotArea type="data" outline="0" fieldPosition="0">
        <references count="2">
          <reference field="4294967294" count="1" selected="0">
            <x v="0"/>
          </reference>
          <reference field="2" count="1" selected="0">
            <x v="5"/>
          </reference>
        </references>
      </pivotArea>
    </chartFormat>
  </chartFormats>
  <pivotTableStyleInfo name="PivotStyleMedium28"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5EBC0DE-D923-4619-97CA-A25F0255534B}" name="PivotTable1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0" rowHeaderCaption="MONTHS">
  <location ref="B49:D56" firstHeaderRow="0" firstDataRow="1" firstDataCol="1"/>
  <pivotFields count="12">
    <pivotField numFmtId="14" showAll="0">
      <items count="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pivotField>
    <pivotField numFmtId="14" showAll="0">
      <items count="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pivotField>
    <pivotField showAll="0"/>
    <pivotField dataField="1" showAll="0"/>
    <pivotField showAll="0"/>
    <pivotField showAll="0"/>
    <pivotField axis="axisRow" showAll="0" defaultSubtotal="0">
      <items count="14">
        <item x="0"/>
        <item x="11"/>
        <item x="12"/>
        <item x="1"/>
        <item x="2"/>
        <item x="3"/>
        <item x="4"/>
        <item x="5"/>
        <item x="6"/>
        <item x="7"/>
        <item x="8"/>
        <item x="9"/>
        <item x="10"/>
        <item x="13"/>
      </items>
    </pivotField>
    <pivotField showAll="0" defaultSubtotal="0"/>
    <pivotField showAll="0" defaultSubtotal="0">
      <items count="4">
        <item x="0"/>
        <item x="1"/>
        <item x="2"/>
        <item x="3"/>
      </items>
    </pivotField>
    <pivotField showAll="0" defaultSubtotal="0"/>
    <pivotField showAll="0" defaultSubtotal="0"/>
    <pivotField showAll="0" defaultSubtotal="0">
      <items count="4">
        <item x="0"/>
        <item x="1"/>
        <item x="2"/>
        <item x="3"/>
      </items>
    </pivotField>
  </pivotFields>
  <rowFields count="1">
    <field x="6"/>
  </rowFields>
  <rowItems count="7">
    <i>
      <x v="1"/>
    </i>
    <i>
      <x v="2"/>
    </i>
    <i>
      <x v="3"/>
    </i>
    <i>
      <x v="4"/>
    </i>
    <i>
      <x v="5"/>
    </i>
    <i>
      <x v="6"/>
    </i>
    <i>
      <x v="7"/>
    </i>
  </rowItems>
  <colFields count="1">
    <field x="-2"/>
  </colFields>
  <colItems count="2">
    <i>
      <x/>
    </i>
    <i i="1">
      <x v="1"/>
    </i>
  </colItems>
  <dataFields count="2">
    <dataField name="earnings" fld="3" baseField="6" baseItem="1" numFmtId="164"/>
    <dataField name="Growth percent" fld="3" showDataAs="percentDiff" baseField="6" baseItem="1048828" numFmtId="10"/>
  </dataFields>
  <formats count="17">
    <format dxfId="209">
      <pivotArea field="6" type="button" dataOnly="0" labelOnly="1" outline="0" axis="axisRow" fieldPosition="0"/>
    </format>
    <format dxfId="208">
      <pivotArea type="all" dataOnly="0" outline="0" fieldPosition="0"/>
    </format>
    <format dxfId="207">
      <pivotArea outline="0" collapsedLevelsAreSubtotals="1" fieldPosition="0"/>
    </format>
    <format dxfId="206">
      <pivotArea field="6" type="button" dataOnly="0" labelOnly="1" outline="0" axis="axisRow" fieldPosition="0"/>
    </format>
    <format dxfId="205">
      <pivotArea dataOnly="0" labelOnly="1" fieldPosition="0">
        <references count="1">
          <reference field="6" count="7">
            <x v="1"/>
            <x v="2"/>
            <x v="3"/>
            <x v="4"/>
            <x v="5"/>
            <x v="6"/>
            <x v="7"/>
          </reference>
        </references>
      </pivotArea>
    </format>
    <format dxfId="204">
      <pivotArea dataOnly="0" labelOnly="1" outline="0" fieldPosition="0">
        <references count="1">
          <reference field="4294967294" count="2">
            <x v="0"/>
            <x v="1"/>
          </reference>
        </references>
      </pivotArea>
    </format>
    <format dxfId="185">
      <pivotArea outline="0" collapsedLevelsAreSubtotals="1" fieldPosition="0"/>
    </format>
    <format dxfId="184">
      <pivotArea dataOnly="0" labelOnly="1" fieldPosition="0">
        <references count="1">
          <reference field="6" count="7">
            <x v="1"/>
            <x v="2"/>
            <x v="3"/>
            <x v="4"/>
            <x v="5"/>
            <x v="6"/>
            <x v="7"/>
          </reference>
        </references>
      </pivotArea>
    </format>
    <format dxfId="183">
      <pivotArea outline="0" collapsedLevelsAreSubtotals="1" fieldPosition="0"/>
    </format>
    <format dxfId="182">
      <pivotArea dataOnly="0" labelOnly="1" fieldPosition="0">
        <references count="1">
          <reference field="6" count="7">
            <x v="1"/>
            <x v="2"/>
            <x v="3"/>
            <x v="4"/>
            <x v="5"/>
            <x v="6"/>
            <x v="7"/>
          </reference>
        </references>
      </pivotArea>
    </format>
    <format dxfId="181">
      <pivotArea dataOnly="0" labelOnly="1" outline="0" fieldPosition="0">
        <references count="1">
          <reference field="4294967294" count="1">
            <x v="0"/>
          </reference>
        </references>
      </pivotArea>
    </format>
    <format dxfId="180">
      <pivotArea dataOnly="0" labelOnly="1" outline="0" fieldPosition="0">
        <references count="1">
          <reference field="4294967294" count="1">
            <x v="1"/>
          </reference>
        </references>
      </pivotArea>
    </format>
    <format dxfId="92">
      <pivotArea dataOnly="0" labelOnly="1" outline="0" fieldPosition="0">
        <references count="1">
          <reference field="4294967294" count="1">
            <x v="0"/>
          </reference>
        </references>
      </pivotArea>
    </format>
    <format dxfId="91">
      <pivotArea field="6" type="button" dataOnly="0" labelOnly="1" outline="0" axis="axisRow" fieldPosition="0"/>
    </format>
    <format dxfId="90">
      <pivotArea dataOnly="0" labelOnly="1" outline="0" fieldPosition="0">
        <references count="1">
          <reference field="4294967294" count="1">
            <x v="1"/>
          </reference>
        </references>
      </pivotArea>
    </format>
    <format dxfId="89">
      <pivotArea outline="0" collapsedLevelsAreSubtotals="1" fieldPosition="0"/>
    </format>
    <format dxfId="88">
      <pivotArea dataOnly="0" labelOnly="1" fieldPosition="0">
        <references count="1">
          <reference field="6" count="7">
            <x v="1"/>
            <x v="2"/>
            <x v="3"/>
            <x v="4"/>
            <x v="5"/>
            <x v="6"/>
            <x v="7"/>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6" count="1" selected="0">
            <x v="3"/>
          </reference>
        </references>
      </pivotArea>
    </chartFormat>
    <chartFormat chart="0" format="3">
      <pivotArea type="data" outline="0" fieldPosition="0">
        <references count="2">
          <reference field="4294967294" count="1" selected="0">
            <x v="1"/>
          </reference>
          <reference field="6" count="1" selected="0">
            <x v="3"/>
          </reference>
        </references>
      </pivotArea>
    </chartFormat>
    <chartFormat chart="0" format="4">
      <pivotArea type="data" outline="0" fieldPosition="0">
        <references count="2">
          <reference field="4294967294" count="1" selected="0">
            <x v="1"/>
          </reference>
          <reference field="6" count="1" selected="0">
            <x v="1"/>
          </reference>
        </references>
      </pivotArea>
    </chartFormat>
  </chartFormats>
  <pivotTableStyleInfo name="PivotStyleDark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EB3DC2A-E626-465D-A1A8-46042253AA3F}" name="PivotTable1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week date">
  <location ref="C12:D17" firstHeaderRow="1" firstDataRow="1" firstDataCol="1"/>
  <pivotFields count="12">
    <pivotField axis="axisRow" numFmtId="14" showAll="0" measureFilter="1" sortType="ascending">
      <items count="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autoSortScope>
        <pivotArea dataOnly="0" outline="0" fieldPosition="0">
          <references count="1">
            <reference field="4294967294" count="1" selected="0">
              <x v="0"/>
            </reference>
          </references>
        </pivotArea>
      </autoSortScope>
    </pivotField>
    <pivotField numFmtId="14" showAll="0">
      <items count="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pivotField>
    <pivotField showAll="0"/>
    <pivotField dataField="1" showAll="0">
      <items count="25">
        <item h="1" x="2"/>
        <item h="1" x="12"/>
        <item h="1" x="13"/>
        <item h="1" x="8"/>
        <item h="1" x="11"/>
        <item x="22"/>
        <item h="1" x="4"/>
        <item h="1" x="14"/>
        <item h="1" x="9"/>
        <item h="1" x="3"/>
        <item h="1" x="19"/>
        <item h="1" x="6"/>
        <item h="1" x="7"/>
        <item h="1" x="0"/>
        <item h="1" x="5"/>
        <item h="1" x="1"/>
        <item h="1" x="16"/>
        <item h="1" x="15"/>
        <item h="1" x="10"/>
        <item h="1" x="21"/>
        <item h="1" x="20"/>
        <item h="1" x="18"/>
        <item h="1" x="17"/>
        <item h="1" x="23"/>
        <item t="default"/>
      </items>
    </pivotField>
    <pivotField showAll="0"/>
    <pivotField showAll="0"/>
    <pivotField showAll="0">
      <items count="15">
        <item sd="0" x="0"/>
        <item x="1"/>
        <item sd="0" x="2"/>
        <item sd="0" x="3"/>
        <item sd="0" x="4"/>
        <item sd="0" x="5"/>
        <item sd="0" x="6"/>
        <item sd="0" x="7"/>
        <item sd="0" x="8"/>
        <item sd="0" x="9"/>
        <item sd="0" x="10"/>
        <item sd="0" x="11"/>
        <item sd="0" x="12"/>
        <item sd="0" x="13"/>
        <item t="default"/>
      </items>
    </pivotField>
    <pivotField showAll="0">
      <items count="7">
        <item sd="0" x="0"/>
        <item x="1"/>
        <item sd="0" x="2"/>
        <item sd="0" x="3"/>
        <item sd="0" x="4"/>
        <item sd="0" x="5"/>
        <item t="default"/>
      </items>
    </pivotField>
    <pivotField showAll="0" sortType="ascending">
      <items count="5">
        <item sd="0" x="0"/>
        <item sd="0" x="3"/>
        <item x="1"/>
        <item x="2"/>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0"/>
  </rowFields>
  <rowItems count="5">
    <i>
      <x v="31"/>
    </i>
    <i>
      <x v="21"/>
    </i>
    <i>
      <x v="24"/>
    </i>
    <i>
      <x v="20"/>
    </i>
    <i>
      <x v="29"/>
    </i>
  </rowItems>
  <colItems count="1">
    <i/>
  </colItems>
  <dataFields count="1">
    <dataField name="top earnings" fld="3" baseField="0" baseItem="31" numFmtId="164"/>
  </dataFields>
  <formats count="6">
    <format dxfId="203">
      <pivotArea type="all" dataOnly="0" outline="0" fieldPosition="0"/>
    </format>
    <format dxfId="202">
      <pivotArea outline="0" collapsedLevelsAreSubtotals="1" fieldPosition="0"/>
    </format>
    <format dxfId="201">
      <pivotArea field="0" type="button" dataOnly="0" labelOnly="1" outline="0" axis="axisRow" fieldPosition="0"/>
    </format>
    <format dxfId="200">
      <pivotArea dataOnly="0" labelOnly="1" fieldPosition="0">
        <references count="1">
          <reference field="0" count="5">
            <x v="20"/>
            <x v="21"/>
            <x v="24"/>
            <x v="29"/>
            <x v="31"/>
          </reference>
        </references>
      </pivotArea>
    </format>
    <format dxfId="199">
      <pivotArea dataOnly="0" labelOnly="1" outline="0" axis="axisValues" fieldPosition="0"/>
    </format>
    <format dxfId="188">
      <pivotArea dataOnly="0" fieldPosition="0">
        <references count="1">
          <reference field="0" count="5">
            <x v="20"/>
            <x v="21"/>
            <x v="24"/>
            <x v="29"/>
            <x v="31"/>
          </reference>
        </references>
      </pivotArea>
    </format>
  </format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0" type="count" evalOrder="-1" id="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9D424D5-3FF9-4105-A246-09DCE9EFA740}" name="PivotTable1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7" rowHeaderCaption="week date">
  <location ref="I12:L17" firstHeaderRow="0" firstDataRow="1" firstDataCol="1"/>
  <pivotFields count="12">
    <pivotField axis="axisRow" numFmtId="14" showAll="0" measureFilter="1" sortType="ascending">
      <items count="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autoSortScope>
        <pivotArea dataOnly="0" outline="0" fieldPosition="0">
          <references count="1">
            <reference field="4294967294" count="1" selected="0">
              <x v="0"/>
            </reference>
          </references>
        </pivotArea>
      </autoSortScope>
    </pivotField>
    <pivotField numFmtId="14" showAll="0">
      <items count="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pivotField>
    <pivotField dataField="1" showAll="0"/>
    <pivotField dataField="1" showAll="0">
      <items count="25">
        <item x="2"/>
        <item x="12"/>
        <item x="13"/>
        <item x="8"/>
        <item x="11"/>
        <item x="22"/>
        <item x="4"/>
        <item x="14"/>
        <item x="9"/>
        <item x="3"/>
        <item x="19"/>
        <item x="6"/>
        <item x="7"/>
        <item x="0"/>
        <item x="5"/>
        <item x="1"/>
        <item x="16"/>
        <item x="15"/>
        <item x="10"/>
        <item x="21"/>
        <item x="20"/>
        <item x="18"/>
        <item x="17"/>
        <item x="23"/>
        <item t="default"/>
      </items>
    </pivotField>
    <pivotField dataField="1" showAll="0"/>
    <pivotField showAll="0"/>
    <pivotField showAll="0">
      <items count="15">
        <item sd="0" x="0"/>
        <item x="1"/>
        <item sd="0" x="2"/>
        <item sd="0" x="3"/>
        <item sd="0" x="4"/>
        <item sd="0" x="5"/>
        <item sd="0" x="6"/>
        <item sd="0" x="7"/>
        <item sd="0" x="8"/>
        <item sd="0" x="9"/>
        <item sd="0" x="10"/>
        <item sd="0" x="11"/>
        <item sd="0" x="12"/>
        <item sd="0" x="13"/>
        <item t="default"/>
      </items>
    </pivotField>
    <pivotField showAll="0">
      <items count="7">
        <item sd="0" x="0"/>
        <item x="1"/>
        <item sd="0" x="2"/>
        <item sd="0" x="3"/>
        <item sd="0" x="4"/>
        <item sd="0" x="5"/>
        <item t="default"/>
      </items>
    </pivotField>
    <pivotField showAll="0" sortType="ascending">
      <items count="5">
        <item sd="0" x="0"/>
        <item sd="0" x="3"/>
        <item x="1"/>
        <item x="2"/>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0"/>
  </rowFields>
  <rowItems count="5">
    <i>
      <x v="2"/>
    </i>
    <i>
      <x v="13"/>
    </i>
    <i>
      <x v="14"/>
    </i>
    <i>
      <x v="9"/>
    </i>
    <i>
      <x v="12"/>
    </i>
  </rowItems>
  <colFields count="1">
    <field x="-2"/>
  </colFields>
  <colItems count="3">
    <i>
      <x/>
    </i>
    <i i="1">
      <x v="1"/>
    </i>
    <i i="2">
      <x v="2"/>
    </i>
  </colItems>
  <dataFields count="3">
    <dataField name="lowest earnings" fld="3" baseField="0" baseItem="2" numFmtId="164"/>
    <dataField name="Clicks " fld="2" baseField="0" baseItem="2"/>
    <dataField name="posts" fld="4" baseField="0" baseItem="2"/>
  </dataFields>
  <formats count="6">
    <format dxfId="198">
      <pivotArea type="all" dataOnly="0" outline="0" fieldPosition="0"/>
    </format>
    <format dxfId="197">
      <pivotArea outline="0" collapsedLevelsAreSubtotals="1" fieldPosition="0"/>
    </format>
    <format dxfId="196">
      <pivotArea field="0" type="button" dataOnly="0" labelOnly="1" outline="0" axis="axisRow" fieldPosition="0"/>
    </format>
    <format dxfId="195">
      <pivotArea dataOnly="0" labelOnly="1" fieldPosition="0">
        <references count="1">
          <reference field="0" count="5">
            <x v="2"/>
            <x v="9"/>
            <x v="12"/>
            <x v="13"/>
            <x v="14"/>
          </reference>
        </references>
      </pivotArea>
    </format>
    <format dxfId="194">
      <pivotArea dataOnly="0" labelOnly="1" outline="0" fieldPosition="0">
        <references count="1">
          <reference field="4294967294" count="3">
            <x v="0"/>
            <x v="1"/>
            <x v="2"/>
          </reference>
        </references>
      </pivotArea>
    </format>
    <format dxfId="187">
      <pivotArea dataOnly="0" fieldPosition="0">
        <references count="1">
          <reference field="0" count="5">
            <x v="2"/>
            <x v="9"/>
            <x v="12"/>
            <x v="13"/>
            <x v="14"/>
          </reference>
        </references>
      </pivotArea>
    </format>
  </formats>
  <chartFormats count="13">
    <chartFormat chart="10" format="0" series="1">
      <pivotArea type="data" outline="0" fieldPosition="0">
        <references count="1">
          <reference field="4294967294" count="1" selected="0">
            <x v="0"/>
          </reference>
        </references>
      </pivotArea>
    </chartFormat>
    <chartFormat chart="10" format="1" series="1">
      <pivotArea type="data" outline="0" fieldPosition="0">
        <references count="1">
          <reference field="4294967294" count="1" selected="0">
            <x v="1"/>
          </reference>
        </references>
      </pivotArea>
    </chartFormat>
    <chartFormat chart="10" format="2" series="1">
      <pivotArea type="data" outline="0" fieldPosition="0">
        <references count="1">
          <reference field="4294967294" count="1" selected="0">
            <x v="2"/>
          </reference>
        </references>
      </pivotArea>
    </chartFormat>
    <chartFormat chart="10" format="3">
      <pivotArea type="data" outline="0" fieldPosition="0">
        <references count="2">
          <reference field="4294967294" count="1" selected="0">
            <x v="2"/>
          </reference>
          <reference field="0" count="1" selected="0">
            <x v="12"/>
          </reference>
        </references>
      </pivotArea>
    </chartFormat>
    <chartFormat chart="10" format="4">
      <pivotArea type="data" outline="0" fieldPosition="0">
        <references count="2">
          <reference field="4294967294" count="1" selected="0">
            <x v="2"/>
          </reference>
          <reference field="0" count="1" selected="0">
            <x v="9"/>
          </reference>
        </references>
      </pivotArea>
    </chartFormat>
    <chartFormat chart="10" format="5">
      <pivotArea type="data" outline="0" fieldPosition="0">
        <references count="2">
          <reference field="4294967294" count="1" selected="0">
            <x v="2"/>
          </reference>
          <reference field="0" count="1" selected="0">
            <x v="14"/>
          </reference>
        </references>
      </pivotArea>
    </chartFormat>
    <chartFormat chart="10" format="6">
      <pivotArea type="data" outline="0" fieldPosition="0">
        <references count="2">
          <reference field="4294967294" count="1" selected="0">
            <x v="2"/>
          </reference>
          <reference field="0" count="1" selected="0">
            <x v="13"/>
          </reference>
        </references>
      </pivotArea>
    </chartFormat>
    <chartFormat chart="10" format="7">
      <pivotArea type="data" outline="0" fieldPosition="0">
        <references count="2">
          <reference field="4294967294" count="1" selected="0">
            <x v="0"/>
          </reference>
          <reference field="0" count="1" selected="0">
            <x v="13"/>
          </reference>
        </references>
      </pivotArea>
    </chartFormat>
    <chartFormat chart="10" format="8">
      <pivotArea type="data" outline="0" fieldPosition="0">
        <references count="2">
          <reference field="4294967294" count="1" selected="0">
            <x v="2"/>
          </reference>
          <reference field="0" count="1" selected="0">
            <x v="2"/>
          </reference>
        </references>
      </pivotArea>
    </chartFormat>
    <chartFormat chart="10" format="9">
      <pivotArea type="data" outline="0" fieldPosition="0">
        <references count="2">
          <reference field="4294967294" count="1" selected="0">
            <x v="0"/>
          </reference>
          <reference field="0" count="1" selected="0">
            <x v="2"/>
          </reference>
        </references>
      </pivotArea>
    </chartFormat>
    <chartFormat chart="10" format="10">
      <pivotArea type="data" outline="0" fieldPosition="0">
        <references count="2">
          <reference field="4294967294" count="1" selected="0">
            <x v="0"/>
          </reference>
          <reference field="0" count="1" selected="0">
            <x v="14"/>
          </reference>
        </references>
      </pivotArea>
    </chartFormat>
    <chartFormat chart="10" format="11">
      <pivotArea type="data" outline="0" fieldPosition="0">
        <references count="2">
          <reference field="4294967294" count="1" selected="0">
            <x v="0"/>
          </reference>
          <reference field="0" count="1" selected="0">
            <x v="9"/>
          </reference>
        </references>
      </pivotArea>
    </chartFormat>
    <chartFormat chart="10" format="12">
      <pivotArea type="data" outline="0" fieldPosition="0">
        <references count="2">
          <reference field="4294967294" count="1" selected="0">
            <x v="0"/>
          </reference>
          <reference field="0" count="1" selected="0">
            <x v="12"/>
          </reference>
        </references>
      </pivotArea>
    </chartFormat>
  </chartFormats>
  <pivotTableStyleInfo name="PivotStyleMedium18" showRowHeaders="1" showColHeaders="1" showRowStripes="0" showColStripes="0" showLastColumn="1"/>
  <filters count="1">
    <filter fld="0" type="count" evalOrder="-1" id="7"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altText="Lowest Earnings"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04B428B-C608-47EE-8B02-92DB3257DCC5}" name="PivotTable10"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2" rowHeaderCaption="week date">
  <location ref="Q12:S17" firstHeaderRow="0" firstDataRow="1" firstDataCol="1"/>
  <pivotFields count="12">
    <pivotField axis="axisRow" numFmtId="14" showAll="0" measureFilter="1" sortType="ascending">
      <items count="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autoSortScope>
        <pivotArea dataOnly="0" outline="0" fieldPosition="0">
          <references count="1">
            <reference field="4294967294" count="1" selected="0">
              <x v="0"/>
            </reference>
          </references>
        </pivotArea>
      </autoSortScope>
    </pivotField>
    <pivotField numFmtId="14" showAll="0">
      <items count="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pivotField>
    <pivotField dataField="1" showAll="0"/>
    <pivotField showAll="0"/>
    <pivotField dataField="1"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4">
        <item sd="0" x="0"/>
        <item sd="0" x="1"/>
        <item sd="0" x="2"/>
        <item sd="0" x="3"/>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0"/>
  </rowFields>
  <rowItems count="5">
    <i>
      <x v="19"/>
    </i>
    <i>
      <x v="31"/>
    </i>
    <i>
      <x v="25"/>
    </i>
    <i>
      <x v="27"/>
    </i>
    <i>
      <x v="29"/>
    </i>
  </rowItems>
  <colFields count="1">
    <field x="-2"/>
  </colFields>
  <colItems count="2">
    <i>
      <x/>
    </i>
    <i i="1">
      <x v="1"/>
    </i>
  </colItems>
  <dataFields count="2">
    <dataField name="top clicks " fld="2" baseField="0" baseItem="19"/>
    <dataField name="posts" fld="4" baseField="0" baseItem="19"/>
  </dataFields>
  <formats count="6">
    <format dxfId="193">
      <pivotArea type="all" dataOnly="0" outline="0" fieldPosition="0"/>
    </format>
    <format dxfId="192">
      <pivotArea outline="0" collapsedLevelsAreSubtotals="1" fieldPosition="0"/>
    </format>
    <format dxfId="191">
      <pivotArea field="0" type="button" dataOnly="0" labelOnly="1" outline="0" axis="axisRow" fieldPosition="0"/>
    </format>
    <format dxfId="190">
      <pivotArea dataOnly="0" labelOnly="1" fieldPosition="0">
        <references count="1">
          <reference field="0" count="5">
            <x v="19"/>
            <x v="25"/>
            <x v="27"/>
            <x v="29"/>
            <x v="31"/>
          </reference>
        </references>
      </pivotArea>
    </format>
    <format dxfId="189">
      <pivotArea dataOnly="0" labelOnly="1" outline="0" fieldPosition="0">
        <references count="1">
          <reference field="4294967294" count="2">
            <x v="0"/>
            <x v="1"/>
          </reference>
        </references>
      </pivotArea>
    </format>
    <format dxfId="186">
      <pivotArea dataOnly="0" fieldPosition="0">
        <references count="1">
          <reference field="0" count="5">
            <x v="19"/>
            <x v="25"/>
            <x v="27"/>
            <x v="29"/>
            <x v="31"/>
          </reference>
        </references>
      </pivotArea>
    </format>
  </formats>
  <chartFormats count="2">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s>
  <pivotTableStyleInfo name="PivotStyleMedium20" showRowHeaders="1" showColHeaders="1" showRowStripes="0" showColStripes="0" showLastColumn="1"/>
  <filters count="1">
    <filter fld="0"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5F0863D-A77A-4FC5-B5A9-78BEFE6675D7}" name="WEEK_MAP" displayName="WEEK_MAP" ref="F1:I33" totalsRowShown="0">
  <tableColumns count="4">
    <tableColumn id="1" xr3:uid="{D51D2CE2-B82C-4D10-A91E-81BFD0F89FC4}" name="Week Start" dataDxfId="213"/>
    <tableColumn id="2" xr3:uid="{418892C7-C326-4893-885E-7D60C7A99C12}" name="Week End" dataDxfId="212"/>
    <tableColumn id="3" xr3:uid="{92871A00-213E-456C-8FF6-086D0ADB6D0F}" name="Week Label" dataDxfId="211">
      <calculatedColumnFormula>TEXT(F2, "dd-mm-yyyy") &amp; " to " &amp; TEXT(G2, "dd-mm-yyyy")</calculatedColumnFormula>
    </tableColumn>
    <tableColumn id="5" xr3:uid="{D08B63A0-3830-4774-9CD9-63384D67F0F8}" name="Column1" dataDxfId="210">
      <calculatedColumnFormula array="1">_xlfn.IFS(
  DAY(A2)&lt;=7, "01-" &amp; TEXT(A2,"mm-yyyy") &amp; " to 07-" &amp; TEXT(A2,"mm-yyyy"),
  DAY(A2)&lt;=14, "08-" &amp; TEXT(A2,"mm-yyyy") &amp; " to 14-" &amp; TEXT(A2,"mm-yyyy"),
  DAY(A2)&lt;=21, "15-" &amp; TEXT(A2,"mm-yyyy") &amp; " to 21-" &amp; TEXT(A2,"mm-yyyy"),
  DAY(A2)&lt;=28, "22-" &amp; TEXT(A2,"mm-yyyy") &amp; " to 28-" &amp; TEXT(A2,"mm-yyyy"),
  DAY(A2)&gt;28,  "29-" &amp; TEXT(A2,"mm-yyyy") &amp; " to " &amp; TEXT(EOMONTH(A2,0),"dd-mm-yyyy")
)</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D805DC-C9EC-442A-B7AA-13DA722471C7}">
  <dimension ref="A1:V247"/>
  <sheetViews>
    <sheetView tabSelected="1" topLeftCell="B1" zoomScale="40" zoomScaleNormal="25" workbookViewId="0">
      <selection activeCell="Y35" sqref="Y35"/>
    </sheetView>
  </sheetViews>
  <sheetFormatPr defaultRowHeight="14.4"/>
  <cols>
    <col min="1" max="1" width="7.33203125" style="18" customWidth="1"/>
    <col min="2" max="2" width="44.21875" style="18" bestFit="1" customWidth="1"/>
    <col min="3" max="3" width="49.21875" style="18" bestFit="1" customWidth="1"/>
    <col min="4" max="4" width="35.21875" style="18" bestFit="1" customWidth="1"/>
    <col min="5" max="5" width="23.44140625" style="18" bestFit="1" customWidth="1"/>
    <col min="6" max="6" width="27.33203125" style="18" bestFit="1" customWidth="1"/>
    <col min="7" max="7" width="1.33203125" style="18" customWidth="1"/>
    <col min="8" max="8" width="8.77734375" style="18" bestFit="1" customWidth="1"/>
    <col min="9" max="9" width="26.6640625" style="18" bestFit="1" customWidth="1"/>
    <col min="10" max="10" width="34.77734375" style="18" bestFit="1" customWidth="1"/>
    <col min="11" max="11" width="29.5546875" style="18" bestFit="1" customWidth="1"/>
    <col min="12" max="12" width="17.6640625" style="18" bestFit="1" customWidth="1"/>
    <col min="13" max="13" width="9.6640625" style="18" bestFit="1" customWidth="1"/>
    <col min="14" max="14" width="10.88671875" style="18" bestFit="1" customWidth="1"/>
    <col min="15" max="15" width="1" style="18" customWidth="1"/>
    <col min="16" max="16" width="25.6640625" style="18" bestFit="1" customWidth="1"/>
    <col min="17" max="17" width="26.6640625" style="18" bestFit="1" customWidth="1"/>
    <col min="18" max="18" width="16.44140625" style="18" bestFit="1" customWidth="1"/>
    <col min="19" max="19" width="12.44140625" style="18" bestFit="1" customWidth="1"/>
    <col min="20" max="20" width="10.88671875" style="18" bestFit="1" customWidth="1"/>
    <col min="21" max="150" width="11.5546875" style="18" bestFit="1" customWidth="1"/>
    <col min="151" max="151" width="11.33203125" style="18" bestFit="1" customWidth="1"/>
    <col min="152" max="16384" width="8.88671875" style="18"/>
  </cols>
  <sheetData>
    <row r="1" spans="1:22" ht="146.4" customHeight="1">
      <c r="A1" s="2"/>
      <c r="B1" s="2"/>
      <c r="C1" s="2"/>
      <c r="D1" s="2"/>
      <c r="E1" s="2"/>
      <c r="F1" s="12"/>
      <c r="G1" s="12"/>
      <c r="H1" s="12"/>
      <c r="I1" s="2"/>
      <c r="J1" s="2"/>
      <c r="K1" s="2"/>
      <c r="L1" s="2"/>
      <c r="M1" s="2"/>
      <c r="N1" s="2"/>
      <c r="O1" s="2"/>
      <c r="P1" s="2"/>
      <c r="Q1" s="2"/>
      <c r="R1" s="2"/>
      <c r="S1" s="2"/>
      <c r="T1" s="2"/>
      <c r="U1" s="2"/>
      <c r="V1" s="2"/>
    </row>
    <row r="2" spans="1:22" ht="8.4" customHeight="1">
      <c r="A2" s="15"/>
      <c r="B2" s="15"/>
      <c r="C2" s="15"/>
      <c r="D2" s="15"/>
      <c r="E2" s="15"/>
      <c r="F2" s="15"/>
      <c r="G2" s="15"/>
      <c r="H2" s="15"/>
      <c r="I2" s="15"/>
      <c r="J2" s="15"/>
      <c r="K2" s="15"/>
      <c r="L2" s="15"/>
      <c r="M2" s="15"/>
      <c r="N2" s="15"/>
      <c r="O2" s="15"/>
      <c r="P2" s="15"/>
      <c r="Q2" s="15"/>
      <c r="R2" s="15"/>
      <c r="S2" s="15"/>
      <c r="T2" s="15"/>
      <c r="U2" s="15"/>
      <c r="V2" s="15"/>
    </row>
    <row r="3" spans="1:22" ht="33.6" customHeight="1">
      <c r="A3" s="12"/>
      <c r="B3" s="12"/>
      <c r="C3" s="12"/>
      <c r="D3" s="12"/>
      <c r="E3" s="2"/>
      <c r="F3" s="12"/>
      <c r="G3" s="15"/>
      <c r="H3" s="12"/>
      <c r="I3" s="12"/>
      <c r="J3" s="12"/>
      <c r="K3" s="2"/>
      <c r="L3" s="2"/>
      <c r="M3" s="2"/>
      <c r="N3" s="2"/>
      <c r="O3" s="15"/>
      <c r="P3" s="12"/>
      <c r="Q3" s="12"/>
      <c r="R3" s="12"/>
      <c r="S3" s="12"/>
      <c r="T3" s="12"/>
      <c r="U3" s="2"/>
      <c r="V3" s="2"/>
    </row>
    <row r="4" spans="1:22">
      <c r="A4" s="12"/>
      <c r="B4" s="12"/>
      <c r="C4" s="12"/>
      <c r="D4" s="12"/>
      <c r="E4" s="2"/>
      <c r="F4" s="12"/>
      <c r="G4" s="15"/>
      <c r="H4" s="12"/>
      <c r="I4" s="12"/>
      <c r="J4" s="12"/>
      <c r="K4" s="2"/>
      <c r="L4" s="2"/>
      <c r="M4" s="2"/>
      <c r="N4" s="2"/>
      <c r="O4" s="15"/>
      <c r="P4" s="12"/>
      <c r="Q4" s="12"/>
      <c r="R4" s="12"/>
      <c r="S4" s="12"/>
      <c r="T4" s="12"/>
      <c r="U4" s="2"/>
      <c r="V4" s="2"/>
    </row>
    <row r="5" spans="1:22">
      <c r="A5" s="12"/>
      <c r="B5" s="12"/>
      <c r="C5" s="12"/>
      <c r="D5" s="12"/>
      <c r="E5" s="2"/>
      <c r="F5" s="12"/>
      <c r="G5" s="15"/>
      <c r="H5" s="12"/>
      <c r="I5" s="12"/>
      <c r="J5" s="12"/>
      <c r="K5" s="2"/>
      <c r="L5" s="2"/>
      <c r="M5" s="2"/>
      <c r="N5" s="2"/>
      <c r="O5" s="15"/>
      <c r="P5" s="12"/>
      <c r="Q5" s="12"/>
      <c r="R5" s="12"/>
      <c r="S5" s="12"/>
      <c r="T5" s="12"/>
      <c r="U5" s="2"/>
      <c r="V5" s="2"/>
    </row>
    <row r="6" spans="1:22">
      <c r="A6" s="12"/>
      <c r="B6" s="12"/>
      <c r="C6" s="12"/>
      <c r="D6" s="12"/>
      <c r="E6" s="2"/>
      <c r="F6" s="12"/>
      <c r="G6" s="15"/>
      <c r="H6" s="12"/>
      <c r="I6" s="12"/>
      <c r="J6" s="12"/>
      <c r="K6" s="2"/>
      <c r="L6" s="2"/>
      <c r="M6" s="2"/>
      <c r="N6" s="2"/>
      <c r="O6" s="15"/>
      <c r="P6" s="12"/>
      <c r="Q6" s="12"/>
      <c r="R6" s="12"/>
      <c r="S6" s="12"/>
      <c r="T6" s="12"/>
      <c r="U6" s="2"/>
      <c r="V6" s="2"/>
    </row>
    <row r="7" spans="1:22">
      <c r="A7" s="12"/>
      <c r="B7" s="12"/>
      <c r="C7" s="12"/>
      <c r="D7" s="12"/>
      <c r="E7" s="2"/>
      <c r="F7" s="12"/>
      <c r="G7" s="15"/>
      <c r="H7" s="12"/>
      <c r="I7" s="12"/>
      <c r="J7" s="12"/>
      <c r="K7" s="2"/>
      <c r="L7" s="2"/>
      <c r="M7" s="2"/>
      <c r="N7" s="2"/>
      <c r="O7" s="15"/>
      <c r="P7" s="12"/>
      <c r="Q7" s="12"/>
      <c r="R7" s="12"/>
      <c r="S7" s="12"/>
      <c r="T7" s="12"/>
      <c r="U7" s="2"/>
      <c r="V7" s="2"/>
    </row>
    <row r="8" spans="1:22">
      <c r="A8" s="12"/>
      <c r="B8" s="12"/>
      <c r="C8" s="12"/>
      <c r="D8" s="12"/>
      <c r="E8" s="2"/>
      <c r="F8" s="12"/>
      <c r="G8" s="15"/>
      <c r="H8" s="12"/>
      <c r="I8" s="12"/>
      <c r="J8" s="12"/>
      <c r="K8" s="2"/>
      <c r="L8" s="2"/>
      <c r="M8" s="2"/>
      <c r="N8" s="2"/>
      <c r="O8" s="15"/>
      <c r="P8" s="12"/>
      <c r="Q8" s="12"/>
      <c r="R8" s="12"/>
      <c r="S8" s="12"/>
      <c r="T8" s="12"/>
      <c r="U8" s="2"/>
      <c r="V8" s="2"/>
    </row>
    <row r="9" spans="1:22">
      <c r="A9" s="12"/>
      <c r="B9" s="12"/>
      <c r="C9" s="12"/>
      <c r="D9" s="12"/>
      <c r="E9" s="2"/>
      <c r="F9" s="12"/>
      <c r="G9" s="15"/>
      <c r="H9" s="12"/>
      <c r="I9" s="12"/>
      <c r="J9" s="12"/>
      <c r="K9" s="2"/>
      <c r="L9" s="2"/>
      <c r="M9" s="2"/>
      <c r="N9" s="2"/>
      <c r="O9" s="15"/>
      <c r="P9" s="12"/>
      <c r="Q9" s="12"/>
      <c r="R9" s="12"/>
      <c r="S9" s="12"/>
      <c r="T9" s="12"/>
      <c r="U9" s="2"/>
      <c r="V9" s="2"/>
    </row>
    <row r="10" spans="1:22">
      <c r="A10" s="2"/>
      <c r="B10" s="2"/>
      <c r="C10" s="2"/>
      <c r="D10" s="2"/>
      <c r="E10" s="12"/>
      <c r="F10" s="12"/>
      <c r="G10" s="15"/>
      <c r="H10" s="12"/>
      <c r="I10" s="12"/>
      <c r="J10" s="12"/>
      <c r="K10" s="2"/>
      <c r="L10" s="2"/>
      <c r="M10" s="2"/>
      <c r="N10" s="2"/>
      <c r="O10" s="15"/>
      <c r="P10" s="12"/>
      <c r="Q10" s="12"/>
      <c r="R10" s="12"/>
      <c r="S10" s="12"/>
      <c r="T10" s="12"/>
      <c r="U10" s="2"/>
      <c r="V10" s="2"/>
    </row>
    <row r="11" spans="1:22">
      <c r="A11" s="12"/>
      <c r="B11" s="12"/>
      <c r="C11" s="2"/>
      <c r="D11" s="2"/>
      <c r="E11" s="12"/>
      <c r="F11" s="2"/>
      <c r="G11" s="15"/>
      <c r="H11" s="12"/>
      <c r="I11" s="2"/>
      <c r="J11" s="2"/>
      <c r="K11" s="2"/>
      <c r="L11" s="2"/>
      <c r="M11" s="2"/>
      <c r="N11" s="2"/>
      <c r="O11" s="15"/>
      <c r="P11" s="2"/>
      <c r="Q11" s="2"/>
      <c r="R11" s="2"/>
      <c r="S11" s="2"/>
      <c r="T11" s="2"/>
      <c r="U11" s="2"/>
      <c r="V11" s="2"/>
    </row>
    <row r="12" spans="1:22" ht="25.8">
      <c r="A12" s="12"/>
      <c r="B12" s="12"/>
      <c r="C12" s="17" t="s">
        <v>14</v>
      </c>
      <c r="D12" s="16" t="s">
        <v>16</v>
      </c>
      <c r="E12" s="12"/>
      <c r="F12" s="2"/>
      <c r="G12" s="15"/>
      <c r="H12" s="12"/>
      <c r="I12" s="17" t="s">
        <v>14</v>
      </c>
      <c r="J12" s="16" t="s">
        <v>17</v>
      </c>
      <c r="K12" s="16" t="s">
        <v>18</v>
      </c>
      <c r="L12" s="16" t="s">
        <v>19</v>
      </c>
      <c r="M12" s="2"/>
      <c r="N12" s="2"/>
      <c r="O12" s="15"/>
      <c r="P12" s="2"/>
      <c r="Q12" s="17" t="s">
        <v>14</v>
      </c>
      <c r="R12" s="16" t="s">
        <v>15</v>
      </c>
      <c r="S12" s="16" t="s">
        <v>19</v>
      </c>
      <c r="T12" s="2"/>
      <c r="U12" s="2"/>
      <c r="V12" s="2"/>
    </row>
    <row r="13" spans="1:22" ht="25.8">
      <c r="A13" s="12"/>
      <c r="B13" s="12"/>
      <c r="C13" s="19">
        <v>45792</v>
      </c>
      <c r="D13" s="20">
        <v>5900</v>
      </c>
      <c r="E13" s="12"/>
      <c r="F13" s="2"/>
      <c r="G13" s="15"/>
      <c r="H13" s="12"/>
      <c r="I13" s="19">
        <v>45611</v>
      </c>
      <c r="J13" s="20">
        <v>-50</v>
      </c>
      <c r="K13" s="21">
        <v>2000</v>
      </c>
      <c r="L13" s="21">
        <v>18</v>
      </c>
      <c r="M13" s="2"/>
      <c r="N13" s="2"/>
      <c r="O13" s="15"/>
      <c r="P13" s="2"/>
      <c r="Q13" s="19">
        <v>45717</v>
      </c>
      <c r="R13" s="21">
        <v>9000</v>
      </c>
      <c r="S13" s="21">
        <v>74</v>
      </c>
      <c r="T13" s="2"/>
      <c r="U13" s="2"/>
      <c r="V13" s="2"/>
    </row>
    <row r="14" spans="1:22" ht="25.8">
      <c r="A14" s="12"/>
      <c r="B14" s="12"/>
      <c r="C14" s="19">
        <v>45731</v>
      </c>
      <c r="D14" s="20">
        <v>5900</v>
      </c>
      <c r="E14" s="12"/>
      <c r="F14" s="2"/>
      <c r="G14" s="15"/>
      <c r="H14" s="12"/>
      <c r="I14" s="19">
        <v>45679</v>
      </c>
      <c r="J14" s="20">
        <v>60</v>
      </c>
      <c r="K14" s="21">
        <v>1000</v>
      </c>
      <c r="L14" s="21">
        <v>8</v>
      </c>
      <c r="M14" s="2"/>
      <c r="N14" s="2"/>
      <c r="O14" s="15"/>
      <c r="P14" s="2"/>
      <c r="Q14" s="19">
        <v>45792</v>
      </c>
      <c r="R14" s="21">
        <v>9000</v>
      </c>
      <c r="S14" s="21">
        <v>97</v>
      </c>
      <c r="T14" s="2"/>
      <c r="U14" s="2"/>
      <c r="V14" s="2"/>
    </row>
    <row r="15" spans="1:22" ht="25.8">
      <c r="A15" s="12"/>
      <c r="B15" s="12"/>
      <c r="C15" s="19">
        <v>45748</v>
      </c>
      <c r="D15" s="20">
        <v>6000</v>
      </c>
      <c r="E15" s="12"/>
      <c r="F15" s="2"/>
      <c r="G15" s="15"/>
      <c r="H15" s="12"/>
      <c r="I15" s="19">
        <v>45686</v>
      </c>
      <c r="J15" s="20">
        <v>400</v>
      </c>
      <c r="K15" s="21">
        <v>900</v>
      </c>
      <c r="L15" s="21">
        <v>12</v>
      </c>
      <c r="M15" s="2"/>
      <c r="N15" s="2"/>
      <c r="O15" s="15"/>
      <c r="P15" s="2"/>
      <c r="Q15" s="19">
        <v>45755</v>
      </c>
      <c r="R15" s="21">
        <v>9400</v>
      </c>
      <c r="S15" s="21">
        <v>63</v>
      </c>
      <c r="T15" s="2"/>
      <c r="U15" s="2"/>
      <c r="V15" s="2"/>
    </row>
    <row r="16" spans="1:22" ht="25.8">
      <c r="A16" s="12"/>
      <c r="B16" s="12"/>
      <c r="C16" s="19">
        <v>45724</v>
      </c>
      <c r="D16" s="20">
        <v>6000</v>
      </c>
      <c r="E16" s="12"/>
      <c r="F16" s="2"/>
      <c r="G16" s="15"/>
      <c r="H16" s="12"/>
      <c r="I16" s="19">
        <v>45655</v>
      </c>
      <c r="J16" s="20">
        <v>600</v>
      </c>
      <c r="K16" s="21">
        <v>1100</v>
      </c>
      <c r="L16" s="21">
        <v>7</v>
      </c>
      <c r="M16" s="2"/>
      <c r="N16" s="2"/>
      <c r="O16" s="15"/>
      <c r="P16" s="2"/>
      <c r="Q16" s="19">
        <v>45769</v>
      </c>
      <c r="R16" s="21">
        <v>10000</v>
      </c>
      <c r="S16" s="21">
        <v>57</v>
      </c>
      <c r="T16" s="2"/>
      <c r="U16" s="2"/>
      <c r="V16" s="2"/>
    </row>
    <row r="17" spans="1:22" ht="25.8">
      <c r="A17" s="12"/>
      <c r="B17" s="12"/>
      <c r="C17" s="19">
        <v>45778</v>
      </c>
      <c r="D17" s="20">
        <v>9700</v>
      </c>
      <c r="E17" s="12"/>
      <c r="F17" s="2"/>
      <c r="G17" s="15"/>
      <c r="H17" s="12"/>
      <c r="I17" s="19">
        <v>45672</v>
      </c>
      <c r="J17" s="20">
        <v>800</v>
      </c>
      <c r="K17" s="21">
        <v>2600</v>
      </c>
      <c r="L17" s="21">
        <v>41</v>
      </c>
      <c r="M17" s="2"/>
      <c r="N17" s="2"/>
      <c r="O17" s="15"/>
      <c r="P17" s="2"/>
      <c r="Q17" s="19">
        <v>45778</v>
      </c>
      <c r="R17" s="21">
        <v>14500</v>
      </c>
      <c r="S17" s="21">
        <v>99</v>
      </c>
      <c r="T17" s="2"/>
      <c r="U17" s="2"/>
      <c r="V17" s="2"/>
    </row>
    <row r="18" spans="1:22" ht="98.4" customHeight="1">
      <c r="A18" s="12"/>
      <c r="B18" s="12"/>
      <c r="C18" s="2"/>
      <c r="D18" s="2"/>
      <c r="E18" s="2"/>
      <c r="F18" s="2"/>
      <c r="G18" s="15"/>
      <c r="H18" s="2"/>
      <c r="I18" s="12"/>
      <c r="J18" s="12"/>
      <c r="K18" s="12"/>
      <c r="L18" s="2"/>
      <c r="M18" s="2"/>
      <c r="N18" s="2"/>
      <c r="O18" s="15"/>
      <c r="P18" s="2"/>
      <c r="Q18" s="2"/>
      <c r="R18" s="2"/>
      <c r="S18" s="2"/>
      <c r="T18" s="2"/>
      <c r="U18" s="2"/>
      <c r="V18" s="2"/>
    </row>
    <row r="19" spans="1:22">
      <c r="A19" s="12"/>
      <c r="B19" s="12"/>
      <c r="C19" s="2"/>
      <c r="D19" s="2"/>
      <c r="E19" s="2"/>
      <c r="F19" s="2"/>
      <c r="G19" s="15"/>
      <c r="H19" s="2"/>
      <c r="I19" s="12"/>
      <c r="J19" s="12"/>
      <c r="K19" s="12"/>
      <c r="L19" s="12"/>
      <c r="M19" s="2"/>
      <c r="N19" s="2"/>
      <c r="O19" s="15"/>
      <c r="P19" s="2"/>
      <c r="Q19" s="2"/>
      <c r="R19" s="2"/>
      <c r="S19" s="2"/>
      <c r="T19" s="2"/>
      <c r="U19" s="2"/>
      <c r="V19" s="2"/>
    </row>
    <row r="20" spans="1:22">
      <c r="A20" s="12"/>
      <c r="B20" s="2"/>
      <c r="C20" s="2"/>
      <c r="D20" s="2"/>
      <c r="E20" s="2"/>
      <c r="F20" s="2"/>
      <c r="G20" s="15"/>
      <c r="H20" s="2"/>
      <c r="I20" s="12"/>
      <c r="J20" s="12"/>
      <c r="K20" s="12"/>
      <c r="L20" s="12"/>
      <c r="M20" s="2"/>
      <c r="N20" s="2"/>
      <c r="O20" s="15"/>
      <c r="P20" s="2"/>
      <c r="Q20" s="2"/>
      <c r="R20" s="2"/>
      <c r="S20" s="2"/>
      <c r="T20" s="2"/>
      <c r="U20" s="2"/>
      <c r="V20" s="2"/>
    </row>
    <row r="21" spans="1:22">
      <c r="A21" s="2"/>
      <c r="B21" s="2"/>
      <c r="C21" s="2"/>
      <c r="D21" s="2"/>
      <c r="E21" s="2"/>
      <c r="F21" s="2"/>
      <c r="G21" s="15"/>
      <c r="H21" s="2"/>
      <c r="I21" s="12"/>
      <c r="J21" s="12"/>
      <c r="K21" s="12"/>
      <c r="L21" s="12"/>
      <c r="M21" s="2"/>
      <c r="N21" s="2"/>
      <c r="O21" s="15"/>
      <c r="P21" s="2"/>
      <c r="Q21" s="2"/>
      <c r="R21" s="2"/>
      <c r="S21" s="2"/>
      <c r="T21" s="2"/>
      <c r="U21" s="2"/>
      <c r="V21" s="2"/>
    </row>
    <row r="22" spans="1:22">
      <c r="A22" s="2"/>
      <c r="B22" s="2"/>
      <c r="C22" s="2"/>
      <c r="D22" s="2"/>
      <c r="E22" s="2"/>
      <c r="F22" s="2"/>
      <c r="G22" s="15"/>
      <c r="H22" s="2"/>
      <c r="I22" s="12"/>
      <c r="J22" s="12"/>
      <c r="K22" s="12"/>
      <c r="L22" s="12"/>
      <c r="M22" s="2"/>
      <c r="N22" s="2"/>
      <c r="O22" s="15"/>
      <c r="P22" s="2"/>
      <c r="Q22" s="2"/>
      <c r="R22" s="2"/>
      <c r="S22" s="2"/>
      <c r="T22" s="2"/>
      <c r="U22" s="2"/>
      <c r="V22" s="2"/>
    </row>
    <row r="23" spans="1:22">
      <c r="A23" s="2"/>
      <c r="B23" s="2"/>
      <c r="C23" s="2"/>
      <c r="D23" s="2"/>
      <c r="E23" s="2"/>
      <c r="F23" s="2"/>
      <c r="G23" s="15"/>
      <c r="H23" s="2"/>
      <c r="I23" s="12"/>
      <c r="J23" s="12"/>
      <c r="K23" s="12"/>
      <c r="L23" s="12"/>
      <c r="M23" s="2"/>
      <c r="N23" s="2"/>
      <c r="O23" s="15"/>
      <c r="P23" s="2"/>
      <c r="Q23" s="2"/>
      <c r="R23" s="2"/>
      <c r="S23" s="2"/>
      <c r="T23" s="2"/>
      <c r="U23" s="2"/>
      <c r="V23" s="2"/>
    </row>
    <row r="24" spans="1:22">
      <c r="A24" s="2"/>
      <c r="B24" s="2"/>
      <c r="C24" s="2"/>
      <c r="D24" s="2"/>
      <c r="E24" s="2"/>
      <c r="F24" s="2"/>
      <c r="G24" s="15"/>
      <c r="H24" s="2"/>
      <c r="I24" s="12"/>
      <c r="J24" s="12"/>
      <c r="K24" s="12"/>
      <c r="L24" s="12"/>
      <c r="M24" s="2"/>
      <c r="N24" s="2"/>
      <c r="O24" s="15"/>
      <c r="P24" s="2"/>
      <c r="Q24" s="2"/>
      <c r="R24" s="2"/>
      <c r="S24" s="2"/>
      <c r="T24" s="2"/>
      <c r="U24" s="2"/>
      <c r="V24" s="2"/>
    </row>
    <row r="25" spans="1:22">
      <c r="A25" s="2"/>
      <c r="B25" s="2"/>
      <c r="C25" s="2"/>
      <c r="D25" s="2"/>
      <c r="E25" s="2"/>
      <c r="F25" s="2"/>
      <c r="G25" s="15"/>
      <c r="H25" s="2"/>
      <c r="I25" s="12"/>
      <c r="J25" s="12"/>
      <c r="K25" s="12"/>
      <c r="L25" s="12"/>
      <c r="M25" s="2"/>
      <c r="N25" s="2"/>
      <c r="O25" s="15"/>
      <c r="P25" s="2"/>
      <c r="Q25" s="2"/>
      <c r="R25" s="2"/>
      <c r="S25" s="2"/>
      <c r="T25" s="2"/>
      <c r="U25" s="2"/>
      <c r="V25" s="2"/>
    </row>
    <row r="26" spans="1:22">
      <c r="A26" s="2"/>
      <c r="B26" s="2"/>
      <c r="C26" s="2"/>
      <c r="D26" s="2"/>
      <c r="E26" s="2"/>
      <c r="F26" s="2"/>
      <c r="G26" s="15"/>
      <c r="H26" s="2"/>
      <c r="I26" s="12"/>
      <c r="J26" s="12"/>
      <c r="K26" s="12"/>
      <c r="L26" s="2"/>
      <c r="M26" s="2"/>
      <c r="N26" s="2"/>
      <c r="O26" s="15"/>
      <c r="P26" s="2"/>
      <c r="Q26" s="2"/>
      <c r="R26" s="2"/>
      <c r="S26" s="2"/>
      <c r="T26" s="2"/>
      <c r="U26" s="2"/>
      <c r="V26" s="2"/>
    </row>
    <row r="27" spans="1:22">
      <c r="A27" s="2"/>
      <c r="B27" s="2"/>
      <c r="C27" s="2"/>
      <c r="D27" s="2"/>
      <c r="E27" s="2"/>
      <c r="F27" s="2"/>
      <c r="G27" s="15"/>
      <c r="H27" s="2"/>
      <c r="I27" s="12"/>
      <c r="J27" s="12"/>
      <c r="K27" s="12"/>
      <c r="L27" s="2"/>
      <c r="M27" s="2"/>
      <c r="N27" s="2"/>
      <c r="O27" s="15"/>
      <c r="P27" s="2"/>
      <c r="Q27" s="2"/>
      <c r="R27" s="2"/>
      <c r="S27" s="2"/>
      <c r="T27" s="2"/>
      <c r="U27" s="2"/>
      <c r="V27" s="2"/>
    </row>
    <row r="28" spans="1:22">
      <c r="A28" s="2"/>
      <c r="B28" s="2"/>
      <c r="C28" s="2"/>
      <c r="D28" s="2"/>
      <c r="E28" s="2"/>
      <c r="F28" s="2"/>
      <c r="G28" s="15"/>
      <c r="H28" s="2"/>
      <c r="I28" s="2"/>
      <c r="J28" s="2"/>
      <c r="K28" s="2"/>
      <c r="L28" s="2"/>
      <c r="M28" s="2"/>
      <c r="N28" s="2"/>
      <c r="O28" s="15"/>
      <c r="P28" s="2"/>
      <c r="Q28" s="2"/>
      <c r="R28" s="2"/>
      <c r="S28" s="2"/>
      <c r="T28" s="2"/>
      <c r="U28" s="2"/>
      <c r="V28" s="2"/>
    </row>
    <row r="29" spans="1:22" ht="36.6" customHeight="1">
      <c r="A29" s="2"/>
      <c r="B29" s="2"/>
      <c r="C29" s="2"/>
      <c r="D29" s="2"/>
      <c r="E29" s="2"/>
      <c r="F29" s="2"/>
      <c r="G29" s="15"/>
      <c r="H29" s="2"/>
      <c r="I29" s="2"/>
      <c r="J29" s="2"/>
      <c r="K29" s="2"/>
      <c r="L29" s="2"/>
      <c r="M29" s="2"/>
      <c r="N29" s="2"/>
      <c r="O29" s="15"/>
      <c r="P29" s="2"/>
      <c r="Q29" s="2"/>
      <c r="R29" s="2"/>
      <c r="S29" s="2"/>
      <c r="T29" s="2"/>
      <c r="U29" s="2"/>
      <c r="V29" s="2"/>
    </row>
    <row r="30" spans="1:22">
      <c r="A30" s="2"/>
      <c r="B30" s="12"/>
      <c r="C30" s="12"/>
      <c r="D30" s="12"/>
      <c r="E30" s="12"/>
      <c r="F30" s="2"/>
      <c r="G30" s="15"/>
      <c r="H30" s="2"/>
      <c r="I30" s="2"/>
      <c r="J30" s="2"/>
      <c r="K30" s="2"/>
      <c r="L30" s="2"/>
      <c r="M30" s="2"/>
      <c r="N30" s="2"/>
      <c r="O30" s="15"/>
      <c r="P30" s="2"/>
      <c r="Q30" s="2"/>
      <c r="R30" s="2"/>
      <c r="S30" s="2"/>
      <c r="T30" s="2"/>
      <c r="U30" s="2"/>
      <c r="V30" s="2"/>
    </row>
    <row r="31" spans="1:22">
      <c r="A31" s="2"/>
      <c r="B31" s="12"/>
      <c r="C31" s="12"/>
      <c r="D31" s="12"/>
      <c r="E31" s="12"/>
      <c r="F31" s="2"/>
      <c r="G31" s="15"/>
      <c r="H31" s="2"/>
      <c r="I31" s="2"/>
      <c r="J31" s="2"/>
      <c r="K31" s="2"/>
      <c r="L31" s="2"/>
      <c r="M31" s="2"/>
      <c r="N31" s="2"/>
      <c r="O31" s="15"/>
      <c r="P31" s="2"/>
      <c r="Q31" s="2"/>
      <c r="R31" s="2"/>
      <c r="S31" s="2"/>
      <c r="T31" s="2"/>
      <c r="U31" s="2"/>
      <c r="V31" s="2"/>
    </row>
    <row r="32" spans="1:22">
      <c r="A32" s="2"/>
      <c r="B32" s="12"/>
      <c r="C32" s="12"/>
      <c r="D32" s="12"/>
      <c r="E32" s="12"/>
      <c r="F32" s="2"/>
      <c r="G32" s="15"/>
      <c r="H32" s="2"/>
      <c r="I32" s="2"/>
      <c r="J32" s="2"/>
      <c r="K32" s="2"/>
      <c r="L32" s="2"/>
      <c r="M32" s="2"/>
      <c r="N32" s="2"/>
      <c r="O32" s="15"/>
      <c r="P32" s="2"/>
      <c r="Q32" s="2"/>
      <c r="R32" s="2"/>
      <c r="S32" s="2"/>
      <c r="T32" s="2"/>
      <c r="U32" s="2"/>
      <c r="V32" s="2"/>
    </row>
    <row r="33" spans="1:22">
      <c r="A33" s="2"/>
      <c r="B33" s="12"/>
      <c r="C33" s="12"/>
      <c r="D33" s="12"/>
      <c r="E33" s="12"/>
      <c r="F33" s="2"/>
      <c r="G33" s="15"/>
      <c r="H33" s="2"/>
      <c r="I33" s="2"/>
      <c r="J33" s="2"/>
      <c r="K33" s="2"/>
      <c r="L33" s="2"/>
      <c r="M33" s="2"/>
      <c r="N33" s="2"/>
      <c r="O33" s="15"/>
      <c r="P33" s="2"/>
      <c r="Q33" s="2"/>
      <c r="R33" s="2"/>
      <c r="S33" s="2"/>
      <c r="T33" s="2"/>
      <c r="U33" s="2"/>
      <c r="V33" s="2"/>
    </row>
    <row r="34" spans="1:22">
      <c r="A34" s="2"/>
      <c r="B34" s="12"/>
      <c r="C34" s="12"/>
      <c r="D34" s="12"/>
      <c r="E34" s="12"/>
      <c r="F34" s="2"/>
      <c r="G34" s="15"/>
      <c r="H34" s="2"/>
      <c r="I34" s="2"/>
      <c r="J34" s="2"/>
      <c r="K34" s="2"/>
      <c r="L34" s="2"/>
      <c r="M34" s="2"/>
      <c r="N34" s="2"/>
      <c r="O34" s="15"/>
      <c r="P34" s="2"/>
      <c r="Q34" s="2"/>
      <c r="R34" s="2"/>
      <c r="S34" s="2"/>
      <c r="T34" s="2"/>
      <c r="U34" s="2"/>
      <c r="V34" s="2"/>
    </row>
    <row r="35" spans="1:22">
      <c r="A35" s="2"/>
      <c r="B35" s="12"/>
      <c r="C35" s="12"/>
      <c r="D35" s="12"/>
      <c r="E35" s="12"/>
      <c r="F35" s="2"/>
      <c r="G35" s="15"/>
      <c r="H35" s="2"/>
      <c r="I35" s="2"/>
      <c r="J35" s="2"/>
      <c r="K35" s="2"/>
      <c r="L35" s="2"/>
      <c r="M35" s="2"/>
      <c r="N35" s="2"/>
      <c r="O35" s="15"/>
      <c r="P35" s="2"/>
      <c r="Q35" s="2"/>
      <c r="R35" s="2"/>
      <c r="S35" s="2"/>
      <c r="T35" s="2"/>
      <c r="U35" s="2"/>
      <c r="V35" s="2"/>
    </row>
    <row r="36" spans="1:22" ht="6" customHeight="1">
      <c r="A36" s="15"/>
      <c r="B36" s="15"/>
      <c r="C36" s="15"/>
      <c r="D36" s="15"/>
      <c r="E36" s="15"/>
      <c r="F36" s="15"/>
      <c r="G36" s="15"/>
      <c r="H36" s="15"/>
      <c r="I36" s="15"/>
      <c r="J36" s="15"/>
      <c r="K36" s="15"/>
      <c r="L36" s="15"/>
      <c r="M36" s="15"/>
      <c r="N36" s="15"/>
      <c r="O36" s="15"/>
      <c r="P36" s="15"/>
      <c r="Q36" s="15"/>
      <c r="R36" s="15"/>
      <c r="S36" s="15"/>
      <c r="T36" s="15"/>
      <c r="U36" s="15"/>
      <c r="V36" s="15"/>
    </row>
    <row r="37" spans="1:22">
      <c r="A37" s="2"/>
      <c r="B37" s="12"/>
      <c r="C37" s="12"/>
      <c r="D37" s="12"/>
      <c r="E37" s="12"/>
      <c r="F37" s="12"/>
      <c r="G37" s="12"/>
      <c r="H37" s="12"/>
      <c r="I37" s="12"/>
      <c r="J37" s="12"/>
      <c r="K37" s="12"/>
      <c r="L37" s="12"/>
      <c r="M37" s="12"/>
      <c r="N37" s="12"/>
      <c r="O37" s="13"/>
      <c r="P37" s="13"/>
      <c r="Q37" s="4"/>
      <c r="R37" s="4"/>
      <c r="S37" s="4"/>
      <c r="T37" s="2"/>
      <c r="U37" s="2"/>
      <c r="V37" s="2"/>
    </row>
    <row r="38" spans="1:22">
      <c r="A38" s="2"/>
      <c r="B38" s="12"/>
      <c r="C38" s="12"/>
      <c r="D38" s="12"/>
      <c r="E38" s="12"/>
      <c r="F38" s="12"/>
      <c r="G38" s="12"/>
      <c r="H38" s="12"/>
      <c r="I38" s="12"/>
      <c r="J38" s="12"/>
      <c r="K38" s="12"/>
      <c r="L38" s="12"/>
      <c r="M38" s="12"/>
      <c r="N38" s="12"/>
      <c r="O38" s="13"/>
      <c r="P38" s="13"/>
      <c r="Q38" s="4"/>
      <c r="R38" s="4"/>
      <c r="S38" s="4"/>
      <c r="T38" s="2"/>
      <c r="U38" s="2"/>
      <c r="V38" s="2"/>
    </row>
    <row r="39" spans="1:22">
      <c r="A39" s="2"/>
      <c r="B39" s="12"/>
      <c r="C39" s="12"/>
      <c r="D39" s="12"/>
      <c r="E39" s="12"/>
      <c r="F39" s="12"/>
      <c r="G39" s="12"/>
      <c r="H39" s="12"/>
      <c r="I39" s="12"/>
      <c r="J39" s="12"/>
      <c r="K39" s="12"/>
      <c r="L39" s="12"/>
      <c r="M39" s="12"/>
      <c r="N39" s="12"/>
      <c r="O39" s="13"/>
      <c r="P39" s="13"/>
      <c r="Q39" s="4"/>
      <c r="R39" s="4"/>
      <c r="S39" s="4"/>
      <c r="T39" s="2"/>
      <c r="U39" s="2"/>
      <c r="V39" s="2"/>
    </row>
    <row r="40" spans="1:22">
      <c r="A40" s="2"/>
      <c r="B40" s="12"/>
      <c r="C40" s="12"/>
      <c r="D40" s="12"/>
      <c r="E40" s="12"/>
      <c r="F40" s="12"/>
      <c r="G40" s="12"/>
      <c r="H40" s="12"/>
      <c r="I40" s="12"/>
      <c r="J40" s="12"/>
      <c r="K40" s="12"/>
      <c r="L40" s="12"/>
      <c r="M40" s="12"/>
      <c r="N40" s="12"/>
      <c r="O40" s="13"/>
      <c r="P40" s="13"/>
      <c r="Q40" s="13"/>
      <c r="R40" s="4"/>
      <c r="S40" s="4"/>
      <c r="T40" s="2"/>
      <c r="U40" s="2"/>
      <c r="V40" s="2"/>
    </row>
    <row r="41" spans="1:22">
      <c r="A41" s="2"/>
      <c r="B41" s="12"/>
      <c r="C41" s="12"/>
      <c r="D41" s="12"/>
      <c r="E41" s="12"/>
      <c r="F41" s="12"/>
      <c r="G41" s="12"/>
      <c r="H41" s="12"/>
      <c r="I41" s="12"/>
      <c r="J41" s="12"/>
      <c r="K41" s="12"/>
      <c r="L41" s="12"/>
      <c r="M41" s="12"/>
      <c r="N41" s="12"/>
      <c r="O41" s="13"/>
      <c r="P41" s="13"/>
      <c r="Q41" s="4"/>
      <c r="R41" s="4"/>
      <c r="S41" s="4"/>
      <c r="T41" s="2"/>
      <c r="U41" s="2"/>
      <c r="V41" s="2"/>
    </row>
    <row r="42" spans="1:22">
      <c r="A42" s="2"/>
      <c r="B42" s="12"/>
      <c r="C42" s="12"/>
      <c r="D42" s="12"/>
      <c r="E42" s="12"/>
      <c r="F42" s="12"/>
      <c r="G42" s="12"/>
      <c r="H42" s="12"/>
      <c r="I42" s="12"/>
      <c r="J42" s="12"/>
      <c r="K42" s="12"/>
      <c r="L42" s="12"/>
      <c r="M42" s="12"/>
      <c r="N42" s="12"/>
      <c r="O42" s="13"/>
      <c r="P42" s="13"/>
      <c r="Q42" s="4"/>
      <c r="R42" s="4"/>
      <c r="S42" s="4"/>
      <c r="T42" s="2"/>
      <c r="U42" s="2"/>
      <c r="V42" s="2"/>
    </row>
    <row r="43" spans="1:22">
      <c r="A43" s="2"/>
      <c r="B43" s="12"/>
      <c r="C43" s="12"/>
      <c r="D43" s="12"/>
      <c r="E43" s="12"/>
      <c r="F43" s="12"/>
      <c r="G43" s="12"/>
      <c r="H43" s="12"/>
      <c r="I43" s="12"/>
      <c r="J43" s="12"/>
      <c r="K43" s="12"/>
      <c r="L43" s="12"/>
      <c r="M43" s="12"/>
      <c r="N43" s="12"/>
      <c r="O43" s="13"/>
      <c r="P43" s="13"/>
      <c r="Q43" s="4"/>
      <c r="R43" s="4"/>
      <c r="S43" s="4"/>
      <c r="T43" s="2"/>
      <c r="U43" s="2"/>
      <c r="V43" s="2"/>
    </row>
    <row r="44" spans="1:22">
      <c r="A44" s="2"/>
      <c r="B44" s="12"/>
      <c r="C44" s="12"/>
      <c r="D44" s="12"/>
      <c r="E44" s="12"/>
      <c r="F44" s="12"/>
      <c r="G44" s="12"/>
      <c r="H44" s="12"/>
      <c r="I44" s="12"/>
      <c r="J44" s="12"/>
      <c r="K44" s="12"/>
      <c r="L44" s="12"/>
      <c r="M44" s="12"/>
      <c r="N44" s="12"/>
      <c r="O44" s="13"/>
      <c r="P44" s="13"/>
      <c r="Q44" s="4"/>
      <c r="R44" s="4"/>
      <c r="S44" s="4"/>
      <c r="T44" s="2"/>
      <c r="U44" s="2"/>
      <c r="V44" s="2"/>
    </row>
    <row r="45" spans="1:22">
      <c r="A45" s="2"/>
      <c r="B45" s="12"/>
      <c r="C45" s="12"/>
      <c r="D45" s="12"/>
      <c r="E45" s="12"/>
      <c r="F45" s="12"/>
      <c r="G45" s="12"/>
      <c r="H45" s="12"/>
      <c r="I45" s="12"/>
      <c r="J45" s="12"/>
      <c r="K45" s="12"/>
      <c r="L45" s="12"/>
      <c r="M45" s="12"/>
      <c r="N45" s="12"/>
      <c r="O45" s="13"/>
      <c r="P45" s="13"/>
      <c r="Q45" s="4"/>
      <c r="R45" s="4"/>
      <c r="S45" s="4"/>
      <c r="T45" s="2"/>
      <c r="U45" s="2"/>
      <c r="V45" s="2"/>
    </row>
    <row r="46" spans="1:22">
      <c r="A46" s="2"/>
      <c r="B46" s="12"/>
      <c r="C46" s="12"/>
      <c r="D46" s="12"/>
      <c r="E46" s="12"/>
      <c r="F46" s="12"/>
      <c r="G46" s="2"/>
      <c r="H46" s="2"/>
      <c r="I46" s="12"/>
      <c r="J46" s="12"/>
      <c r="K46" s="12"/>
      <c r="L46" s="12"/>
      <c r="M46" s="12"/>
      <c r="N46" s="12"/>
      <c r="O46" s="12"/>
      <c r="P46" s="12"/>
      <c r="Q46" s="2"/>
      <c r="R46" s="2"/>
      <c r="S46" s="2"/>
      <c r="T46" s="2"/>
      <c r="U46" s="2"/>
      <c r="V46" s="2"/>
    </row>
    <row r="47" spans="1:22">
      <c r="A47" s="2"/>
      <c r="B47" s="12"/>
      <c r="C47" s="12"/>
      <c r="D47" s="12"/>
      <c r="E47" s="12"/>
      <c r="F47" s="12"/>
      <c r="G47" s="2"/>
      <c r="H47" s="2"/>
      <c r="I47" s="12"/>
      <c r="J47" s="12"/>
      <c r="K47" s="12"/>
      <c r="L47" s="12"/>
      <c r="M47" s="12"/>
      <c r="N47" s="12"/>
      <c r="O47" s="12"/>
      <c r="P47" s="12"/>
      <c r="Q47" s="2"/>
      <c r="R47" s="2"/>
      <c r="S47" s="2"/>
      <c r="T47" s="2"/>
      <c r="U47" s="2"/>
      <c r="V47" s="2"/>
    </row>
    <row r="48" spans="1:22">
      <c r="A48" s="2"/>
      <c r="B48" s="12"/>
      <c r="C48" s="12"/>
      <c r="D48" s="12"/>
      <c r="E48" s="12"/>
      <c r="F48" s="12"/>
      <c r="G48" s="2"/>
      <c r="H48" s="2"/>
      <c r="I48" s="2"/>
      <c r="J48" s="12"/>
      <c r="K48" s="12"/>
      <c r="L48" s="12"/>
      <c r="M48" s="12"/>
      <c r="N48" s="12"/>
      <c r="O48" s="12"/>
      <c r="P48" s="12"/>
      <c r="Q48" s="2"/>
      <c r="R48" s="2"/>
      <c r="S48" s="2"/>
      <c r="T48" s="2"/>
      <c r="U48" s="2"/>
      <c r="V48" s="2"/>
    </row>
    <row r="49" spans="1:22" ht="25.8">
      <c r="A49" s="2"/>
      <c r="B49" s="31" t="s">
        <v>21</v>
      </c>
      <c r="C49" s="31" t="s">
        <v>13</v>
      </c>
      <c r="D49" s="31" t="s">
        <v>20</v>
      </c>
      <c r="E49" s="2"/>
      <c r="F49" s="2"/>
      <c r="G49" s="2"/>
      <c r="H49" s="2"/>
      <c r="I49" s="2"/>
      <c r="J49" s="12"/>
      <c r="K49" s="12"/>
      <c r="L49" s="12"/>
      <c r="M49" s="12"/>
      <c r="N49" s="12"/>
      <c r="O49" s="12"/>
      <c r="P49" s="12"/>
      <c r="Q49" s="2"/>
      <c r="R49" s="2"/>
      <c r="S49" s="2"/>
      <c r="T49" s="2"/>
      <c r="U49" s="2"/>
      <c r="V49" s="2"/>
    </row>
    <row r="50" spans="1:22" ht="31.2">
      <c r="A50" s="2"/>
      <c r="B50" s="32" t="s">
        <v>9</v>
      </c>
      <c r="C50" s="33">
        <v>7950</v>
      </c>
      <c r="D50" s="34"/>
      <c r="E50" s="2"/>
      <c r="F50" s="2"/>
      <c r="G50" s="2"/>
      <c r="H50" s="2"/>
      <c r="I50" s="2"/>
      <c r="J50" s="12"/>
      <c r="K50" s="12"/>
      <c r="L50" s="12"/>
      <c r="M50" s="12"/>
      <c r="N50" s="12"/>
      <c r="O50" s="12"/>
      <c r="P50" s="12"/>
      <c r="Q50" s="2"/>
      <c r="R50" s="2"/>
      <c r="S50" s="2"/>
      <c r="T50" s="2"/>
      <c r="U50" s="2"/>
      <c r="V50" s="2"/>
    </row>
    <row r="51" spans="1:22" ht="31.2">
      <c r="A51" s="2"/>
      <c r="B51" s="32" t="s">
        <v>10</v>
      </c>
      <c r="C51" s="33">
        <v>8500</v>
      </c>
      <c r="D51" s="34">
        <v>6.9182389937106917E-2</v>
      </c>
      <c r="E51" s="2"/>
      <c r="F51" s="2"/>
      <c r="G51" s="2"/>
      <c r="H51" s="2"/>
      <c r="I51" s="2"/>
      <c r="J51" s="12"/>
      <c r="K51" s="12"/>
      <c r="L51" s="12"/>
      <c r="M51" s="12"/>
      <c r="N51" s="12"/>
      <c r="O51" s="12"/>
      <c r="P51" s="12"/>
      <c r="Q51" s="2"/>
      <c r="R51" s="2"/>
      <c r="S51" s="2"/>
      <c r="T51" s="2"/>
      <c r="U51" s="2"/>
      <c r="V51" s="2"/>
    </row>
    <row r="52" spans="1:22" ht="31.2">
      <c r="A52" s="2"/>
      <c r="B52" s="32" t="s">
        <v>6</v>
      </c>
      <c r="C52" s="33">
        <v>7560</v>
      </c>
      <c r="D52" s="34">
        <v>-0.11058823529411765</v>
      </c>
      <c r="E52" s="2"/>
      <c r="F52" s="2"/>
      <c r="G52" s="2"/>
      <c r="H52" s="2"/>
      <c r="I52" s="2"/>
      <c r="J52" s="12"/>
      <c r="K52" s="12"/>
      <c r="L52" s="12"/>
      <c r="M52" s="12"/>
      <c r="N52" s="12"/>
      <c r="O52" s="12"/>
      <c r="P52" s="12"/>
      <c r="Q52" s="2"/>
      <c r="R52" s="2"/>
      <c r="S52" s="2"/>
      <c r="T52" s="2"/>
      <c r="U52" s="2"/>
      <c r="V52" s="2"/>
    </row>
    <row r="53" spans="1:22" ht="31.2">
      <c r="A53" s="2"/>
      <c r="B53" s="32" t="s">
        <v>7</v>
      </c>
      <c r="C53" s="33">
        <v>9500</v>
      </c>
      <c r="D53" s="34">
        <v>0.25661375661375663</v>
      </c>
      <c r="E53" s="2"/>
      <c r="F53" s="2"/>
      <c r="G53" s="2"/>
      <c r="H53" s="2"/>
      <c r="I53" s="2"/>
      <c r="J53" s="12"/>
      <c r="K53" s="12"/>
      <c r="L53" s="12"/>
      <c r="M53" s="12"/>
      <c r="N53" s="12"/>
      <c r="O53" s="12"/>
      <c r="P53" s="12"/>
      <c r="Q53" s="2"/>
      <c r="R53" s="2"/>
      <c r="S53" s="2"/>
      <c r="T53" s="2"/>
      <c r="U53" s="2"/>
      <c r="V53" s="2"/>
    </row>
    <row r="54" spans="1:22" ht="31.2">
      <c r="A54" s="2"/>
      <c r="B54" s="32" t="s">
        <v>8</v>
      </c>
      <c r="C54" s="33">
        <v>18100</v>
      </c>
      <c r="D54" s="34">
        <v>0.90526315789473688</v>
      </c>
      <c r="E54" s="2"/>
      <c r="F54" s="2"/>
      <c r="G54" s="2"/>
      <c r="H54" s="2"/>
      <c r="I54" s="2"/>
      <c r="J54" s="12"/>
      <c r="K54" s="12"/>
      <c r="L54" s="12"/>
      <c r="M54" s="12"/>
      <c r="N54" s="12"/>
      <c r="O54" s="12"/>
      <c r="P54" s="12"/>
      <c r="Q54" s="2"/>
      <c r="R54" s="2"/>
      <c r="S54" s="2"/>
      <c r="T54" s="2"/>
      <c r="U54" s="2"/>
      <c r="V54" s="2"/>
    </row>
    <row r="55" spans="1:22" ht="31.2">
      <c r="A55" s="2"/>
      <c r="B55" s="32" t="s">
        <v>11</v>
      </c>
      <c r="C55" s="33">
        <v>19600</v>
      </c>
      <c r="D55" s="34">
        <v>8.2872928176795577E-2</v>
      </c>
      <c r="E55" s="2"/>
      <c r="F55" s="2"/>
      <c r="G55" s="2"/>
      <c r="H55" s="2"/>
      <c r="I55" s="2"/>
      <c r="J55" s="12"/>
      <c r="K55" s="12"/>
      <c r="L55" s="12"/>
      <c r="M55" s="12"/>
      <c r="N55" s="12"/>
      <c r="O55" s="12"/>
      <c r="P55" s="12"/>
      <c r="Q55" s="2"/>
      <c r="R55" s="2"/>
      <c r="S55" s="2"/>
      <c r="T55" s="2"/>
      <c r="U55" s="2"/>
      <c r="V55" s="2"/>
    </row>
    <row r="56" spans="1:22" ht="31.2">
      <c r="A56" s="2"/>
      <c r="B56" s="32" t="s">
        <v>12</v>
      </c>
      <c r="C56" s="33">
        <v>20800</v>
      </c>
      <c r="D56" s="34">
        <v>6.1224489795918366E-2</v>
      </c>
      <c r="E56" s="2"/>
      <c r="F56" s="2"/>
      <c r="G56" s="2"/>
      <c r="H56" s="2"/>
      <c r="I56" s="2"/>
      <c r="J56" s="12"/>
      <c r="K56" s="12"/>
      <c r="L56" s="12"/>
      <c r="M56" s="12"/>
      <c r="N56" s="12"/>
      <c r="O56" s="12"/>
      <c r="P56" s="12"/>
      <c r="Q56" s="2"/>
      <c r="R56" s="2"/>
      <c r="S56" s="2"/>
      <c r="T56" s="2"/>
      <c r="U56" s="2"/>
      <c r="V56" s="2"/>
    </row>
    <row r="57" spans="1:22">
      <c r="A57" s="12"/>
      <c r="B57" s="12"/>
      <c r="C57" s="12"/>
      <c r="D57" s="12"/>
      <c r="E57" s="2"/>
      <c r="F57" s="2"/>
      <c r="G57" s="2"/>
      <c r="H57" s="2"/>
      <c r="I57" s="2"/>
      <c r="J57" s="12"/>
      <c r="K57" s="12"/>
      <c r="L57" s="12"/>
      <c r="M57" s="12"/>
      <c r="N57" s="12"/>
      <c r="O57" s="12"/>
      <c r="P57" s="12"/>
      <c r="Q57" s="2"/>
      <c r="R57" s="2"/>
      <c r="S57" s="2"/>
      <c r="T57" s="2"/>
      <c r="U57" s="2"/>
      <c r="V57" s="2"/>
    </row>
    <row r="58" spans="1:22">
      <c r="A58" s="2"/>
      <c r="B58" s="2"/>
      <c r="C58" s="2"/>
      <c r="D58" s="2"/>
      <c r="E58" s="2"/>
      <c r="F58" s="2"/>
      <c r="G58" s="2"/>
      <c r="H58" s="2"/>
      <c r="I58" s="2"/>
      <c r="J58" s="12"/>
      <c r="K58" s="12"/>
      <c r="L58" s="12"/>
      <c r="M58" s="12"/>
      <c r="N58" s="12"/>
      <c r="O58" s="12"/>
      <c r="P58" s="12"/>
      <c r="Q58" s="2"/>
      <c r="R58" s="2"/>
      <c r="S58" s="2"/>
      <c r="T58" s="2"/>
      <c r="U58" s="2"/>
      <c r="V58" s="2"/>
    </row>
    <row r="59" spans="1:22">
      <c r="A59" s="2"/>
      <c r="B59" s="2"/>
      <c r="C59" s="2"/>
      <c r="D59" s="2"/>
      <c r="E59" s="2"/>
      <c r="F59" s="2"/>
      <c r="G59" s="2"/>
      <c r="H59" s="2"/>
      <c r="I59" s="2"/>
      <c r="J59" s="12"/>
      <c r="K59" s="12"/>
      <c r="L59" s="12"/>
      <c r="M59" s="12"/>
      <c r="N59" s="12"/>
      <c r="O59" s="12"/>
      <c r="P59" s="12"/>
      <c r="Q59" s="2"/>
      <c r="R59" s="2"/>
      <c r="S59" s="2"/>
      <c r="T59" s="2"/>
      <c r="U59" s="2"/>
      <c r="V59" s="2"/>
    </row>
    <row r="60" spans="1:22">
      <c r="A60" s="2"/>
      <c r="B60" s="2"/>
      <c r="C60" s="2"/>
      <c r="D60" s="2"/>
      <c r="E60" s="2"/>
      <c r="F60" s="2"/>
      <c r="G60" s="2"/>
      <c r="H60" s="2"/>
      <c r="I60" s="2"/>
      <c r="J60" s="12"/>
      <c r="K60" s="12"/>
      <c r="L60" s="12"/>
      <c r="M60" s="12"/>
      <c r="N60" s="12"/>
      <c r="O60" s="12"/>
      <c r="P60" s="12"/>
      <c r="Q60" s="2"/>
      <c r="R60" s="2"/>
      <c r="S60" s="2"/>
      <c r="T60" s="2"/>
      <c r="U60" s="2"/>
      <c r="V60" s="2"/>
    </row>
    <row r="61" spans="1:22">
      <c r="A61" s="2"/>
      <c r="B61" s="2"/>
      <c r="C61" s="2"/>
      <c r="D61" s="2"/>
      <c r="E61" s="2"/>
      <c r="F61" s="2"/>
      <c r="G61" s="2"/>
      <c r="H61" s="2"/>
      <c r="I61" s="2"/>
      <c r="J61" s="12"/>
      <c r="K61" s="12"/>
      <c r="L61" s="12"/>
      <c r="M61" s="12"/>
      <c r="N61" s="12"/>
      <c r="O61" s="12"/>
      <c r="P61" s="12"/>
      <c r="Q61" s="2"/>
      <c r="R61" s="2"/>
      <c r="S61" s="2"/>
      <c r="T61" s="2"/>
      <c r="U61" s="2"/>
      <c r="V61" s="2"/>
    </row>
    <row r="62" spans="1:22">
      <c r="A62" s="2"/>
      <c r="B62" s="2"/>
      <c r="C62" s="2"/>
      <c r="D62" s="2"/>
      <c r="E62" s="2"/>
      <c r="F62" s="2"/>
      <c r="G62" s="2"/>
      <c r="H62" s="2"/>
      <c r="I62" s="2"/>
      <c r="J62" s="12"/>
      <c r="K62" s="12"/>
      <c r="L62" s="12"/>
      <c r="M62" s="12"/>
      <c r="N62" s="12"/>
      <c r="O62" s="12"/>
      <c r="P62" s="12"/>
      <c r="Q62" s="2"/>
      <c r="R62" s="2"/>
      <c r="S62" s="2"/>
      <c r="T62" s="2"/>
      <c r="U62" s="2"/>
      <c r="V62" s="2"/>
    </row>
    <row r="63" spans="1:22">
      <c r="A63" s="2"/>
      <c r="B63" s="2"/>
      <c r="C63" s="2"/>
      <c r="D63" s="2"/>
      <c r="E63" s="2"/>
      <c r="F63" s="2"/>
      <c r="G63" s="2"/>
      <c r="H63" s="2"/>
      <c r="I63" s="2"/>
      <c r="J63" s="12"/>
      <c r="K63" s="12"/>
      <c r="L63" s="12"/>
      <c r="M63" s="12"/>
      <c r="N63" s="12"/>
      <c r="O63" s="12"/>
      <c r="P63" s="12"/>
      <c r="Q63" s="2"/>
      <c r="R63" s="2"/>
      <c r="S63" s="2"/>
      <c r="T63" s="2"/>
      <c r="U63" s="2"/>
      <c r="V63" s="2"/>
    </row>
    <row r="64" spans="1:22">
      <c r="A64" s="2"/>
      <c r="B64" s="2"/>
      <c r="C64" s="2"/>
      <c r="D64" s="2"/>
      <c r="E64" s="2"/>
      <c r="F64" s="2"/>
      <c r="G64" s="2"/>
      <c r="H64" s="2"/>
      <c r="I64" s="2"/>
      <c r="J64" s="12"/>
      <c r="K64" s="12"/>
      <c r="L64" s="12"/>
      <c r="M64" s="12"/>
      <c r="N64" s="12"/>
      <c r="O64" s="12"/>
      <c r="P64" s="12"/>
      <c r="Q64" s="2"/>
      <c r="R64" s="2"/>
      <c r="S64" s="2"/>
      <c r="T64" s="2"/>
      <c r="U64" s="2"/>
      <c r="V64" s="2"/>
    </row>
    <row r="65" spans="1:22">
      <c r="A65" s="2"/>
      <c r="B65" s="2"/>
      <c r="C65" s="2"/>
      <c r="D65" s="2"/>
      <c r="E65" s="2"/>
      <c r="F65" s="2"/>
      <c r="G65" s="2"/>
      <c r="H65" s="2"/>
      <c r="I65" s="2"/>
      <c r="J65" s="12"/>
      <c r="K65" s="12"/>
      <c r="L65" s="12"/>
      <c r="M65" s="12"/>
      <c r="N65" s="12"/>
      <c r="O65" s="12"/>
      <c r="P65" s="12"/>
      <c r="Q65" s="2"/>
      <c r="R65" s="2"/>
      <c r="S65" s="2"/>
      <c r="T65" s="2"/>
      <c r="U65" s="2"/>
      <c r="V65" s="2"/>
    </row>
    <row r="66" spans="1:22">
      <c r="A66" s="2"/>
      <c r="B66" s="2"/>
      <c r="C66" s="2"/>
      <c r="D66" s="2"/>
      <c r="E66" s="2"/>
      <c r="F66" s="2"/>
      <c r="G66" s="2"/>
      <c r="H66" s="2"/>
      <c r="I66" s="2"/>
      <c r="J66" s="12"/>
      <c r="K66" s="12"/>
      <c r="L66" s="12"/>
      <c r="M66" s="12"/>
      <c r="N66" s="12"/>
      <c r="O66" s="12"/>
      <c r="P66" s="12"/>
      <c r="Q66" s="2"/>
      <c r="R66" s="2"/>
      <c r="S66" s="2"/>
      <c r="T66" s="2"/>
      <c r="U66" s="2"/>
      <c r="V66" s="2"/>
    </row>
    <row r="67" spans="1:22">
      <c r="A67" s="2"/>
      <c r="B67" s="2"/>
      <c r="C67" s="2"/>
      <c r="D67" s="2"/>
      <c r="E67" s="2"/>
      <c r="F67" s="2"/>
      <c r="G67" s="2"/>
      <c r="H67" s="2"/>
      <c r="I67" s="2"/>
      <c r="J67" s="12"/>
      <c r="K67" s="12"/>
      <c r="L67" s="12"/>
      <c r="M67" s="12"/>
      <c r="N67" s="12"/>
      <c r="O67" s="12"/>
      <c r="P67" s="12"/>
      <c r="Q67" s="2"/>
      <c r="R67" s="2"/>
      <c r="S67" s="2"/>
      <c r="T67" s="2"/>
      <c r="U67" s="2"/>
      <c r="V67" s="2"/>
    </row>
    <row r="68" spans="1:22">
      <c r="A68" s="2"/>
      <c r="B68" s="2"/>
      <c r="C68" s="2"/>
      <c r="D68" s="2"/>
      <c r="E68" s="2"/>
      <c r="F68" s="2"/>
      <c r="G68" s="2"/>
      <c r="H68" s="2"/>
      <c r="I68" s="2"/>
      <c r="J68" s="12"/>
      <c r="K68" s="12"/>
      <c r="L68" s="12"/>
      <c r="M68" s="12"/>
      <c r="N68" s="12"/>
      <c r="O68" s="12"/>
      <c r="P68" s="12"/>
      <c r="Q68" s="2"/>
      <c r="R68" s="2"/>
      <c r="S68" s="2"/>
      <c r="T68" s="2"/>
      <c r="U68" s="2"/>
      <c r="V68" s="2"/>
    </row>
    <row r="69" spans="1:22">
      <c r="A69" s="2"/>
      <c r="B69" s="2"/>
      <c r="C69" s="2"/>
      <c r="D69" s="2"/>
      <c r="E69" s="2"/>
      <c r="F69" s="2"/>
      <c r="G69" s="2"/>
      <c r="H69" s="2"/>
      <c r="I69" s="2"/>
      <c r="J69" s="12"/>
      <c r="K69" s="12"/>
      <c r="L69" s="12"/>
      <c r="M69" s="12"/>
      <c r="N69" s="12"/>
      <c r="O69" s="12"/>
      <c r="P69" s="12"/>
      <c r="Q69" s="2"/>
      <c r="R69" s="2"/>
      <c r="S69" s="2"/>
      <c r="T69" s="2"/>
      <c r="U69" s="2"/>
      <c r="V69" s="2"/>
    </row>
    <row r="70" spans="1:22">
      <c r="A70" s="12"/>
      <c r="B70" s="12"/>
      <c r="C70" s="12"/>
      <c r="D70" s="12"/>
      <c r="E70" s="12"/>
      <c r="F70" s="12"/>
      <c r="G70" s="12"/>
      <c r="H70" s="12"/>
      <c r="I70" s="12"/>
      <c r="J70" s="12"/>
      <c r="K70" s="12"/>
      <c r="L70" s="12"/>
      <c r="M70" s="12"/>
      <c r="N70" s="12"/>
      <c r="O70" s="12"/>
      <c r="P70" s="12"/>
      <c r="Q70" s="12"/>
      <c r="R70" s="12"/>
      <c r="S70" s="12"/>
      <c r="T70" s="12"/>
      <c r="U70" s="12"/>
      <c r="V70" s="12"/>
    </row>
    <row r="71" spans="1:22" ht="10.199999999999999" customHeight="1">
      <c r="A71" s="12"/>
      <c r="B71" s="12"/>
      <c r="C71" s="12"/>
      <c r="D71" s="12"/>
      <c r="E71" s="12"/>
      <c r="F71" s="12"/>
      <c r="G71" s="12"/>
      <c r="H71" s="12"/>
      <c r="I71" s="12"/>
      <c r="J71" s="12"/>
      <c r="K71" s="12"/>
      <c r="L71" s="12"/>
      <c r="M71" s="12"/>
      <c r="N71" s="12"/>
      <c r="O71" s="12"/>
      <c r="P71" s="12"/>
      <c r="Q71" s="12"/>
      <c r="R71" s="12"/>
      <c r="S71" s="12"/>
      <c r="T71" s="12"/>
      <c r="U71" s="12"/>
      <c r="V71" s="12"/>
    </row>
    <row r="72" spans="1:22">
      <c r="A72" s="2"/>
      <c r="B72" s="2"/>
      <c r="C72" s="2"/>
      <c r="D72" s="2"/>
      <c r="E72" s="2"/>
      <c r="F72" s="2"/>
      <c r="G72" s="2"/>
      <c r="H72" s="2"/>
      <c r="I72" s="2"/>
      <c r="J72" s="2"/>
      <c r="K72" s="2"/>
      <c r="L72" s="2"/>
      <c r="M72" s="2"/>
      <c r="N72" s="12"/>
      <c r="O72" s="12"/>
      <c r="P72" s="12"/>
      <c r="Q72" s="2"/>
      <c r="R72" s="2"/>
      <c r="S72" s="2"/>
      <c r="T72" s="2"/>
      <c r="U72" s="2"/>
      <c r="V72" s="2"/>
    </row>
    <row r="73" spans="1:22">
      <c r="A73" s="2"/>
      <c r="B73" s="2"/>
      <c r="C73" s="2"/>
      <c r="D73" s="2"/>
      <c r="E73" s="2"/>
      <c r="F73" s="2"/>
      <c r="G73" s="2"/>
      <c r="H73" s="2"/>
      <c r="I73" s="2"/>
      <c r="J73" s="2"/>
      <c r="K73" s="12"/>
      <c r="L73" s="12"/>
      <c r="M73" s="12"/>
      <c r="N73" s="12"/>
      <c r="O73" s="12"/>
      <c r="P73" s="12"/>
      <c r="Q73" s="12"/>
      <c r="R73" s="12"/>
      <c r="S73" s="12"/>
      <c r="T73" s="12"/>
      <c r="U73" s="12"/>
      <c r="V73" s="12"/>
    </row>
    <row r="74" spans="1:22">
      <c r="A74" s="2"/>
      <c r="B74" s="12"/>
      <c r="C74" s="12"/>
      <c r="D74" s="12"/>
      <c r="E74" s="12"/>
      <c r="F74" s="12"/>
      <c r="G74" s="12"/>
      <c r="H74" s="12"/>
      <c r="I74" s="2"/>
      <c r="J74" s="2"/>
      <c r="K74" s="12"/>
      <c r="L74" s="12"/>
      <c r="M74" s="12"/>
      <c r="N74" s="12"/>
      <c r="O74" s="12"/>
      <c r="P74" s="12"/>
      <c r="Q74" s="12"/>
      <c r="R74" s="12"/>
      <c r="S74" s="12"/>
      <c r="T74" s="12"/>
      <c r="U74" s="12"/>
      <c r="V74" s="12"/>
    </row>
    <row r="75" spans="1:22">
      <c r="A75" s="2"/>
      <c r="B75" s="12"/>
      <c r="C75" s="12"/>
      <c r="D75" s="12"/>
      <c r="E75" s="12"/>
      <c r="F75" s="12"/>
      <c r="G75" s="12"/>
      <c r="H75" s="12"/>
      <c r="I75" s="2"/>
      <c r="J75" s="2"/>
      <c r="K75" s="12"/>
      <c r="L75" s="12"/>
      <c r="M75" s="12"/>
      <c r="N75" s="12"/>
      <c r="O75" s="12"/>
      <c r="P75" s="12"/>
      <c r="Q75" s="12"/>
      <c r="R75" s="12"/>
      <c r="S75" s="12"/>
      <c r="T75" s="12"/>
      <c r="U75" s="12"/>
      <c r="V75" s="12"/>
    </row>
    <row r="76" spans="1:22" ht="5.4" customHeight="1">
      <c r="A76" s="15"/>
      <c r="B76" s="15"/>
      <c r="C76" s="15"/>
      <c r="D76" s="15"/>
      <c r="E76" s="15"/>
      <c r="F76" s="15"/>
      <c r="G76" s="15"/>
      <c r="H76" s="15"/>
      <c r="I76" s="15"/>
      <c r="J76" s="15"/>
      <c r="K76" s="15"/>
      <c r="L76" s="15"/>
      <c r="M76" s="15"/>
      <c r="N76" s="15"/>
      <c r="O76" s="15"/>
      <c r="P76" s="15"/>
      <c r="Q76" s="15"/>
      <c r="R76" s="15"/>
      <c r="S76" s="15"/>
      <c r="T76" s="15"/>
      <c r="U76" s="15"/>
      <c r="V76" s="15"/>
    </row>
    <row r="77" spans="1:22">
      <c r="A77" s="12"/>
      <c r="B77" s="12"/>
      <c r="C77" s="12"/>
      <c r="D77" s="12"/>
      <c r="E77" s="12"/>
      <c r="F77" s="12"/>
      <c r="G77" s="12"/>
      <c r="H77" s="12"/>
      <c r="I77" s="2"/>
      <c r="J77" s="2"/>
      <c r="K77" s="12"/>
      <c r="L77" s="12"/>
      <c r="M77" s="12"/>
      <c r="N77" s="12"/>
      <c r="O77" s="12"/>
      <c r="P77" s="12"/>
      <c r="Q77" s="12"/>
      <c r="R77" s="12"/>
      <c r="S77" s="12"/>
      <c r="T77" s="12"/>
      <c r="U77" s="12"/>
      <c r="V77" s="12"/>
    </row>
    <row r="78" spans="1:22">
      <c r="A78" s="12"/>
      <c r="B78" s="12"/>
      <c r="C78" s="12"/>
      <c r="D78" s="12"/>
      <c r="E78" s="12"/>
      <c r="F78" s="12"/>
      <c r="G78" s="12"/>
      <c r="H78" s="12"/>
      <c r="I78" s="2"/>
      <c r="J78" s="2"/>
      <c r="K78" s="12"/>
      <c r="L78" s="12"/>
      <c r="M78" s="12"/>
      <c r="N78" s="12"/>
      <c r="O78" s="12"/>
      <c r="P78" s="12"/>
      <c r="Q78" s="12"/>
      <c r="R78" s="12"/>
      <c r="S78" s="12"/>
      <c r="T78" s="12"/>
      <c r="U78" s="12"/>
      <c r="V78" s="12"/>
    </row>
    <row r="79" spans="1:22">
      <c r="A79" s="12"/>
      <c r="B79" s="12"/>
      <c r="C79" s="12"/>
      <c r="D79" s="12"/>
      <c r="E79" s="12"/>
      <c r="F79" s="12"/>
      <c r="G79" s="12"/>
      <c r="H79" s="12"/>
      <c r="I79" s="2"/>
      <c r="J79" s="2"/>
      <c r="K79" s="12"/>
      <c r="L79" s="12"/>
      <c r="M79" s="12"/>
      <c r="N79" s="12"/>
      <c r="O79" s="12"/>
      <c r="P79" s="12"/>
      <c r="Q79" s="12"/>
      <c r="R79" s="12"/>
      <c r="S79" s="12"/>
      <c r="T79" s="12"/>
      <c r="U79" s="12"/>
      <c r="V79" s="12"/>
    </row>
    <row r="80" spans="1:22">
      <c r="A80" s="12"/>
      <c r="B80" s="12"/>
      <c r="C80" s="12"/>
      <c r="D80" s="12"/>
      <c r="E80" s="12"/>
      <c r="F80" s="12"/>
      <c r="G80" s="12"/>
      <c r="H80" s="12"/>
      <c r="I80" s="2"/>
      <c r="J80" s="2"/>
      <c r="K80" s="12"/>
      <c r="L80" s="12"/>
      <c r="M80" s="12"/>
      <c r="N80" s="12"/>
      <c r="O80" s="12"/>
      <c r="P80" s="12"/>
      <c r="Q80" s="12"/>
      <c r="R80" s="12"/>
      <c r="S80" s="12"/>
      <c r="T80" s="12"/>
      <c r="U80" s="12"/>
      <c r="V80" s="12"/>
    </row>
    <row r="81" spans="1:22">
      <c r="A81" s="12"/>
      <c r="B81" s="12"/>
      <c r="C81" s="12"/>
      <c r="D81" s="12"/>
      <c r="E81" s="12"/>
      <c r="F81" s="12"/>
      <c r="G81" s="12"/>
      <c r="H81" s="12"/>
      <c r="I81" s="2"/>
      <c r="J81" s="12"/>
      <c r="K81" s="12"/>
      <c r="L81" s="12"/>
      <c r="M81" s="12"/>
      <c r="N81" s="12"/>
      <c r="O81" s="12"/>
      <c r="P81" s="12"/>
      <c r="Q81" s="12"/>
      <c r="R81" s="12"/>
      <c r="S81" s="12"/>
      <c r="T81" s="12"/>
      <c r="U81" s="12"/>
      <c r="V81" s="12"/>
    </row>
    <row r="82" spans="1:22">
      <c r="A82" s="12"/>
      <c r="B82" s="12"/>
      <c r="C82" s="12"/>
      <c r="D82" s="12"/>
      <c r="E82" s="12"/>
      <c r="F82" s="12"/>
      <c r="G82" s="12"/>
      <c r="H82" s="12"/>
      <c r="I82" s="2"/>
      <c r="J82" s="12"/>
      <c r="K82" s="12"/>
      <c r="L82" s="12"/>
      <c r="M82" s="12"/>
      <c r="N82" s="12"/>
      <c r="O82" s="12"/>
      <c r="P82" s="12"/>
      <c r="Q82" s="12"/>
      <c r="R82" s="12"/>
      <c r="S82" s="12"/>
      <c r="T82" s="12"/>
      <c r="U82" s="12"/>
      <c r="V82" s="12"/>
    </row>
    <row r="83" spans="1:22">
      <c r="A83" s="12"/>
      <c r="B83" s="12"/>
      <c r="C83" s="12"/>
      <c r="D83" s="12"/>
      <c r="E83" s="12"/>
      <c r="F83" s="12"/>
      <c r="G83" s="12"/>
      <c r="H83" s="12"/>
      <c r="I83" s="2"/>
      <c r="J83" s="12"/>
      <c r="K83" s="12"/>
      <c r="L83" s="12"/>
      <c r="M83" s="12"/>
      <c r="N83" s="12"/>
      <c r="O83" s="12"/>
      <c r="P83" s="12"/>
      <c r="Q83" s="12"/>
      <c r="R83" s="12"/>
      <c r="S83" s="12"/>
      <c r="T83" s="12"/>
      <c r="U83" s="12"/>
      <c r="V83" s="12"/>
    </row>
    <row r="84" spans="1:22">
      <c r="A84" s="12"/>
      <c r="B84" s="12"/>
      <c r="C84" s="12"/>
      <c r="D84" s="12"/>
      <c r="E84" s="12"/>
      <c r="F84" s="12"/>
      <c r="G84" s="12"/>
      <c r="H84" s="12"/>
      <c r="I84" s="2"/>
      <c r="J84" s="12"/>
      <c r="K84" s="12"/>
      <c r="L84" s="12"/>
      <c r="M84" s="12"/>
      <c r="N84" s="12"/>
      <c r="O84" s="12"/>
      <c r="P84" s="12"/>
      <c r="Q84" s="12"/>
      <c r="R84" s="12"/>
      <c r="S84" s="12"/>
      <c r="T84" s="12"/>
      <c r="U84" s="12"/>
      <c r="V84" s="12"/>
    </row>
    <row r="85" spans="1:22">
      <c r="A85" s="12"/>
      <c r="B85" s="12"/>
      <c r="C85" s="12"/>
      <c r="D85" s="12"/>
      <c r="E85" s="12"/>
      <c r="F85" s="12"/>
      <c r="G85" s="12"/>
      <c r="H85" s="12"/>
      <c r="I85" s="2"/>
      <c r="J85" s="12"/>
      <c r="K85" s="12"/>
      <c r="L85" s="12"/>
      <c r="M85" s="12"/>
      <c r="N85" s="12"/>
      <c r="O85" s="12"/>
      <c r="P85" s="12"/>
      <c r="Q85" s="12"/>
      <c r="R85" s="12"/>
      <c r="S85" s="12"/>
      <c r="T85" s="12"/>
      <c r="U85" s="12"/>
      <c r="V85" s="12"/>
    </row>
    <row r="86" spans="1:22">
      <c r="A86" s="12"/>
      <c r="B86" s="12"/>
      <c r="C86" s="12"/>
      <c r="D86" s="12"/>
      <c r="E86" s="12"/>
      <c r="F86" s="12"/>
      <c r="G86" s="12"/>
      <c r="H86" s="12"/>
      <c r="I86" s="2"/>
      <c r="J86" s="12"/>
      <c r="K86" s="12"/>
      <c r="L86" s="12"/>
      <c r="M86" s="12"/>
      <c r="N86" s="12"/>
      <c r="O86" s="12"/>
      <c r="P86" s="12"/>
      <c r="Q86" s="12"/>
      <c r="R86" s="12"/>
      <c r="S86" s="12"/>
      <c r="T86" s="12"/>
      <c r="U86" s="12"/>
      <c r="V86" s="12"/>
    </row>
    <row r="87" spans="1:22">
      <c r="A87" s="12"/>
      <c r="B87" s="12"/>
      <c r="C87" s="12"/>
      <c r="D87" s="12"/>
      <c r="E87" s="12"/>
      <c r="F87" s="12"/>
      <c r="G87" s="12"/>
      <c r="H87" s="12"/>
      <c r="I87" s="2"/>
      <c r="J87" s="12"/>
      <c r="K87" s="12"/>
      <c r="L87" s="12"/>
      <c r="M87" s="12"/>
      <c r="N87" s="12"/>
      <c r="O87" s="12"/>
      <c r="P87" s="12"/>
      <c r="Q87" s="12"/>
      <c r="R87" s="12"/>
      <c r="S87" s="12"/>
      <c r="T87" s="12"/>
      <c r="U87" s="12"/>
      <c r="V87" s="12"/>
    </row>
    <row r="88" spans="1:22">
      <c r="A88" s="12"/>
      <c r="B88" s="12"/>
      <c r="C88" s="12"/>
      <c r="D88" s="12"/>
      <c r="E88" s="12"/>
      <c r="F88" s="12"/>
      <c r="G88" s="12"/>
      <c r="H88" s="12"/>
      <c r="I88" s="2"/>
      <c r="J88" s="12"/>
      <c r="K88" s="12"/>
      <c r="L88" s="12"/>
      <c r="M88" s="12"/>
      <c r="N88" s="12"/>
      <c r="O88" s="12"/>
      <c r="P88" s="12"/>
      <c r="Q88" s="12"/>
      <c r="R88" s="12"/>
      <c r="S88" s="12"/>
      <c r="T88" s="12"/>
      <c r="U88" s="12"/>
      <c r="V88" s="12"/>
    </row>
    <row r="89" spans="1:22" ht="13.2" customHeight="1">
      <c r="A89" s="12"/>
      <c r="B89" s="12"/>
      <c r="C89" s="12"/>
      <c r="D89" s="12"/>
      <c r="E89" s="12"/>
      <c r="F89" s="12"/>
      <c r="G89" s="12"/>
      <c r="H89" s="12"/>
      <c r="I89" s="2"/>
      <c r="J89" s="12"/>
      <c r="K89" s="12"/>
      <c r="L89" s="12"/>
      <c r="M89" s="12"/>
      <c r="N89" s="12"/>
      <c r="O89" s="12"/>
      <c r="P89" s="12"/>
      <c r="Q89" s="12"/>
      <c r="R89" s="12"/>
      <c r="S89" s="12"/>
      <c r="T89" s="12"/>
      <c r="U89" s="12"/>
      <c r="V89" s="12"/>
    </row>
    <row r="90" spans="1:22">
      <c r="A90" s="12"/>
      <c r="B90" s="12"/>
      <c r="C90" s="12"/>
      <c r="D90" s="12"/>
      <c r="E90" s="12"/>
      <c r="F90" s="12"/>
      <c r="G90" s="12"/>
      <c r="H90" s="12"/>
      <c r="I90" s="2"/>
      <c r="J90" s="12"/>
      <c r="K90" s="12"/>
      <c r="L90" s="12"/>
      <c r="M90" s="12"/>
      <c r="N90" s="12"/>
      <c r="O90" s="12"/>
      <c r="P90" s="12"/>
      <c r="Q90" s="12"/>
      <c r="R90" s="12"/>
      <c r="S90" s="12"/>
      <c r="T90" s="12"/>
      <c r="U90" s="12"/>
      <c r="V90" s="12"/>
    </row>
    <row r="91" spans="1:22">
      <c r="A91" s="12"/>
      <c r="B91" s="12"/>
      <c r="C91" s="12"/>
      <c r="D91" s="12"/>
      <c r="E91" s="12"/>
      <c r="F91" s="12"/>
      <c r="G91" s="12"/>
      <c r="H91" s="12"/>
      <c r="I91" s="12"/>
      <c r="J91" s="12"/>
      <c r="K91" s="12"/>
      <c r="L91" s="12"/>
      <c r="M91" s="12"/>
      <c r="N91" s="12"/>
      <c r="O91" s="12"/>
      <c r="P91" s="12"/>
      <c r="Q91" s="12"/>
      <c r="R91" s="12"/>
      <c r="S91" s="12"/>
      <c r="T91" s="12"/>
      <c r="U91" s="12"/>
      <c r="V91" s="12"/>
    </row>
    <row r="92" spans="1:22">
      <c r="A92" s="12"/>
      <c r="B92" s="12"/>
      <c r="C92" s="12"/>
      <c r="D92" s="12"/>
      <c r="E92" s="12"/>
      <c r="F92" s="12"/>
      <c r="G92" s="12"/>
      <c r="H92" s="12"/>
      <c r="I92" s="12"/>
      <c r="J92" s="12"/>
      <c r="K92" s="12"/>
      <c r="L92" s="12"/>
      <c r="M92" s="12"/>
      <c r="N92" s="12"/>
      <c r="O92" s="12"/>
      <c r="P92" s="12"/>
      <c r="Q92" s="12"/>
      <c r="R92" s="12"/>
      <c r="S92" s="12"/>
      <c r="T92" s="12"/>
      <c r="U92" s="12"/>
      <c r="V92" s="12"/>
    </row>
    <row r="93" spans="1:22" ht="25.8">
      <c r="A93" s="12"/>
      <c r="B93" s="30" t="s">
        <v>73</v>
      </c>
      <c r="C93" s="27" t="s">
        <v>72</v>
      </c>
      <c r="D93" s="27"/>
      <c r="E93" s="27"/>
      <c r="F93" s="27"/>
      <c r="G93" s="12"/>
      <c r="H93" s="12"/>
      <c r="I93" s="12"/>
      <c r="J93" s="12"/>
      <c r="K93" s="12"/>
      <c r="L93" s="12"/>
      <c r="M93" s="12"/>
      <c r="N93" s="12"/>
      <c r="O93" s="12"/>
      <c r="P93" s="12"/>
      <c r="Q93" s="12"/>
      <c r="R93" s="12"/>
      <c r="S93" s="12"/>
      <c r="T93" s="12"/>
      <c r="U93" s="12"/>
      <c r="V93" s="12"/>
    </row>
    <row r="94" spans="1:22" ht="25.8">
      <c r="A94" s="12"/>
      <c r="B94" s="30" t="s">
        <v>24</v>
      </c>
      <c r="C94" s="30" t="s">
        <v>22</v>
      </c>
      <c r="D94" s="30" t="s">
        <v>70</v>
      </c>
      <c r="E94" s="27" t="s">
        <v>71</v>
      </c>
      <c r="F94" s="27" t="s">
        <v>28</v>
      </c>
      <c r="G94" s="12"/>
      <c r="H94" s="12"/>
      <c r="I94" s="12"/>
      <c r="J94" s="12"/>
      <c r="K94" s="12"/>
      <c r="L94" s="12"/>
      <c r="M94" s="12"/>
      <c r="N94" s="12"/>
      <c r="O94" s="12"/>
      <c r="P94" s="12"/>
      <c r="Q94" s="12"/>
      <c r="R94" s="12"/>
      <c r="S94" s="12"/>
      <c r="T94" s="12"/>
      <c r="U94" s="12"/>
      <c r="V94" s="12"/>
    </row>
    <row r="95" spans="1:22" ht="25.8">
      <c r="A95" s="12"/>
      <c r="B95" s="25" t="s">
        <v>34</v>
      </c>
      <c r="C95" s="23">
        <v>11</v>
      </c>
      <c r="D95" s="22">
        <v>26</v>
      </c>
      <c r="E95" s="24">
        <v>15</v>
      </c>
      <c r="F95" s="29">
        <v>52</v>
      </c>
      <c r="G95" s="12"/>
      <c r="H95" s="12"/>
      <c r="I95" s="12"/>
      <c r="J95" s="12"/>
      <c r="K95" s="12"/>
      <c r="L95" s="12"/>
      <c r="M95" s="12"/>
      <c r="N95" s="12"/>
      <c r="O95" s="12"/>
      <c r="P95" s="12"/>
      <c r="Q95" s="12"/>
      <c r="R95" s="12"/>
      <c r="S95" s="12"/>
      <c r="T95" s="12"/>
      <c r="U95" s="12"/>
      <c r="V95" s="12"/>
    </row>
    <row r="96" spans="1:22" ht="25.8">
      <c r="A96" s="12"/>
      <c r="B96" s="26" t="s">
        <v>11</v>
      </c>
      <c r="C96" s="23">
        <v>11</v>
      </c>
      <c r="D96" s="22">
        <v>26</v>
      </c>
      <c r="E96" s="24">
        <v>15</v>
      </c>
      <c r="F96" s="29">
        <v>52</v>
      </c>
      <c r="G96" s="12"/>
      <c r="H96" s="12"/>
      <c r="I96" s="12"/>
      <c r="J96" s="12"/>
      <c r="K96" s="12"/>
      <c r="L96" s="12"/>
      <c r="M96" s="12"/>
      <c r="N96" s="12"/>
      <c r="O96" s="12"/>
      <c r="P96" s="12"/>
      <c r="Q96" s="12"/>
      <c r="R96" s="12"/>
      <c r="S96" s="12"/>
      <c r="T96" s="12"/>
      <c r="U96" s="12"/>
      <c r="V96" s="12"/>
    </row>
    <row r="97" spans="1:22" ht="25.8">
      <c r="A97" s="12"/>
      <c r="B97" s="25" t="s">
        <v>33</v>
      </c>
      <c r="C97" s="23">
        <v>20</v>
      </c>
      <c r="D97" s="22">
        <v>35</v>
      </c>
      <c r="E97" s="24">
        <v>7</v>
      </c>
      <c r="F97" s="29">
        <v>62</v>
      </c>
      <c r="G97" s="12"/>
      <c r="H97" s="12"/>
      <c r="I97" s="12"/>
      <c r="J97" s="12"/>
      <c r="K97" s="12"/>
      <c r="L97" s="12"/>
      <c r="M97" s="12"/>
      <c r="N97" s="12"/>
      <c r="O97" s="12"/>
      <c r="P97" s="12"/>
      <c r="Q97" s="12"/>
      <c r="R97" s="12"/>
      <c r="S97" s="12"/>
      <c r="T97" s="12"/>
      <c r="U97" s="12"/>
      <c r="V97" s="12"/>
    </row>
    <row r="98" spans="1:22" ht="25.8">
      <c r="A98" s="12"/>
      <c r="B98" s="26" t="s">
        <v>8</v>
      </c>
      <c r="C98" s="23">
        <v>20</v>
      </c>
      <c r="D98" s="22">
        <v>35</v>
      </c>
      <c r="E98" s="24">
        <v>7</v>
      </c>
      <c r="F98" s="29">
        <v>62</v>
      </c>
      <c r="G98" s="12"/>
      <c r="H98" s="12"/>
      <c r="I98" s="12"/>
      <c r="J98" s="12"/>
      <c r="K98" s="12"/>
      <c r="L98" s="12"/>
      <c r="M98" s="12"/>
      <c r="N98" s="12"/>
      <c r="O98" s="12"/>
      <c r="P98" s="12"/>
      <c r="Q98" s="12"/>
      <c r="R98" s="12"/>
      <c r="S98" s="12"/>
      <c r="T98" s="12"/>
      <c r="U98" s="12"/>
      <c r="V98" s="12"/>
    </row>
    <row r="99" spans="1:22" ht="25.8">
      <c r="A99" s="12"/>
      <c r="B99" s="25" t="s">
        <v>35</v>
      </c>
      <c r="C99" s="23">
        <v>36</v>
      </c>
      <c r="D99" s="22">
        <v>29</v>
      </c>
      <c r="E99" s="24">
        <v>10</v>
      </c>
      <c r="F99" s="29">
        <v>75</v>
      </c>
      <c r="G99" s="12"/>
      <c r="H99" s="12"/>
      <c r="I99" s="12"/>
      <c r="J99" s="12"/>
      <c r="K99" s="12"/>
      <c r="L99" s="12"/>
      <c r="M99" s="12"/>
      <c r="N99" s="12"/>
      <c r="O99" s="12"/>
      <c r="P99" s="12"/>
      <c r="Q99" s="12"/>
      <c r="R99" s="12"/>
      <c r="S99" s="12"/>
      <c r="T99" s="12"/>
      <c r="U99" s="12"/>
      <c r="V99" s="12"/>
    </row>
    <row r="100" spans="1:22" ht="25.8">
      <c r="A100" s="12"/>
      <c r="B100" s="26" t="s">
        <v>8</v>
      </c>
      <c r="C100" s="23">
        <v>36</v>
      </c>
      <c r="D100" s="22">
        <v>29</v>
      </c>
      <c r="E100" s="24">
        <v>10</v>
      </c>
      <c r="F100" s="29">
        <v>75</v>
      </c>
      <c r="G100" s="12"/>
      <c r="H100" s="12"/>
      <c r="I100" s="12"/>
      <c r="J100" s="12"/>
      <c r="K100" s="12"/>
      <c r="L100" s="12"/>
      <c r="M100" s="12"/>
      <c r="N100" s="12"/>
      <c r="O100" s="12"/>
      <c r="P100" s="12"/>
      <c r="Q100" s="12"/>
      <c r="R100" s="12"/>
      <c r="S100" s="12"/>
      <c r="T100" s="12"/>
      <c r="U100" s="12"/>
      <c r="V100" s="12"/>
    </row>
    <row r="101" spans="1:22" ht="25.8">
      <c r="A101" s="12"/>
      <c r="B101" s="28" t="s">
        <v>28</v>
      </c>
      <c r="C101" s="29">
        <v>67</v>
      </c>
      <c r="D101" s="29">
        <v>90</v>
      </c>
      <c r="E101" s="29">
        <v>32</v>
      </c>
      <c r="F101" s="29">
        <v>189</v>
      </c>
      <c r="G101" s="12"/>
      <c r="H101" s="12"/>
      <c r="I101" s="12"/>
      <c r="J101" s="12"/>
      <c r="K101" s="12"/>
      <c r="L101" s="12"/>
      <c r="M101" s="12"/>
      <c r="N101" s="12"/>
      <c r="O101" s="12"/>
      <c r="P101" s="12"/>
      <c r="Q101" s="12"/>
      <c r="R101" s="12"/>
      <c r="S101" s="12"/>
      <c r="T101" s="12"/>
      <c r="U101" s="12"/>
      <c r="V101" s="12"/>
    </row>
    <row r="102" spans="1:22">
      <c r="A102" s="12"/>
      <c r="B102" s="12"/>
      <c r="C102" s="12"/>
      <c r="D102" s="12"/>
      <c r="E102" s="12"/>
      <c r="F102" s="12"/>
      <c r="G102" s="12"/>
      <c r="H102" s="12"/>
      <c r="I102" s="12"/>
      <c r="J102" s="12"/>
      <c r="K102" s="12"/>
      <c r="L102" s="12"/>
      <c r="M102" s="12"/>
      <c r="N102" s="12"/>
      <c r="O102" s="12"/>
      <c r="P102" s="12"/>
      <c r="Q102" s="12"/>
      <c r="R102" s="12"/>
      <c r="S102" s="12"/>
      <c r="T102" s="12"/>
      <c r="U102" s="12"/>
      <c r="V102" s="12"/>
    </row>
    <row r="103" spans="1:22">
      <c r="A103" s="12"/>
      <c r="B103" s="12"/>
      <c r="C103" s="12"/>
      <c r="D103" s="12"/>
      <c r="E103" s="12"/>
      <c r="F103" s="12"/>
      <c r="G103" s="12"/>
      <c r="H103" s="12"/>
      <c r="I103" s="12"/>
      <c r="J103" s="12"/>
      <c r="K103" s="12"/>
      <c r="L103" s="12"/>
      <c r="M103" s="12"/>
      <c r="N103" s="12"/>
      <c r="O103" s="12"/>
      <c r="P103" s="12"/>
      <c r="Q103" s="12"/>
      <c r="R103" s="12"/>
      <c r="S103" s="12"/>
      <c r="T103" s="12"/>
      <c r="U103" s="12"/>
      <c r="V103" s="12"/>
    </row>
    <row r="104" spans="1:22">
      <c r="A104" s="12"/>
      <c r="B104" s="12"/>
      <c r="C104" s="12"/>
      <c r="D104" s="12"/>
      <c r="E104" s="12"/>
      <c r="F104" s="12"/>
      <c r="G104" s="12"/>
      <c r="H104" s="12"/>
      <c r="I104" s="12"/>
      <c r="J104" s="12"/>
      <c r="K104" s="12"/>
      <c r="L104" s="12"/>
      <c r="M104" s="12"/>
      <c r="N104" s="12"/>
      <c r="O104" s="12"/>
      <c r="P104" s="12"/>
      <c r="Q104" s="12"/>
      <c r="R104" s="12"/>
      <c r="S104" s="12"/>
      <c r="T104" s="12"/>
      <c r="U104" s="12"/>
      <c r="V104" s="12"/>
    </row>
    <row r="105" spans="1:22">
      <c r="A105" s="12"/>
      <c r="B105" s="12"/>
      <c r="C105" s="12"/>
      <c r="D105" s="12"/>
      <c r="E105" s="12"/>
      <c r="F105" s="12"/>
      <c r="G105" s="12"/>
      <c r="H105" s="12"/>
      <c r="I105" s="12"/>
      <c r="J105" s="12"/>
      <c r="K105" s="12"/>
      <c r="L105" s="12"/>
      <c r="M105" s="12"/>
      <c r="N105" s="12"/>
      <c r="O105" s="12"/>
      <c r="P105" s="12"/>
      <c r="Q105" s="12"/>
      <c r="R105" s="12"/>
      <c r="S105" s="12"/>
      <c r="T105" s="12"/>
      <c r="U105" s="12"/>
      <c r="V105" s="12"/>
    </row>
    <row r="106" spans="1:22">
      <c r="A106" s="12"/>
      <c r="B106" s="12"/>
      <c r="C106" s="12"/>
      <c r="D106" s="12"/>
      <c r="E106" s="12"/>
      <c r="F106" s="12"/>
      <c r="G106" s="12"/>
      <c r="H106" s="12"/>
      <c r="I106" s="12"/>
      <c r="J106" s="12"/>
      <c r="K106" s="12"/>
      <c r="L106" s="12"/>
      <c r="M106" s="12"/>
      <c r="N106" s="12"/>
      <c r="O106" s="12"/>
      <c r="P106" s="12"/>
      <c r="Q106" s="12"/>
      <c r="R106" s="12"/>
      <c r="S106" s="12"/>
      <c r="T106" s="12"/>
      <c r="U106" s="12"/>
      <c r="V106" s="12"/>
    </row>
    <row r="107" spans="1:22">
      <c r="A107" s="12"/>
      <c r="B107" s="12"/>
      <c r="C107" s="12"/>
      <c r="D107" s="12"/>
      <c r="E107" s="12"/>
      <c r="F107" s="12"/>
      <c r="G107" s="12"/>
      <c r="H107" s="12"/>
      <c r="I107" s="12"/>
      <c r="J107" s="12"/>
      <c r="K107" s="12"/>
      <c r="L107" s="12"/>
      <c r="M107" s="12"/>
      <c r="N107" s="12"/>
      <c r="O107" s="12"/>
      <c r="P107" s="12"/>
      <c r="Q107" s="12"/>
      <c r="R107" s="12"/>
      <c r="S107" s="12"/>
      <c r="T107" s="12"/>
      <c r="U107" s="12"/>
      <c r="V107" s="12"/>
    </row>
    <row r="108" spans="1:22">
      <c r="A108" s="12"/>
      <c r="B108" s="12"/>
      <c r="C108" s="12"/>
      <c r="D108" s="12"/>
      <c r="E108" s="12"/>
      <c r="F108" s="12"/>
      <c r="G108" s="12"/>
      <c r="H108" s="12"/>
      <c r="I108" s="12"/>
      <c r="J108" s="12"/>
      <c r="K108" s="12"/>
      <c r="L108" s="12"/>
      <c r="M108" s="12"/>
      <c r="N108" s="12"/>
      <c r="O108" s="12"/>
      <c r="P108" s="12"/>
      <c r="Q108" s="12"/>
      <c r="R108" s="12"/>
      <c r="S108" s="12"/>
      <c r="T108" s="12"/>
      <c r="U108" s="12"/>
      <c r="V108" s="12"/>
    </row>
    <row r="109" spans="1:22">
      <c r="A109" s="12"/>
      <c r="B109" s="12"/>
      <c r="C109" s="12"/>
      <c r="D109" s="12"/>
      <c r="E109" s="12"/>
      <c r="F109" s="12"/>
      <c r="G109" s="12"/>
      <c r="H109" s="12"/>
      <c r="I109" s="12"/>
      <c r="J109" s="12"/>
      <c r="K109" s="12"/>
      <c r="L109" s="12"/>
      <c r="M109" s="12"/>
      <c r="N109" s="12"/>
      <c r="O109" s="12"/>
      <c r="P109" s="12"/>
      <c r="Q109" s="12"/>
      <c r="R109" s="12"/>
      <c r="S109" s="12"/>
      <c r="T109" s="12"/>
      <c r="U109" s="12"/>
      <c r="V109" s="12"/>
    </row>
    <row r="110" spans="1:22">
      <c r="A110" s="12"/>
      <c r="B110" s="12"/>
      <c r="C110" s="12"/>
      <c r="D110" s="12"/>
      <c r="E110" s="12"/>
      <c r="F110" s="12"/>
      <c r="G110" s="12"/>
      <c r="H110" s="12"/>
      <c r="I110" s="12"/>
      <c r="J110" s="12"/>
      <c r="K110" s="12"/>
      <c r="L110" s="12"/>
      <c r="M110" s="12"/>
      <c r="N110" s="12"/>
      <c r="O110" s="12"/>
      <c r="P110" s="12"/>
      <c r="Q110" s="12"/>
      <c r="R110" s="12"/>
      <c r="S110" s="12"/>
      <c r="T110" s="12"/>
      <c r="U110" s="12"/>
      <c r="V110" s="12"/>
    </row>
    <row r="111" spans="1:22">
      <c r="A111" s="12"/>
      <c r="B111" s="12"/>
      <c r="C111" s="12"/>
      <c r="D111" s="12"/>
      <c r="E111" s="12"/>
      <c r="F111" s="12"/>
      <c r="G111" s="12"/>
      <c r="H111" s="12"/>
      <c r="I111" s="12"/>
      <c r="J111" s="12"/>
      <c r="K111" s="12"/>
      <c r="L111" s="12"/>
      <c r="M111" s="12"/>
      <c r="N111" s="12"/>
      <c r="O111" s="12"/>
      <c r="P111" s="12"/>
      <c r="Q111" s="12"/>
      <c r="R111" s="12"/>
      <c r="S111" s="12"/>
      <c r="T111" s="12"/>
      <c r="U111" s="12"/>
      <c r="V111" s="12"/>
    </row>
    <row r="112" spans="1:22">
      <c r="A112" s="12"/>
      <c r="B112" s="12"/>
      <c r="C112" s="12"/>
      <c r="D112" s="12"/>
      <c r="E112" s="12"/>
      <c r="F112" s="12"/>
      <c r="G112" s="12"/>
      <c r="H112" s="12"/>
      <c r="I112" s="12"/>
      <c r="J112" s="12"/>
      <c r="K112" s="12"/>
      <c r="L112" s="12"/>
      <c r="M112" s="12"/>
      <c r="N112" s="12"/>
      <c r="O112" s="12"/>
      <c r="P112" s="12"/>
      <c r="Q112" s="12"/>
      <c r="R112" s="12"/>
      <c r="S112" s="12"/>
      <c r="T112" s="12"/>
      <c r="U112" s="12"/>
      <c r="V112" s="12"/>
    </row>
    <row r="113" spans="1:22">
      <c r="A113" s="12"/>
      <c r="B113" s="12"/>
      <c r="C113" s="12"/>
      <c r="D113" s="12"/>
      <c r="E113" s="12"/>
      <c r="F113" s="12"/>
      <c r="G113" s="12"/>
      <c r="H113" s="12"/>
      <c r="I113" s="12"/>
      <c r="J113" s="12"/>
      <c r="K113" s="12"/>
      <c r="L113" s="12"/>
      <c r="M113" s="12"/>
      <c r="N113" s="12"/>
      <c r="O113" s="12"/>
      <c r="P113" s="12"/>
      <c r="Q113" s="12"/>
      <c r="R113" s="12"/>
      <c r="S113" s="12"/>
      <c r="T113" s="12"/>
      <c r="U113" s="12"/>
      <c r="V113" s="12"/>
    </row>
    <row r="114" spans="1:22">
      <c r="A114" s="12"/>
      <c r="B114" s="12"/>
      <c r="C114" s="12"/>
      <c r="D114" s="12"/>
      <c r="E114" s="12"/>
      <c r="F114" s="12"/>
      <c r="G114" s="12"/>
      <c r="H114" s="12"/>
      <c r="I114" s="12"/>
      <c r="J114" s="12"/>
      <c r="K114" s="12"/>
      <c r="L114" s="12"/>
      <c r="M114" s="12"/>
      <c r="N114" s="12"/>
      <c r="O114" s="12"/>
      <c r="P114" s="12"/>
      <c r="Q114" s="12"/>
      <c r="R114" s="12"/>
      <c r="S114" s="12"/>
      <c r="T114" s="12"/>
      <c r="U114" s="12"/>
      <c r="V114" s="12"/>
    </row>
    <row r="115" spans="1:22">
      <c r="A115" s="12"/>
      <c r="B115" s="12"/>
      <c r="C115" s="12"/>
      <c r="D115" s="12"/>
      <c r="E115" s="12"/>
      <c r="F115" s="12"/>
      <c r="G115" s="12"/>
      <c r="H115" s="12"/>
      <c r="I115" s="12"/>
      <c r="J115" s="12"/>
      <c r="K115" s="12"/>
      <c r="L115" s="12"/>
      <c r="M115" s="12"/>
      <c r="N115" s="12"/>
      <c r="O115" s="12"/>
      <c r="P115" s="12"/>
      <c r="Q115" s="12"/>
      <c r="R115" s="12"/>
      <c r="S115" s="12"/>
      <c r="T115" s="12"/>
      <c r="U115" s="12"/>
      <c r="V115" s="12"/>
    </row>
    <row r="116" spans="1:22">
      <c r="A116" s="12"/>
      <c r="B116" s="12"/>
      <c r="C116" s="12"/>
      <c r="D116" s="12"/>
      <c r="E116" s="12"/>
      <c r="F116" s="12"/>
      <c r="G116" s="12"/>
      <c r="H116" s="12"/>
      <c r="I116" s="12"/>
      <c r="J116" s="12"/>
      <c r="K116" s="12"/>
      <c r="L116" s="12"/>
      <c r="M116" s="12"/>
      <c r="N116" s="12"/>
      <c r="O116" s="12"/>
      <c r="P116" s="12"/>
      <c r="Q116" s="12"/>
      <c r="R116" s="12"/>
      <c r="S116" s="12"/>
      <c r="T116" s="12"/>
      <c r="U116" s="12"/>
      <c r="V116" s="12"/>
    </row>
    <row r="117" spans="1:22">
      <c r="A117" s="12"/>
      <c r="B117" s="12"/>
      <c r="C117" s="12"/>
      <c r="D117" s="12"/>
      <c r="E117" s="12"/>
      <c r="F117" s="12"/>
      <c r="G117" s="12"/>
      <c r="H117" s="12"/>
      <c r="I117" s="12"/>
      <c r="J117" s="12"/>
      <c r="K117" s="12"/>
      <c r="L117" s="12"/>
      <c r="M117" s="12"/>
      <c r="N117" s="12"/>
      <c r="O117" s="12"/>
      <c r="P117" s="12"/>
      <c r="Q117" s="12"/>
      <c r="R117" s="12"/>
      <c r="S117" s="12"/>
      <c r="T117" s="12"/>
      <c r="U117" s="12"/>
      <c r="V117" s="12"/>
    </row>
    <row r="118" spans="1:22">
      <c r="A118" s="12"/>
      <c r="B118" s="12"/>
      <c r="C118" s="12"/>
      <c r="D118" s="12"/>
      <c r="E118" s="12"/>
      <c r="F118" s="12"/>
      <c r="G118" s="12"/>
      <c r="H118" s="12"/>
      <c r="I118" s="12"/>
      <c r="J118" s="12"/>
      <c r="K118" s="12"/>
      <c r="L118" s="12"/>
      <c r="M118" s="12"/>
      <c r="N118" s="12"/>
      <c r="O118" s="12"/>
      <c r="P118" s="12"/>
      <c r="Q118" s="12"/>
      <c r="R118" s="12"/>
      <c r="S118" s="12"/>
      <c r="T118" s="12"/>
      <c r="U118" s="12"/>
      <c r="V118" s="12"/>
    </row>
    <row r="119" spans="1:22">
      <c r="A119" s="12"/>
      <c r="B119" s="12"/>
      <c r="C119" s="12"/>
      <c r="D119" s="12"/>
      <c r="E119" s="12"/>
      <c r="F119" s="12"/>
      <c r="G119" s="12"/>
      <c r="H119" s="12"/>
      <c r="I119" s="12"/>
      <c r="J119" s="12"/>
      <c r="K119" s="12"/>
      <c r="L119" s="12"/>
      <c r="M119" s="12"/>
      <c r="N119" s="12"/>
      <c r="O119" s="12"/>
      <c r="P119" s="12"/>
      <c r="Q119" s="12"/>
      <c r="R119" s="12"/>
      <c r="S119" s="12"/>
      <c r="T119" s="12"/>
      <c r="U119" s="12"/>
      <c r="V119" s="12"/>
    </row>
    <row r="120" spans="1:22">
      <c r="A120" s="12"/>
      <c r="B120" s="12"/>
      <c r="C120" s="12"/>
      <c r="D120" s="12"/>
      <c r="E120" s="12"/>
      <c r="F120" s="12"/>
      <c r="G120" s="12"/>
      <c r="H120" s="12"/>
      <c r="I120" s="12"/>
      <c r="J120" s="12"/>
      <c r="K120" s="12"/>
      <c r="L120" s="12"/>
      <c r="M120" s="12"/>
      <c r="N120" s="12"/>
      <c r="O120" s="12"/>
      <c r="P120" s="12"/>
      <c r="Q120" s="12"/>
      <c r="R120" s="12"/>
      <c r="S120" s="12"/>
      <c r="T120" s="12"/>
      <c r="U120" s="12"/>
      <c r="V120" s="12"/>
    </row>
    <row r="121" spans="1:22">
      <c r="A121" s="12"/>
      <c r="B121" s="12"/>
      <c r="C121" s="12"/>
      <c r="D121" s="12"/>
      <c r="E121" s="12"/>
      <c r="F121" s="12"/>
      <c r="G121" s="12"/>
      <c r="H121" s="12"/>
      <c r="I121" s="12"/>
      <c r="J121" s="12"/>
      <c r="K121" s="12"/>
      <c r="L121" s="12"/>
      <c r="M121" s="12"/>
      <c r="N121" s="12"/>
      <c r="O121" s="12"/>
      <c r="P121" s="12"/>
      <c r="Q121" s="12"/>
      <c r="R121" s="12"/>
      <c r="S121" s="12"/>
      <c r="T121" s="12"/>
      <c r="U121" s="12"/>
      <c r="V121" s="12"/>
    </row>
    <row r="122" spans="1:22">
      <c r="A122" s="12"/>
      <c r="B122" s="12"/>
      <c r="C122" s="12"/>
      <c r="D122" s="12"/>
      <c r="E122" s="12"/>
      <c r="F122" s="12"/>
      <c r="G122" s="12"/>
      <c r="H122" s="12"/>
      <c r="I122" s="12"/>
      <c r="J122" s="12"/>
      <c r="K122" s="12"/>
      <c r="L122" s="12"/>
      <c r="M122" s="12"/>
      <c r="N122" s="12"/>
      <c r="O122" s="12"/>
      <c r="P122" s="12"/>
      <c r="Q122" s="12"/>
      <c r="R122" s="12"/>
      <c r="S122" s="12"/>
      <c r="T122" s="12"/>
      <c r="U122" s="12"/>
      <c r="V122" s="12"/>
    </row>
    <row r="123" spans="1:22">
      <c r="A123" s="12"/>
      <c r="B123" s="12"/>
      <c r="C123" s="12"/>
      <c r="D123" s="12"/>
      <c r="E123" s="12"/>
      <c r="F123" s="12"/>
      <c r="G123" s="12"/>
      <c r="H123" s="12"/>
      <c r="I123" s="12"/>
      <c r="J123" s="12"/>
      <c r="K123" s="12"/>
      <c r="L123" s="12"/>
      <c r="M123" s="12"/>
      <c r="N123" s="12"/>
      <c r="O123" s="12"/>
      <c r="P123" s="12"/>
      <c r="Q123" s="12"/>
      <c r="R123" s="12"/>
      <c r="S123" s="12"/>
      <c r="T123" s="12"/>
      <c r="U123" s="12"/>
      <c r="V123" s="12"/>
    </row>
    <row r="124" spans="1:22">
      <c r="A124" s="12"/>
      <c r="B124" s="12"/>
      <c r="C124" s="12"/>
      <c r="D124" s="12"/>
      <c r="E124" s="12"/>
      <c r="F124" s="12"/>
      <c r="G124" s="12"/>
      <c r="H124" s="12"/>
      <c r="I124" s="12"/>
      <c r="J124" s="12"/>
      <c r="K124" s="12"/>
      <c r="L124" s="12"/>
      <c r="M124" s="12"/>
      <c r="N124" s="12"/>
      <c r="O124" s="12"/>
      <c r="P124" s="12"/>
      <c r="Q124" s="12"/>
      <c r="R124" s="12"/>
      <c r="S124" s="12"/>
      <c r="T124" s="12"/>
      <c r="U124" s="12"/>
      <c r="V124" s="12"/>
    </row>
    <row r="125" spans="1:22">
      <c r="A125" s="12"/>
      <c r="B125" s="12"/>
      <c r="C125" s="12"/>
      <c r="D125" s="12"/>
      <c r="E125" s="12"/>
      <c r="F125" s="12"/>
      <c r="G125" s="12"/>
      <c r="H125" s="12"/>
      <c r="I125" s="12"/>
      <c r="J125" s="12"/>
      <c r="K125" s="12"/>
      <c r="L125" s="12"/>
      <c r="M125" s="12"/>
      <c r="N125" s="12"/>
      <c r="O125" s="12"/>
      <c r="P125" s="12"/>
      <c r="Q125" s="12"/>
      <c r="R125" s="12"/>
      <c r="S125" s="12"/>
      <c r="T125" s="12"/>
      <c r="U125" s="12"/>
      <c r="V125" s="12"/>
    </row>
    <row r="126" spans="1:22">
      <c r="A126" s="12"/>
      <c r="B126" s="12"/>
      <c r="C126" s="12"/>
      <c r="D126" s="12"/>
      <c r="E126" s="12"/>
      <c r="F126" s="12"/>
      <c r="G126" s="12"/>
      <c r="H126" s="12"/>
      <c r="I126" s="12"/>
      <c r="J126" s="12"/>
      <c r="K126" s="12"/>
      <c r="L126" s="12"/>
      <c r="M126" s="12"/>
      <c r="N126" s="12"/>
      <c r="O126" s="12"/>
      <c r="P126" s="12"/>
      <c r="Q126" s="12"/>
      <c r="R126" s="12"/>
      <c r="S126" s="12"/>
      <c r="T126" s="12"/>
      <c r="U126" s="12"/>
      <c r="V126" s="12"/>
    </row>
    <row r="127" spans="1:22">
      <c r="A127" s="12"/>
      <c r="B127" s="12"/>
      <c r="C127" s="12"/>
      <c r="D127" s="12"/>
      <c r="E127" s="12"/>
      <c r="F127" s="12"/>
      <c r="G127" s="12"/>
      <c r="H127" s="12"/>
      <c r="I127" s="12"/>
      <c r="J127" s="12"/>
      <c r="K127" s="12"/>
      <c r="L127" s="12"/>
      <c r="M127" s="12"/>
      <c r="N127" s="12"/>
      <c r="O127" s="12"/>
      <c r="P127" s="12"/>
      <c r="Q127" s="12"/>
      <c r="R127" s="12"/>
      <c r="S127" s="12"/>
      <c r="T127" s="12"/>
      <c r="U127" s="12"/>
      <c r="V127" s="12"/>
    </row>
    <row r="128" spans="1:22" ht="9" customHeight="1">
      <c r="A128" s="15"/>
      <c r="B128" s="15"/>
      <c r="C128" s="15"/>
      <c r="D128" s="15"/>
      <c r="E128" s="15"/>
      <c r="F128" s="15"/>
      <c r="G128" s="15"/>
      <c r="H128" s="15"/>
      <c r="I128" s="15"/>
      <c r="J128" s="15"/>
      <c r="K128" s="15"/>
      <c r="L128" s="15"/>
      <c r="M128" s="15"/>
      <c r="N128" s="15"/>
      <c r="O128" s="15"/>
      <c r="P128" s="15"/>
      <c r="Q128" s="15"/>
      <c r="R128" s="15"/>
      <c r="S128" s="15"/>
      <c r="T128" s="15"/>
      <c r="U128" s="15"/>
      <c r="V128" s="15"/>
    </row>
    <row r="129" spans="1:22" ht="8.4" customHeight="1">
      <c r="A129" s="12"/>
      <c r="B129" s="12"/>
      <c r="C129" s="12"/>
      <c r="D129" s="12"/>
      <c r="E129" s="12"/>
      <c r="F129" s="12"/>
      <c r="G129" s="12"/>
      <c r="H129" s="12"/>
      <c r="I129" s="12"/>
      <c r="J129" s="12"/>
      <c r="K129" s="12"/>
      <c r="L129" s="12"/>
      <c r="M129" s="12"/>
      <c r="N129" s="12"/>
      <c r="O129" s="12"/>
      <c r="P129" s="12"/>
      <c r="Q129" s="12"/>
      <c r="R129" s="12"/>
      <c r="S129" s="12"/>
      <c r="T129" s="12"/>
      <c r="U129" s="12"/>
      <c r="V129" s="12"/>
    </row>
    <row r="130" spans="1:22">
      <c r="A130" s="12"/>
      <c r="B130" s="12"/>
      <c r="C130" s="12"/>
      <c r="D130" s="12"/>
      <c r="E130" s="12"/>
      <c r="F130" s="12"/>
      <c r="G130" s="12"/>
      <c r="H130" s="12"/>
      <c r="I130" s="12"/>
      <c r="J130" s="12"/>
      <c r="K130" s="12"/>
      <c r="L130" s="12"/>
      <c r="M130" s="12"/>
      <c r="N130" s="12"/>
      <c r="O130" s="12"/>
      <c r="P130" s="12"/>
      <c r="Q130" s="12"/>
      <c r="R130" s="12"/>
      <c r="S130" s="12"/>
      <c r="T130" s="12"/>
      <c r="U130" s="12"/>
      <c r="V130" s="12"/>
    </row>
    <row r="131" spans="1:22">
      <c r="A131" s="12"/>
      <c r="B131" s="12"/>
      <c r="C131" s="12"/>
      <c r="D131" s="12"/>
      <c r="E131" s="12"/>
      <c r="F131" s="12"/>
      <c r="G131" s="12"/>
      <c r="H131" s="12"/>
      <c r="I131" s="12"/>
      <c r="J131" s="12"/>
      <c r="K131" s="12"/>
      <c r="L131" s="12"/>
      <c r="M131" s="12"/>
      <c r="N131" s="12"/>
      <c r="O131" s="12"/>
      <c r="P131" s="12"/>
      <c r="Q131" s="12"/>
      <c r="R131" s="12"/>
      <c r="S131" s="12"/>
      <c r="T131" s="12"/>
      <c r="U131" s="12"/>
      <c r="V131" s="12"/>
    </row>
    <row r="132" spans="1:22">
      <c r="A132" s="12"/>
      <c r="B132" s="12"/>
      <c r="C132" s="12"/>
      <c r="D132" s="12"/>
      <c r="E132" s="12"/>
      <c r="F132" s="12"/>
      <c r="G132" s="12"/>
      <c r="H132" s="12"/>
      <c r="I132" s="12"/>
      <c r="J132" s="12"/>
      <c r="K132" s="12"/>
      <c r="L132" s="12"/>
      <c r="M132" s="12"/>
      <c r="N132" s="12"/>
      <c r="O132" s="12"/>
      <c r="P132" s="12"/>
      <c r="Q132" s="12"/>
      <c r="R132" s="12"/>
      <c r="S132" s="12"/>
      <c r="T132" s="12"/>
      <c r="U132" s="12"/>
      <c r="V132" s="12"/>
    </row>
    <row r="133" spans="1:22">
      <c r="A133" s="12"/>
      <c r="B133" s="12"/>
      <c r="C133" s="12"/>
      <c r="D133" s="12"/>
      <c r="E133" s="12"/>
      <c r="F133" s="12"/>
      <c r="G133" s="12"/>
      <c r="H133" s="12"/>
      <c r="I133" s="12"/>
      <c r="J133" s="12"/>
      <c r="K133" s="12"/>
      <c r="L133" s="12"/>
      <c r="M133" s="12"/>
      <c r="N133" s="12"/>
      <c r="O133" s="12"/>
      <c r="P133" s="12"/>
      <c r="Q133" s="12"/>
      <c r="R133" s="12"/>
      <c r="S133" s="12"/>
      <c r="T133" s="12"/>
      <c r="U133" s="12"/>
      <c r="V133" s="12"/>
    </row>
    <row r="134" spans="1:22">
      <c r="A134" s="12"/>
      <c r="B134" s="12"/>
      <c r="C134" s="12"/>
      <c r="D134" s="12"/>
      <c r="E134" s="12"/>
      <c r="F134" s="12"/>
      <c r="G134" s="12"/>
      <c r="H134" s="12"/>
      <c r="I134" s="12"/>
      <c r="J134" s="12"/>
      <c r="K134" s="12"/>
      <c r="L134" s="12"/>
      <c r="M134" s="12"/>
      <c r="N134" s="12"/>
      <c r="O134" s="12"/>
      <c r="P134" s="12"/>
      <c r="Q134" s="12"/>
      <c r="R134" s="12"/>
      <c r="S134" s="12"/>
      <c r="T134" s="12"/>
      <c r="U134" s="12"/>
      <c r="V134" s="12"/>
    </row>
    <row r="135" spans="1:22">
      <c r="A135" s="12"/>
      <c r="B135" s="12"/>
      <c r="C135" s="12"/>
      <c r="D135" s="12"/>
      <c r="E135" s="12"/>
      <c r="F135" s="12"/>
      <c r="G135" s="12"/>
      <c r="H135" s="12"/>
      <c r="I135" s="12"/>
      <c r="J135" s="12"/>
      <c r="K135" s="12"/>
      <c r="L135" s="12"/>
      <c r="M135" s="12"/>
      <c r="N135" s="12"/>
      <c r="O135" s="12"/>
      <c r="P135" s="12"/>
      <c r="Q135" s="12"/>
      <c r="R135" s="12"/>
      <c r="S135" s="12"/>
      <c r="T135" s="12"/>
      <c r="U135" s="12"/>
      <c r="V135" s="12"/>
    </row>
    <row r="136" spans="1:22">
      <c r="A136" s="12"/>
      <c r="B136" s="12"/>
      <c r="C136" s="12"/>
      <c r="D136" s="12"/>
      <c r="E136" s="12"/>
      <c r="F136" s="12"/>
      <c r="G136" s="12"/>
      <c r="H136" s="12"/>
      <c r="I136" s="12"/>
      <c r="J136" s="12"/>
      <c r="K136" s="12"/>
      <c r="L136" s="12"/>
      <c r="M136" s="12"/>
      <c r="N136" s="12"/>
      <c r="O136" s="12"/>
      <c r="P136" s="12"/>
      <c r="Q136" s="12"/>
      <c r="R136" s="12"/>
      <c r="S136" s="12"/>
      <c r="T136" s="12"/>
      <c r="U136" s="12"/>
      <c r="V136" s="12"/>
    </row>
    <row r="137" spans="1:22">
      <c r="A137" s="12"/>
      <c r="B137" s="12"/>
      <c r="C137" s="12"/>
      <c r="D137" s="12"/>
      <c r="E137" s="12"/>
      <c r="F137" s="12"/>
      <c r="G137" s="12"/>
      <c r="H137" s="12"/>
      <c r="I137" s="12"/>
      <c r="J137" s="12"/>
      <c r="K137" s="12"/>
      <c r="L137" s="12"/>
      <c r="M137" s="12"/>
      <c r="N137" s="12"/>
      <c r="O137" s="12"/>
      <c r="P137" s="12"/>
      <c r="Q137" s="12"/>
      <c r="R137" s="12"/>
      <c r="S137" s="12"/>
      <c r="T137" s="12"/>
      <c r="U137" s="12"/>
      <c r="V137" s="12"/>
    </row>
    <row r="138" spans="1:22">
      <c r="A138" s="12"/>
      <c r="B138" s="12"/>
      <c r="C138" s="12"/>
      <c r="D138" s="12"/>
      <c r="E138" s="12"/>
      <c r="F138" s="12"/>
      <c r="G138" s="12"/>
      <c r="H138" s="12"/>
      <c r="I138" s="12"/>
      <c r="J138" s="12"/>
      <c r="K138" s="12"/>
      <c r="L138" s="12"/>
      <c r="M138" s="12"/>
      <c r="N138" s="12"/>
      <c r="O138" s="12"/>
      <c r="P138" s="12"/>
      <c r="Q138" s="12"/>
      <c r="R138" s="12"/>
      <c r="S138" s="12"/>
      <c r="T138" s="12"/>
      <c r="U138" s="12"/>
      <c r="V138" s="12"/>
    </row>
    <row r="139" spans="1:22">
      <c r="A139" s="12"/>
      <c r="B139" s="12"/>
      <c r="C139" s="12"/>
      <c r="D139" s="12"/>
      <c r="E139" s="12"/>
      <c r="F139" s="12"/>
      <c r="G139" s="12"/>
      <c r="H139" s="12"/>
      <c r="I139" s="12"/>
      <c r="J139" s="12"/>
      <c r="K139" s="12"/>
      <c r="L139" s="12"/>
      <c r="M139" s="12"/>
      <c r="N139" s="12"/>
      <c r="O139" s="12"/>
      <c r="P139" s="12"/>
      <c r="Q139" s="12"/>
      <c r="R139" s="12"/>
      <c r="S139" s="12"/>
      <c r="T139" s="12"/>
      <c r="U139" s="12"/>
      <c r="V139" s="12"/>
    </row>
    <row r="140" spans="1:22">
      <c r="A140" s="12"/>
      <c r="B140" s="12"/>
      <c r="C140" s="12"/>
      <c r="D140" s="12"/>
      <c r="E140" s="12"/>
      <c r="F140" s="12"/>
      <c r="G140" s="12"/>
      <c r="H140" s="12"/>
      <c r="I140" s="12"/>
      <c r="J140" s="12"/>
      <c r="K140" s="12"/>
      <c r="L140" s="12"/>
      <c r="M140" s="12"/>
      <c r="N140" s="12"/>
      <c r="O140" s="12"/>
      <c r="P140" s="12"/>
      <c r="Q140" s="12"/>
      <c r="R140" s="12"/>
      <c r="S140" s="12"/>
      <c r="T140" s="12"/>
      <c r="U140" s="12"/>
      <c r="V140" s="12"/>
    </row>
    <row r="141" spans="1:22">
      <c r="A141" s="12"/>
      <c r="B141" s="12"/>
      <c r="C141" s="12"/>
      <c r="D141" s="12"/>
      <c r="E141" s="12"/>
      <c r="F141" s="12"/>
      <c r="G141" s="12"/>
      <c r="H141" s="12"/>
      <c r="I141" s="12"/>
      <c r="J141" s="12"/>
      <c r="K141" s="12"/>
      <c r="L141" s="12"/>
      <c r="M141" s="12"/>
      <c r="N141" s="12"/>
      <c r="O141" s="12"/>
      <c r="P141" s="12"/>
      <c r="Q141" s="12"/>
      <c r="R141" s="12"/>
      <c r="S141" s="12"/>
      <c r="T141" s="12"/>
      <c r="U141" s="12"/>
      <c r="V141" s="12"/>
    </row>
    <row r="142" spans="1:22" ht="25.8">
      <c r="A142" s="12"/>
      <c r="B142" s="12"/>
      <c r="C142" s="12"/>
      <c r="D142" s="12"/>
      <c r="E142" s="12"/>
      <c r="F142" s="12"/>
      <c r="G142" s="12"/>
      <c r="H142" s="12"/>
      <c r="I142" s="12"/>
      <c r="J142" s="12"/>
      <c r="K142" s="12"/>
      <c r="L142" s="12"/>
      <c r="M142" s="12"/>
      <c r="N142" s="12"/>
      <c r="O142" s="12"/>
      <c r="P142" s="12"/>
      <c r="Q142" s="12"/>
      <c r="R142" s="12"/>
      <c r="S142" s="12"/>
      <c r="T142" s="12"/>
      <c r="U142" s="12"/>
      <c r="V142" s="12"/>
    </row>
    <row r="143" spans="1:22" ht="25.8">
      <c r="A143" s="12"/>
      <c r="B143" s="12"/>
      <c r="C143" s="12"/>
      <c r="D143" s="12"/>
      <c r="E143" s="12"/>
      <c r="F143" s="12"/>
      <c r="G143" s="12"/>
      <c r="H143" s="12"/>
      <c r="I143" s="12"/>
      <c r="J143" s="12"/>
      <c r="K143" s="12"/>
      <c r="L143" s="12"/>
      <c r="M143" s="12"/>
      <c r="N143" s="12"/>
      <c r="O143" s="12"/>
      <c r="P143" s="12"/>
      <c r="Q143" s="12"/>
      <c r="R143" s="12"/>
      <c r="S143" s="12"/>
      <c r="T143" s="12"/>
      <c r="U143" s="12"/>
      <c r="V143" s="12"/>
    </row>
    <row r="144" spans="1:22" ht="25.8">
      <c r="A144" s="12"/>
      <c r="B144" s="12"/>
      <c r="C144" s="12"/>
      <c r="D144" s="12"/>
      <c r="E144" s="12"/>
      <c r="F144" s="12"/>
      <c r="G144" s="12"/>
      <c r="H144" s="12"/>
      <c r="I144" s="12"/>
      <c r="J144" s="12"/>
      <c r="K144" s="12"/>
      <c r="L144" s="12"/>
      <c r="M144" s="12"/>
      <c r="N144" s="12"/>
      <c r="O144" s="12"/>
      <c r="P144" s="12"/>
      <c r="Q144" s="12"/>
      <c r="R144" s="12"/>
      <c r="S144" s="12"/>
      <c r="T144" s="12"/>
      <c r="U144" s="12"/>
      <c r="V144" s="12"/>
    </row>
    <row r="145" spans="1:22">
      <c r="A145" s="12"/>
      <c r="B145" s="12"/>
      <c r="C145" s="12"/>
      <c r="D145" s="12"/>
      <c r="E145" s="12"/>
      <c r="F145" s="12"/>
      <c r="G145" s="12"/>
      <c r="H145" s="12"/>
      <c r="I145" s="12"/>
      <c r="J145" s="12"/>
      <c r="K145" s="12"/>
      <c r="L145" s="12"/>
      <c r="M145" s="12"/>
      <c r="N145" s="12"/>
      <c r="O145" s="12"/>
      <c r="P145" s="12"/>
      <c r="Q145" s="12"/>
      <c r="R145" s="12"/>
      <c r="S145" s="12"/>
      <c r="T145" s="12"/>
      <c r="U145" s="12"/>
      <c r="V145" s="12"/>
    </row>
    <row r="146" spans="1:22">
      <c r="A146" s="12"/>
      <c r="B146" s="12"/>
      <c r="C146" s="12"/>
      <c r="D146" s="12"/>
      <c r="E146" s="12"/>
      <c r="F146" s="12"/>
      <c r="G146" s="12"/>
      <c r="H146" s="12"/>
      <c r="I146" s="12"/>
      <c r="J146" s="12"/>
      <c r="K146" s="12"/>
      <c r="L146" s="12"/>
      <c r="M146" s="12"/>
      <c r="N146" s="12"/>
      <c r="O146" s="12"/>
      <c r="P146" s="12"/>
      <c r="Q146" s="12"/>
      <c r="R146" s="12"/>
      <c r="S146" s="12"/>
      <c r="T146" s="12"/>
      <c r="U146" s="12"/>
      <c r="V146" s="12"/>
    </row>
    <row r="147" spans="1:22">
      <c r="A147" s="12"/>
      <c r="B147" s="12"/>
      <c r="C147" s="12"/>
      <c r="D147" s="12"/>
      <c r="E147" s="12"/>
      <c r="F147" s="12"/>
      <c r="G147" s="12"/>
      <c r="H147" s="12"/>
      <c r="I147" s="12"/>
      <c r="J147" s="12"/>
      <c r="K147" s="12"/>
      <c r="L147" s="12"/>
      <c r="M147" s="12"/>
      <c r="N147" s="12"/>
      <c r="O147" s="12"/>
      <c r="P147" s="12"/>
      <c r="Q147" s="12"/>
      <c r="R147" s="12"/>
      <c r="S147" s="12"/>
      <c r="T147" s="12"/>
      <c r="U147" s="12"/>
      <c r="V147" s="12"/>
    </row>
    <row r="148" spans="1:22">
      <c r="A148" s="12"/>
      <c r="B148" s="12"/>
      <c r="C148" s="12"/>
      <c r="D148" s="12"/>
      <c r="E148" s="12"/>
      <c r="F148" s="12"/>
      <c r="G148" s="12"/>
      <c r="H148" s="12"/>
      <c r="I148" s="12"/>
      <c r="J148" s="12"/>
      <c r="K148" s="12"/>
      <c r="L148" s="12"/>
      <c r="M148" s="12"/>
      <c r="N148" s="12"/>
      <c r="O148" s="12"/>
      <c r="P148" s="12"/>
      <c r="Q148" s="12"/>
      <c r="R148" s="12"/>
      <c r="S148" s="12"/>
      <c r="T148" s="12"/>
      <c r="U148" s="12"/>
      <c r="V148" s="12"/>
    </row>
    <row r="149" spans="1:22">
      <c r="A149" s="12"/>
      <c r="B149" s="12"/>
      <c r="C149" s="12"/>
      <c r="D149" s="12"/>
      <c r="E149" s="12"/>
      <c r="F149" s="12"/>
      <c r="G149" s="12"/>
      <c r="H149" s="12"/>
      <c r="I149" s="12"/>
      <c r="J149" s="12"/>
      <c r="K149" s="12"/>
      <c r="L149" s="12"/>
      <c r="M149" s="12"/>
      <c r="N149" s="12"/>
      <c r="O149" s="12"/>
      <c r="P149" s="12"/>
      <c r="Q149" s="12"/>
      <c r="R149" s="12"/>
      <c r="S149" s="12"/>
      <c r="T149" s="12"/>
      <c r="U149" s="12"/>
      <c r="V149" s="12"/>
    </row>
    <row r="150" spans="1:22">
      <c r="A150" s="12"/>
      <c r="B150" s="12"/>
      <c r="C150" s="12"/>
      <c r="D150" s="12"/>
      <c r="E150" s="12"/>
      <c r="F150" s="12"/>
      <c r="G150" s="12"/>
      <c r="H150" s="12"/>
      <c r="I150" s="12"/>
      <c r="J150" s="12"/>
      <c r="K150" s="12"/>
      <c r="L150" s="12"/>
      <c r="M150" s="12"/>
      <c r="N150" s="12"/>
      <c r="O150" s="12"/>
      <c r="P150" s="12"/>
      <c r="Q150" s="12"/>
      <c r="R150" s="12"/>
      <c r="S150" s="12"/>
      <c r="T150" s="12"/>
      <c r="U150" s="12"/>
      <c r="V150" s="12"/>
    </row>
    <row r="151" spans="1:22">
      <c r="A151" s="12"/>
      <c r="B151" s="12"/>
      <c r="C151" s="12"/>
      <c r="D151" s="12"/>
      <c r="E151" s="12"/>
      <c r="F151" s="12"/>
      <c r="G151" s="12"/>
      <c r="H151" s="12"/>
      <c r="I151" s="12"/>
      <c r="J151" s="12"/>
      <c r="K151" s="12"/>
      <c r="L151" s="12"/>
      <c r="M151" s="12"/>
      <c r="N151" s="12"/>
      <c r="O151" s="12"/>
      <c r="P151" s="12"/>
      <c r="Q151" s="12"/>
      <c r="R151" s="12"/>
      <c r="S151" s="12"/>
      <c r="T151" s="12"/>
      <c r="U151" s="12"/>
      <c r="V151" s="12"/>
    </row>
    <row r="152" spans="1:22">
      <c r="A152" s="12"/>
      <c r="B152" s="12"/>
      <c r="C152" s="12"/>
      <c r="D152" s="12"/>
      <c r="E152" s="12"/>
      <c r="F152" s="12"/>
      <c r="G152" s="12"/>
      <c r="H152" s="12"/>
      <c r="I152" s="12"/>
      <c r="J152" s="12"/>
      <c r="K152" s="12"/>
      <c r="L152" s="12"/>
      <c r="M152" s="12"/>
      <c r="N152" s="12"/>
      <c r="O152" s="12"/>
      <c r="P152" s="12"/>
      <c r="Q152" s="12"/>
      <c r="R152" s="12"/>
      <c r="S152" s="12"/>
      <c r="T152" s="12"/>
      <c r="U152" s="12"/>
      <c r="V152" s="12"/>
    </row>
    <row r="153" spans="1:22">
      <c r="A153" s="12"/>
      <c r="B153" s="12"/>
      <c r="C153" s="12"/>
      <c r="D153" s="12"/>
      <c r="E153" s="12"/>
      <c r="F153" s="12"/>
      <c r="G153" s="12"/>
      <c r="H153" s="12"/>
      <c r="I153" s="12"/>
      <c r="J153" s="12"/>
      <c r="K153" s="12"/>
      <c r="L153" s="12"/>
      <c r="M153" s="12"/>
      <c r="N153" s="12"/>
      <c r="O153" s="12"/>
      <c r="P153" s="12"/>
      <c r="Q153" s="12"/>
      <c r="R153" s="12"/>
      <c r="S153" s="12"/>
      <c r="T153" s="12"/>
      <c r="U153" s="12"/>
      <c r="V153" s="12"/>
    </row>
    <row r="154" spans="1:22">
      <c r="A154" s="12"/>
      <c r="B154" s="12"/>
      <c r="C154" s="12"/>
      <c r="D154" s="12"/>
      <c r="E154" s="12"/>
      <c r="F154" s="12"/>
      <c r="G154" s="12"/>
      <c r="H154" s="12"/>
      <c r="I154" s="12"/>
      <c r="J154" s="12"/>
      <c r="K154" s="12"/>
      <c r="L154" s="12"/>
      <c r="M154" s="12"/>
      <c r="N154" s="12"/>
      <c r="O154" s="12"/>
      <c r="P154" s="12"/>
      <c r="Q154" s="12"/>
      <c r="R154" s="12"/>
      <c r="S154" s="12"/>
      <c r="T154" s="12"/>
      <c r="U154" s="12"/>
      <c r="V154" s="12"/>
    </row>
    <row r="155" spans="1:22">
      <c r="A155" s="12"/>
      <c r="B155" s="12"/>
      <c r="C155" s="12"/>
      <c r="D155" s="12"/>
      <c r="E155" s="12"/>
      <c r="F155" s="12"/>
      <c r="G155" s="12"/>
      <c r="H155" s="12"/>
      <c r="I155" s="12"/>
      <c r="J155" s="12"/>
      <c r="K155" s="12"/>
      <c r="L155" s="12"/>
      <c r="M155" s="12"/>
      <c r="N155" s="12"/>
      <c r="O155" s="12"/>
      <c r="P155" s="12"/>
      <c r="Q155" s="12"/>
      <c r="R155" s="12"/>
      <c r="S155" s="12"/>
      <c r="T155" s="12"/>
      <c r="U155" s="12"/>
      <c r="V155" s="12"/>
    </row>
    <row r="156" spans="1:22">
      <c r="A156" s="12"/>
      <c r="B156" s="12"/>
      <c r="C156" s="12"/>
      <c r="D156" s="12"/>
      <c r="E156" s="12"/>
      <c r="F156" s="12"/>
      <c r="G156" s="12"/>
      <c r="H156" s="12"/>
      <c r="I156" s="12"/>
      <c r="J156" s="12"/>
      <c r="K156" s="12"/>
      <c r="L156" s="12"/>
      <c r="M156" s="12"/>
      <c r="N156" s="12"/>
      <c r="O156" s="12"/>
      <c r="P156" s="12"/>
      <c r="Q156" s="12"/>
      <c r="R156" s="12"/>
      <c r="S156" s="12"/>
      <c r="T156" s="12"/>
      <c r="U156" s="12"/>
      <c r="V156" s="12"/>
    </row>
    <row r="157" spans="1:22">
      <c r="A157" s="12"/>
      <c r="B157" s="12"/>
      <c r="C157" s="12"/>
      <c r="D157" s="12"/>
      <c r="E157" s="12"/>
      <c r="F157" s="12"/>
      <c r="G157" s="12"/>
      <c r="H157" s="12"/>
      <c r="I157" s="12"/>
      <c r="J157" s="12"/>
      <c r="K157" s="12"/>
      <c r="L157" s="12"/>
      <c r="M157" s="12"/>
      <c r="N157" s="12"/>
      <c r="O157" s="12"/>
      <c r="P157" s="12"/>
      <c r="Q157" s="12"/>
      <c r="R157" s="12"/>
      <c r="S157" s="12"/>
      <c r="T157" s="12"/>
      <c r="U157" s="12"/>
      <c r="V157" s="12"/>
    </row>
    <row r="158" spans="1:22">
      <c r="A158" s="12"/>
      <c r="B158" s="12"/>
      <c r="C158" s="12"/>
      <c r="D158" s="12"/>
      <c r="E158" s="12"/>
      <c r="F158" s="12"/>
      <c r="G158" s="12"/>
      <c r="H158" s="12"/>
      <c r="I158" s="12"/>
      <c r="J158" s="12"/>
      <c r="K158" s="12"/>
      <c r="L158" s="12"/>
      <c r="M158" s="12"/>
      <c r="N158" s="12"/>
      <c r="O158" s="12"/>
      <c r="P158" s="12"/>
      <c r="Q158" s="12"/>
      <c r="R158" s="12"/>
      <c r="S158" s="12"/>
      <c r="T158" s="12"/>
      <c r="U158" s="12"/>
      <c r="V158" s="12"/>
    </row>
    <row r="159" spans="1:22">
      <c r="A159" s="12"/>
      <c r="B159" s="12"/>
      <c r="C159" s="12"/>
      <c r="D159" s="12"/>
      <c r="E159" s="12"/>
      <c r="F159" s="12"/>
      <c r="G159" s="12"/>
      <c r="H159" s="12"/>
      <c r="I159" s="12"/>
      <c r="J159" s="12"/>
      <c r="K159" s="12"/>
      <c r="L159" s="12"/>
      <c r="M159" s="12"/>
      <c r="N159" s="12"/>
      <c r="O159" s="12"/>
      <c r="P159" s="12"/>
      <c r="Q159" s="12"/>
      <c r="R159" s="12"/>
      <c r="S159" s="12"/>
      <c r="T159" s="12"/>
      <c r="U159" s="12"/>
      <c r="V159" s="12"/>
    </row>
    <row r="160" spans="1:22">
      <c r="A160" s="12"/>
      <c r="B160" s="12"/>
      <c r="C160" s="12"/>
      <c r="D160" s="12"/>
      <c r="E160" s="12"/>
      <c r="F160" s="12"/>
      <c r="G160" s="12"/>
      <c r="H160" s="12"/>
      <c r="I160" s="12"/>
      <c r="J160" s="12"/>
      <c r="K160" s="12"/>
      <c r="L160" s="12"/>
      <c r="M160" s="12"/>
      <c r="N160" s="12"/>
      <c r="O160" s="12"/>
      <c r="P160" s="12"/>
      <c r="Q160" s="12"/>
      <c r="R160" s="12"/>
      <c r="S160" s="12"/>
      <c r="T160" s="12"/>
      <c r="U160" s="12"/>
      <c r="V160" s="12"/>
    </row>
    <row r="161" spans="1:22">
      <c r="A161" s="12"/>
      <c r="B161" s="12"/>
      <c r="C161" s="12"/>
      <c r="D161" s="12"/>
      <c r="E161" s="12"/>
      <c r="F161" s="12"/>
      <c r="G161" s="12"/>
      <c r="H161" s="12"/>
      <c r="I161" s="12"/>
      <c r="J161" s="12"/>
      <c r="K161" s="12"/>
      <c r="L161" s="12"/>
      <c r="M161" s="12"/>
      <c r="N161" s="12"/>
      <c r="O161" s="12"/>
      <c r="P161" s="12"/>
      <c r="Q161" s="12"/>
      <c r="R161" s="12"/>
      <c r="S161" s="12"/>
      <c r="T161" s="12"/>
      <c r="U161" s="12"/>
      <c r="V161" s="12"/>
    </row>
    <row r="162" spans="1:22">
      <c r="A162" s="12"/>
      <c r="B162" s="12"/>
      <c r="C162" s="12"/>
      <c r="D162" s="12"/>
      <c r="E162" s="12"/>
      <c r="F162" s="12"/>
      <c r="G162" s="12"/>
      <c r="H162" s="12"/>
      <c r="I162" s="12"/>
      <c r="J162" s="12"/>
      <c r="K162" s="12"/>
      <c r="L162" s="12"/>
      <c r="M162" s="12"/>
      <c r="N162" s="12"/>
      <c r="O162" s="12"/>
      <c r="P162" s="12"/>
      <c r="Q162" s="12"/>
      <c r="R162" s="12"/>
      <c r="S162" s="12"/>
      <c r="T162" s="12"/>
      <c r="U162" s="12"/>
      <c r="V162" s="12"/>
    </row>
    <row r="163" spans="1:22">
      <c r="A163" s="12"/>
      <c r="B163" s="12"/>
      <c r="C163" s="12"/>
      <c r="D163" s="12"/>
      <c r="E163" s="12"/>
      <c r="F163" s="12"/>
      <c r="G163" s="12"/>
      <c r="H163" s="12"/>
      <c r="I163" s="12"/>
      <c r="J163" s="12"/>
      <c r="K163" s="12"/>
      <c r="L163" s="12"/>
      <c r="M163" s="12"/>
      <c r="N163" s="12"/>
      <c r="O163" s="12"/>
      <c r="P163" s="12"/>
      <c r="Q163" s="12"/>
      <c r="R163" s="12"/>
      <c r="S163" s="12"/>
      <c r="T163" s="12"/>
      <c r="U163" s="12"/>
      <c r="V163" s="12"/>
    </row>
    <row r="164" spans="1:22">
      <c r="A164" s="12"/>
      <c r="B164" s="12"/>
      <c r="C164" s="12"/>
      <c r="D164" s="12"/>
      <c r="E164" s="12"/>
      <c r="F164" s="12"/>
      <c r="G164" s="12"/>
      <c r="H164" s="12"/>
      <c r="I164" s="12"/>
      <c r="J164" s="12"/>
      <c r="K164" s="12"/>
      <c r="L164" s="12"/>
      <c r="M164" s="12"/>
      <c r="N164" s="12"/>
      <c r="O164" s="12"/>
      <c r="P164" s="12"/>
      <c r="Q164" s="12"/>
      <c r="R164" s="12"/>
      <c r="S164" s="12"/>
      <c r="T164" s="12"/>
      <c r="U164" s="12"/>
      <c r="V164" s="12"/>
    </row>
    <row r="165" spans="1:22">
      <c r="A165" s="12"/>
      <c r="B165" s="12"/>
      <c r="C165" s="12"/>
      <c r="D165" s="12"/>
      <c r="E165" s="12"/>
      <c r="F165" s="12"/>
      <c r="G165" s="12"/>
      <c r="H165" s="12"/>
      <c r="I165" s="12"/>
      <c r="J165" s="12"/>
      <c r="K165" s="12"/>
      <c r="L165" s="12"/>
      <c r="M165" s="12"/>
      <c r="N165" s="12"/>
      <c r="O165" s="12"/>
      <c r="P165" s="12"/>
      <c r="Q165" s="12"/>
      <c r="R165" s="12"/>
      <c r="S165" s="12"/>
      <c r="T165" s="12"/>
      <c r="U165" s="12"/>
      <c r="V165" s="12"/>
    </row>
    <row r="166" spans="1:22">
      <c r="A166" s="12"/>
      <c r="B166" s="12"/>
      <c r="C166" s="12"/>
      <c r="D166" s="12"/>
      <c r="E166" s="12"/>
      <c r="F166" s="12"/>
      <c r="G166" s="12"/>
      <c r="H166" s="12"/>
      <c r="I166" s="12"/>
      <c r="J166" s="12"/>
      <c r="K166" s="12"/>
      <c r="L166" s="12"/>
      <c r="M166" s="12"/>
      <c r="N166" s="12"/>
      <c r="O166" s="12"/>
      <c r="P166" s="12"/>
      <c r="Q166" s="12"/>
      <c r="R166" s="12"/>
      <c r="S166" s="12"/>
      <c r="T166" s="12"/>
      <c r="U166" s="12"/>
      <c r="V166" s="12"/>
    </row>
    <row r="167" spans="1:22">
      <c r="A167" s="12"/>
      <c r="B167" s="12"/>
      <c r="C167" s="12"/>
      <c r="D167" s="12"/>
      <c r="E167" s="12"/>
      <c r="F167" s="12"/>
      <c r="G167" s="12"/>
      <c r="H167" s="12"/>
      <c r="I167" s="12"/>
      <c r="J167" s="12"/>
      <c r="K167" s="12"/>
      <c r="L167" s="12"/>
      <c r="M167" s="12"/>
      <c r="N167" s="12"/>
      <c r="O167" s="12"/>
      <c r="P167" s="12"/>
      <c r="Q167" s="12"/>
      <c r="R167" s="12"/>
      <c r="S167" s="12"/>
      <c r="T167" s="12"/>
      <c r="U167" s="12"/>
      <c r="V167" s="12"/>
    </row>
    <row r="168" spans="1:22">
      <c r="A168" s="12"/>
      <c r="B168" s="12"/>
      <c r="C168" s="12"/>
      <c r="D168" s="12"/>
      <c r="E168" s="12"/>
      <c r="F168" s="12"/>
      <c r="G168" s="12"/>
      <c r="H168" s="12"/>
      <c r="I168" s="12"/>
      <c r="J168" s="12"/>
      <c r="K168" s="12"/>
      <c r="L168" s="12"/>
      <c r="M168" s="12"/>
      <c r="N168" s="12"/>
      <c r="O168" s="12"/>
      <c r="P168" s="12"/>
      <c r="Q168" s="12"/>
      <c r="R168" s="12"/>
      <c r="S168" s="12"/>
      <c r="T168" s="12"/>
      <c r="U168" s="12"/>
      <c r="V168" s="12"/>
    </row>
    <row r="169" spans="1:22">
      <c r="A169" s="12"/>
      <c r="B169" s="12"/>
      <c r="C169" s="12"/>
      <c r="D169" s="12"/>
      <c r="E169" s="12"/>
      <c r="F169" s="12"/>
      <c r="G169" s="12"/>
      <c r="H169" s="12"/>
      <c r="I169" s="12"/>
      <c r="J169" s="12"/>
      <c r="K169" s="12"/>
      <c r="L169" s="12"/>
      <c r="M169" s="12"/>
      <c r="N169" s="12"/>
      <c r="O169" s="12"/>
      <c r="P169" s="12"/>
      <c r="Q169" s="12"/>
      <c r="R169" s="12"/>
      <c r="S169" s="12"/>
      <c r="T169" s="12"/>
      <c r="U169" s="12"/>
      <c r="V169" s="12"/>
    </row>
    <row r="170" spans="1:22">
      <c r="A170" s="12"/>
      <c r="B170" s="12"/>
      <c r="C170" s="12"/>
      <c r="D170" s="12"/>
      <c r="E170" s="12"/>
      <c r="F170" s="12"/>
      <c r="G170" s="12"/>
      <c r="H170" s="12"/>
      <c r="I170" s="12"/>
      <c r="J170" s="12"/>
      <c r="K170" s="12"/>
      <c r="L170" s="12"/>
      <c r="M170" s="12"/>
      <c r="N170" s="12"/>
      <c r="O170" s="12"/>
      <c r="P170" s="12"/>
      <c r="Q170" s="12"/>
      <c r="R170" s="12"/>
      <c r="S170" s="12"/>
      <c r="T170" s="12"/>
      <c r="U170" s="12"/>
      <c r="V170" s="12"/>
    </row>
    <row r="171" spans="1:22">
      <c r="A171" s="12"/>
      <c r="B171" s="12"/>
      <c r="C171" s="12"/>
      <c r="D171" s="12"/>
      <c r="E171" s="12"/>
      <c r="F171" s="12"/>
      <c r="G171" s="12"/>
      <c r="H171" s="12"/>
      <c r="I171" s="12"/>
      <c r="J171" s="12"/>
      <c r="K171" s="12"/>
      <c r="L171" s="12"/>
      <c r="M171" s="12"/>
      <c r="N171" s="12"/>
      <c r="O171" s="12"/>
      <c r="P171" s="12"/>
      <c r="Q171" s="12"/>
      <c r="R171" s="12"/>
      <c r="S171" s="12"/>
      <c r="T171" s="12"/>
      <c r="U171" s="12"/>
      <c r="V171" s="12"/>
    </row>
    <row r="172" spans="1:22">
      <c r="A172" s="12"/>
      <c r="B172" s="12"/>
      <c r="C172" s="12"/>
      <c r="D172" s="12"/>
      <c r="E172" s="12"/>
      <c r="F172" s="12"/>
      <c r="G172" s="12"/>
      <c r="H172" s="12"/>
      <c r="I172" s="12"/>
      <c r="J172" s="12"/>
      <c r="K172" s="12"/>
      <c r="L172" s="12"/>
      <c r="M172" s="12"/>
      <c r="N172" s="12"/>
      <c r="O172" s="12"/>
      <c r="P172" s="12"/>
      <c r="Q172" s="12"/>
      <c r="R172" s="12"/>
      <c r="S172" s="12"/>
      <c r="T172" s="12"/>
      <c r="U172" s="12"/>
      <c r="V172" s="12"/>
    </row>
    <row r="173" spans="1:22">
      <c r="A173" s="12"/>
      <c r="B173" s="12"/>
      <c r="C173" s="12"/>
      <c r="D173" s="12"/>
      <c r="E173" s="12"/>
      <c r="F173" s="12"/>
      <c r="G173" s="12"/>
      <c r="H173" s="12"/>
      <c r="I173" s="12"/>
      <c r="J173" s="12"/>
      <c r="K173" s="12"/>
      <c r="L173" s="12"/>
      <c r="M173" s="12"/>
      <c r="N173" s="12"/>
      <c r="O173" s="12"/>
      <c r="P173" s="12"/>
      <c r="Q173" s="12"/>
      <c r="R173" s="12"/>
      <c r="S173" s="12"/>
      <c r="T173" s="12"/>
      <c r="U173" s="12"/>
      <c r="V173" s="12"/>
    </row>
    <row r="174" spans="1:22">
      <c r="A174" s="12"/>
      <c r="B174" s="12"/>
      <c r="C174" s="12"/>
      <c r="D174" s="12"/>
      <c r="E174" s="12"/>
      <c r="F174" s="12"/>
      <c r="G174" s="12"/>
      <c r="H174" s="12"/>
      <c r="I174" s="12"/>
      <c r="J174" s="12"/>
      <c r="K174" s="12"/>
      <c r="L174" s="12"/>
      <c r="M174" s="12"/>
      <c r="N174" s="12"/>
      <c r="O174" s="12"/>
      <c r="P174" s="12"/>
      <c r="Q174" s="12"/>
      <c r="R174" s="12"/>
      <c r="S174" s="12"/>
      <c r="T174" s="12"/>
      <c r="U174" s="12"/>
      <c r="V174" s="12"/>
    </row>
    <row r="175" spans="1:22">
      <c r="A175" s="12"/>
      <c r="B175" s="12"/>
      <c r="C175" s="12"/>
      <c r="D175" s="12"/>
      <c r="E175" s="12"/>
      <c r="F175" s="12"/>
      <c r="G175" s="12"/>
      <c r="H175" s="12"/>
      <c r="I175" s="12"/>
      <c r="J175" s="12"/>
      <c r="K175" s="12"/>
      <c r="L175" s="12"/>
      <c r="M175" s="12"/>
      <c r="N175" s="12"/>
      <c r="O175" s="12"/>
      <c r="P175" s="12"/>
      <c r="Q175" s="12"/>
      <c r="R175" s="12"/>
      <c r="S175" s="12"/>
      <c r="T175" s="12"/>
      <c r="U175" s="12"/>
      <c r="V175" s="12"/>
    </row>
    <row r="176" spans="1:22">
      <c r="A176" s="12"/>
      <c r="B176" s="12"/>
      <c r="C176" s="12"/>
      <c r="D176" s="12"/>
      <c r="E176" s="12"/>
      <c r="F176" s="12"/>
      <c r="G176" s="12"/>
      <c r="H176" s="12"/>
      <c r="I176" s="12"/>
      <c r="J176" s="12"/>
      <c r="K176" s="12"/>
      <c r="L176" s="12"/>
      <c r="M176" s="12"/>
      <c r="N176" s="12"/>
      <c r="O176" s="12"/>
      <c r="P176" s="12"/>
      <c r="Q176" s="12"/>
      <c r="R176" s="12"/>
      <c r="S176" s="12"/>
      <c r="T176" s="12"/>
      <c r="U176" s="12"/>
      <c r="V176" s="12"/>
    </row>
    <row r="177" spans="1:22">
      <c r="A177" s="12"/>
      <c r="B177" s="12"/>
      <c r="C177" s="12"/>
      <c r="D177" s="12"/>
      <c r="E177" s="12"/>
      <c r="F177" s="12"/>
      <c r="G177" s="12"/>
      <c r="H177" s="12"/>
      <c r="I177" s="12"/>
      <c r="J177" s="12"/>
      <c r="K177" s="12"/>
      <c r="L177" s="12"/>
      <c r="M177" s="12"/>
      <c r="N177" s="12"/>
      <c r="O177" s="12"/>
      <c r="P177" s="12"/>
      <c r="Q177" s="12"/>
      <c r="R177" s="12"/>
      <c r="S177" s="12"/>
      <c r="T177" s="12"/>
      <c r="U177" s="12"/>
      <c r="V177" s="12"/>
    </row>
    <row r="178" spans="1:22">
      <c r="A178" s="12"/>
      <c r="B178" s="12"/>
      <c r="C178" s="12"/>
      <c r="D178" s="12"/>
      <c r="E178" s="12"/>
      <c r="F178" s="12"/>
      <c r="G178" s="12"/>
      <c r="H178" s="12"/>
      <c r="I178" s="12"/>
      <c r="J178" s="12"/>
      <c r="K178" s="12"/>
      <c r="L178" s="12"/>
      <c r="M178" s="12"/>
      <c r="N178" s="12"/>
      <c r="O178" s="12"/>
      <c r="P178" s="12"/>
      <c r="Q178" s="12"/>
      <c r="R178" s="12"/>
      <c r="S178" s="12"/>
      <c r="T178" s="12"/>
      <c r="U178" s="12"/>
      <c r="V178" s="12"/>
    </row>
    <row r="179" spans="1:22">
      <c r="A179" s="12"/>
      <c r="B179" s="12"/>
      <c r="C179" s="12"/>
      <c r="D179" s="12"/>
      <c r="E179" s="12"/>
      <c r="F179" s="12"/>
      <c r="G179" s="12"/>
      <c r="H179" s="12"/>
      <c r="I179" s="12"/>
      <c r="J179" s="12"/>
      <c r="K179" s="12"/>
      <c r="L179" s="12"/>
      <c r="M179" s="12"/>
      <c r="N179" s="12"/>
      <c r="O179" s="12"/>
      <c r="P179" s="12"/>
      <c r="Q179" s="12"/>
      <c r="R179" s="12"/>
      <c r="S179" s="12"/>
      <c r="T179" s="12"/>
      <c r="U179" s="12"/>
      <c r="V179" s="12"/>
    </row>
    <row r="180" spans="1:22">
      <c r="A180" s="12"/>
      <c r="B180" s="12"/>
      <c r="C180" s="12"/>
      <c r="D180" s="12"/>
      <c r="E180" s="12"/>
      <c r="F180" s="12"/>
      <c r="G180" s="12"/>
      <c r="H180" s="12"/>
      <c r="I180" s="12"/>
      <c r="J180" s="12"/>
      <c r="K180" s="12"/>
      <c r="L180" s="12"/>
      <c r="M180" s="12"/>
      <c r="N180" s="12"/>
      <c r="O180" s="12"/>
      <c r="P180" s="12"/>
      <c r="Q180" s="12"/>
      <c r="R180" s="12"/>
      <c r="S180" s="12"/>
      <c r="T180" s="12"/>
      <c r="U180" s="12"/>
      <c r="V180" s="12"/>
    </row>
    <row r="181" spans="1:22">
      <c r="A181" s="12"/>
      <c r="B181" s="12"/>
      <c r="C181" s="12"/>
      <c r="D181" s="12"/>
      <c r="E181" s="12"/>
      <c r="F181" s="12"/>
      <c r="G181" s="12"/>
      <c r="H181" s="12"/>
      <c r="I181" s="12"/>
      <c r="J181" s="12"/>
      <c r="K181" s="12"/>
      <c r="L181" s="12"/>
      <c r="M181" s="12"/>
      <c r="N181" s="12"/>
      <c r="O181" s="12"/>
      <c r="P181" s="12"/>
      <c r="Q181" s="12"/>
      <c r="R181" s="12"/>
      <c r="S181" s="12"/>
      <c r="T181" s="12"/>
      <c r="U181" s="12"/>
      <c r="V181" s="12"/>
    </row>
    <row r="182" spans="1:22">
      <c r="A182" s="12"/>
      <c r="B182" s="12"/>
      <c r="C182" s="12"/>
      <c r="D182" s="12"/>
      <c r="E182" s="12"/>
      <c r="F182" s="12"/>
      <c r="G182" s="12"/>
      <c r="H182" s="12"/>
      <c r="I182" s="12"/>
      <c r="J182" s="12"/>
      <c r="K182" s="12"/>
      <c r="L182" s="12"/>
      <c r="M182" s="12"/>
      <c r="N182" s="12"/>
      <c r="O182" s="12"/>
      <c r="P182" s="12"/>
      <c r="Q182" s="12"/>
      <c r="R182" s="12"/>
      <c r="S182" s="12"/>
      <c r="T182" s="12"/>
      <c r="U182" s="12"/>
      <c r="V182" s="12"/>
    </row>
    <row r="183" spans="1:22">
      <c r="A183" s="12"/>
      <c r="B183" s="12"/>
      <c r="C183" s="12"/>
      <c r="D183" s="12"/>
      <c r="E183" s="12"/>
      <c r="F183" s="12"/>
      <c r="G183" s="12"/>
      <c r="H183" s="12"/>
      <c r="I183" s="12"/>
      <c r="J183" s="12"/>
      <c r="K183" s="12"/>
      <c r="L183" s="12"/>
      <c r="M183" s="12"/>
      <c r="N183" s="12"/>
      <c r="O183" s="12"/>
      <c r="P183" s="12"/>
      <c r="Q183" s="12"/>
      <c r="R183" s="12"/>
      <c r="S183" s="12"/>
      <c r="T183" s="12"/>
      <c r="U183" s="12"/>
      <c r="V183" s="12"/>
    </row>
    <row r="184" spans="1:22">
      <c r="A184" s="12"/>
      <c r="B184" s="12"/>
      <c r="C184" s="12"/>
      <c r="D184" s="12"/>
      <c r="E184" s="12"/>
      <c r="F184" s="12"/>
      <c r="G184" s="12"/>
      <c r="H184" s="12"/>
      <c r="I184" s="12"/>
      <c r="J184" s="12"/>
      <c r="K184" s="12"/>
      <c r="L184" s="12"/>
      <c r="M184" s="12"/>
      <c r="N184" s="12"/>
      <c r="O184" s="12"/>
      <c r="P184" s="12"/>
      <c r="Q184" s="12"/>
      <c r="R184" s="12"/>
      <c r="S184" s="12"/>
      <c r="T184" s="12"/>
      <c r="U184" s="12"/>
      <c r="V184" s="12"/>
    </row>
    <row r="185" spans="1:22">
      <c r="A185" s="12"/>
      <c r="B185" s="12"/>
      <c r="C185" s="12"/>
      <c r="D185" s="12"/>
      <c r="E185" s="12"/>
      <c r="F185" s="12"/>
      <c r="G185" s="12"/>
      <c r="H185" s="12"/>
      <c r="I185" s="12"/>
      <c r="J185" s="12"/>
      <c r="K185" s="12"/>
      <c r="L185" s="12"/>
      <c r="M185" s="12"/>
      <c r="N185" s="12"/>
      <c r="O185" s="12"/>
      <c r="P185" s="12"/>
      <c r="Q185" s="12"/>
      <c r="R185" s="12"/>
      <c r="S185" s="12"/>
      <c r="T185" s="12"/>
      <c r="U185" s="12"/>
      <c r="V185" s="12"/>
    </row>
    <row r="186" spans="1:22">
      <c r="A186" s="12"/>
      <c r="B186" s="12"/>
      <c r="C186" s="12"/>
      <c r="D186" s="12"/>
      <c r="E186" s="12"/>
      <c r="F186" s="12"/>
      <c r="G186" s="12"/>
      <c r="H186" s="12"/>
      <c r="I186" s="12"/>
      <c r="J186" s="12"/>
      <c r="K186" s="12"/>
      <c r="L186" s="12"/>
      <c r="M186" s="12"/>
      <c r="N186" s="12"/>
      <c r="O186" s="12"/>
      <c r="P186" s="12"/>
      <c r="Q186" s="12"/>
      <c r="R186" s="12"/>
      <c r="S186" s="12"/>
      <c r="T186" s="12"/>
      <c r="U186" s="12"/>
      <c r="V186" s="12"/>
    </row>
    <row r="187" spans="1:22">
      <c r="A187" s="12"/>
      <c r="B187" s="12"/>
      <c r="C187" s="12"/>
      <c r="D187" s="12"/>
      <c r="E187" s="12"/>
      <c r="F187" s="12"/>
      <c r="G187" s="12"/>
      <c r="H187" s="12"/>
      <c r="I187" s="12"/>
      <c r="J187" s="12"/>
      <c r="K187" s="12"/>
      <c r="L187" s="12"/>
      <c r="M187" s="12"/>
      <c r="N187" s="12"/>
      <c r="O187" s="12"/>
      <c r="P187" s="12"/>
      <c r="Q187" s="12"/>
      <c r="R187" s="12"/>
      <c r="S187" s="12"/>
      <c r="T187" s="12"/>
      <c r="U187" s="12"/>
      <c r="V187" s="12"/>
    </row>
    <row r="188" spans="1:22">
      <c r="A188" s="12"/>
      <c r="B188" s="12"/>
      <c r="C188" s="12"/>
      <c r="D188" s="12"/>
      <c r="E188" s="12"/>
      <c r="F188" s="12"/>
      <c r="G188" s="12"/>
      <c r="H188" s="12"/>
      <c r="I188" s="12"/>
      <c r="J188" s="12"/>
      <c r="K188" s="12"/>
      <c r="L188" s="12"/>
      <c r="M188" s="12"/>
      <c r="N188" s="12"/>
      <c r="O188" s="12"/>
      <c r="P188" s="12"/>
      <c r="Q188" s="12"/>
      <c r="R188" s="12"/>
      <c r="S188" s="12"/>
      <c r="T188" s="12"/>
      <c r="U188" s="12"/>
      <c r="V188" s="12"/>
    </row>
    <row r="189" spans="1:22">
      <c r="A189" s="12"/>
      <c r="B189" s="12"/>
      <c r="C189" s="12"/>
      <c r="D189" s="12"/>
      <c r="E189" s="12"/>
      <c r="F189" s="12"/>
      <c r="G189" s="12"/>
      <c r="H189" s="12"/>
      <c r="I189" s="12"/>
      <c r="J189" s="12"/>
      <c r="K189" s="12"/>
      <c r="L189" s="12"/>
      <c r="M189" s="12"/>
      <c r="N189" s="12"/>
      <c r="O189" s="12"/>
      <c r="P189" s="12"/>
      <c r="Q189" s="12"/>
      <c r="R189" s="12"/>
      <c r="S189" s="12"/>
      <c r="T189" s="12"/>
      <c r="U189" s="12"/>
      <c r="V189" s="12"/>
    </row>
    <row r="190" spans="1:22">
      <c r="A190" s="12"/>
      <c r="B190" s="12"/>
      <c r="C190" s="12"/>
      <c r="D190" s="12"/>
      <c r="E190" s="12"/>
      <c r="F190" s="12"/>
      <c r="G190" s="12"/>
      <c r="H190" s="12"/>
      <c r="I190" s="12"/>
      <c r="J190" s="12"/>
      <c r="K190" s="12"/>
      <c r="L190" s="12"/>
      <c r="M190" s="12"/>
      <c r="N190" s="12"/>
      <c r="O190" s="12"/>
      <c r="P190" s="12"/>
      <c r="Q190" s="12"/>
      <c r="R190" s="12"/>
      <c r="S190" s="12"/>
      <c r="T190" s="12"/>
      <c r="U190" s="12"/>
      <c r="V190" s="12"/>
    </row>
    <row r="191" spans="1:22">
      <c r="A191" s="12"/>
      <c r="B191" s="12"/>
      <c r="C191" s="12"/>
      <c r="D191" s="12"/>
      <c r="E191" s="12"/>
      <c r="F191" s="12"/>
      <c r="G191" s="12"/>
      <c r="H191" s="12"/>
      <c r="I191" s="12"/>
      <c r="J191" s="12"/>
      <c r="K191" s="12"/>
      <c r="L191" s="12"/>
      <c r="M191" s="12"/>
      <c r="N191" s="12"/>
      <c r="O191" s="12"/>
      <c r="P191" s="12"/>
      <c r="Q191" s="12"/>
      <c r="R191" s="12"/>
      <c r="S191" s="12"/>
      <c r="T191" s="12"/>
      <c r="U191" s="12"/>
      <c r="V191" s="12"/>
    </row>
    <row r="192" spans="1:22">
      <c r="A192" s="12"/>
      <c r="B192" s="12"/>
      <c r="C192" s="12"/>
      <c r="D192" s="12"/>
      <c r="E192" s="12"/>
      <c r="F192" s="12"/>
      <c r="G192" s="12"/>
      <c r="H192" s="12"/>
      <c r="I192" s="12"/>
      <c r="J192" s="12"/>
      <c r="K192" s="12"/>
      <c r="L192" s="12"/>
      <c r="M192" s="12"/>
      <c r="N192" s="12"/>
      <c r="O192" s="12"/>
      <c r="P192" s="12"/>
      <c r="Q192" s="12"/>
      <c r="R192" s="12"/>
      <c r="S192" s="12"/>
      <c r="T192" s="12"/>
      <c r="U192" s="12"/>
      <c r="V192" s="12"/>
    </row>
    <row r="193" spans="1:22">
      <c r="A193" s="12"/>
      <c r="B193" s="12"/>
      <c r="C193" s="12"/>
      <c r="D193" s="12"/>
      <c r="E193" s="12"/>
      <c r="F193" s="12"/>
      <c r="G193" s="12"/>
      <c r="H193" s="12"/>
      <c r="I193" s="12"/>
      <c r="J193" s="12"/>
      <c r="K193" s="12"/>
      <c r="L193" s="12"/>
      <c r="M193" s="12"/>
      <c r="N193" s="12"/>
      <c r="O193" s="12"/>
      <c r="P193" s="12"/>
      <c r="Q193" s="12"/>
      <c r="R193" s="12"/>
      <c r="S193" s="12"/>
      <c r="T193" s="12"/>
      <c r="U193" s="12"/>
      <c r="V193" s="12"/>
    </row>
    <row r="194" spans="1:22">
      <c r="A194" s="12"/>
      <c r="B194" s="12"/>
      <c r="C194" s="12"/>
      <c r="D194" s="12"/>
      <c r="E194" s="12"/>
      <c r="F194" s="12"/>
      <c r="G194" s="12"/>
      <c r="H194" s="12"/>
      <c r="I194" s="12"/>
      <c r="J194" s="12"/>
      <c r="K194" s="12"/>
      <c r="L194" s="12"/>
      <c r="M194" s="12"/>
      <c r="N194" s="12"/>
      <c r="O194" s="12"/>
      <c r="P194" s="12"/>
      <c r="Q194" s="12"/>
      <c r="R194" s="12"/>
      <c r="S194" s="12"/>
      <c r="T194" s="12"/>
      <c r="U194" s="12"/>
      <c r="V194" s="12"/>
    </row>
    <row r="195" spans="1:22">
      <c r="A195" s="12"/>
      <c r="B195" s="12"/>
      <c r="C195" s="12"/>
      <c r="D195" s="12"/>
      <c r="E195" s="12"/>
      <c r="F195" s="12"/>
      <c r="G195" s="12"/>
      <c r="H195" s="12"/>
      <c r="I195" s="12"/>
      <c r="J195" s="12"/>
      <c r="K195" s="12"/>
      <c r="L195" s="12"/>
      <c r="M195" s="12"/>
      <c r="N195" s="12"/>
      <c r="O195" s="12"/>
      <c r="P195" s="12"/>
      <c r="Q195" s="12"/>
      <c r="R195" s="12"/>
      <c r="S195" s="12"/>
      <c r="T195" s="12"/>
      <c r="U195" s="12"/>
      <c r="V195" s="12"/>
    </row>
    <row r="196" spans="1:22">
      <c r="A196" s="12"/>
      <c r="B196" s="12"/>
      <c r="C196" s="12"/>
      <c r="D196" s="12"/>
      <c r="E196" s="12"/>
      <c r="F196" s="12"/>
      <c r="G196" s="12"/>
      <c r="H196" s="12"/>
      <c r="I196" s="12"/>
      <c r="J196" s="12"/>
      <c r="K196" s="12"/>
      <c r="L196" s="12"/>
      <c r="M196" s="12"/>
      <c r="N196" s="12"/>
      <c r="O196" s="12"/>
      <c r="P196" s="12"/>
      <c r="Q196" s="12"/>
      <c r="R196" s="12"/>
      <c r="S196" s="12"/>
      <c r="T196" s="12"/>
      <c r="U196" s="12"/>
      <c r="V196" s="12"/>
    </row>
    <row r="197" spans="1:22">
      <c r="A197" s="12"/>
      <c r="B197" s="12"/>
      <c r="C197" s="12"/>
      <c r="D197" s="12"/>
      <c r="E197" s="12"/>
      <c r="F197" s="12"/>
      <c r="G197" s="12"/>
      <c r="H197" s="12"/>
      <c r="I197" s="12"/>
      <c r="J197" s="12"/>
      <c r="K197" s="12"/>
      <c r="L197" s="12"/>
      <c r="M197" s="12"/>
      <c r="N197" s="12"/>
      <c r="O197" s="12"/>
      <c r="P197" s="12"/>
      <c r="Q197" s="12"/>
      <c r="R197" s="12"/>
      <c r="S197" s="12"/>
      <c r="T197" s="12"/>
      <c r="U197" s="12"/>
      <c r="V197" s="12"/>
    </row>
    <row r="198" spans="1:22">
      <c r="A198" s="12"/>
      <c r="B198" s="12"/>
      <c r="C198" s="12"/>
      <c r="D198" s="12"/>
      <c r="E198" s="12"/>
      <c r="F198" s="12"/>
      <c r="G198" s="12"/>
      <c r="H198" s="12"/>
      <c r="I198" s="12"/>
      <c r="J198" s="12"/>
      <c r="K198" s="12"/>
      <c r="L198" s="12"/>
      <c r="M198" s="12"/>
      <c r="N198" s="12"/>
      <c r="O198" s="12"/>
      <c r="P198" s="12"/>
      <c r="Q198" s="12"/>
      <c r="R198" s="12"/>
      <c r="S198" s="12"/>
      <c r="T198" s="12"/>
      <c r="U198" s="12"/>
      <c r="V198" s="12"/>
    </row>
    <row r="199" spans="1:22">
      <c r="A199" s="12"/>
      <c r="B199" s="12"/>
      <c r="C199" s="12"/>
      <c r="D199" s="12"/>
      <c r="E199" s="12"/>
      <c r="F199" s="12"/>
      <c r="G199" s="12"/>
      <c r="H199" s="12"/>
      <c r="I199" s="12"/>
      <c r="J199" s="12"/>
      <c r="K199" s="12"/>
      <c r="L199" s="12"/>
      <c r="M199" s="12"/>
      <c r="N199" s="12"/>
      <c r="O199" s="12"/>
      <c r="P199" s="12"/>
      <c r="Q199" s="12"/>
      <c r="R199" s="12"/>
      <c r="S199" s="12"/>
      <c r="T199" s="12"/>
      <c r="U199" s="12"/>
      <c r="V199" s="12"/>
    </row>
    <row r="200" spans="1:22">
      <c r="A200" s="12"/>
      <c r="B200" s="12"/>
      <c r="C200" s="12"/>
      <c r="D200" s="12"/>
      <c r="E200" s="12"/>
      <c r="F200" s="12"/>
      <c r="G200" s="12"/>
      <c r="H200" s="12"/>
      <c r="I200" s="12"/>
      <c r="J200" s="12"/>
      <c r="K200" s="12"/>
      <c r="L200" s="12"/>
      <c r="M200" s="12"/>
      <c r="N200" s="12"/>
      <c r="O200" s="12"/>
      <c r="P200" s="12"/>
      <c r="Q200" s="12"/>
      <c r="R200" s="12"/>
      <c r="S200" s="12"/>
      <c r="T200" s="12"/>
      <c r="U200" s="12"/>
      <c r="V200" s="12"/>
    </row>
    <row r="201" spans="1:22">
      <c r="A201" s="12"/>
      <c r="B201" s="12"/>
      <c r="C201" s="12"/>
      <c r="D201" s="12"/>
      <c r="E201" s="12"/>
      <c r="F201" s="12"/>
      <c r="G201" s="12"/>
      <c r="H201" s="12"/>
      <c r="I201" s="12"/>
      <c r="J201" s="12"/>
      <c r="K201" s="12"/>
      <c r="L201" s="12"/>
      <c r="M201" s="12"/>
      <c r="N201" s="12"/>
      <c r="O201" s="12"/>
      <c r="P201" s="12"/>
      <c r="Q201" s="12"/>
      <c r="R201" s="12"/>
      <c r="S201" s="12"/>
      <c r="T201" s="12"/>
      <c r="U201" s="12"/>
      <c r="V201" s="12"/>
    </row>
    <row r="202" spans="1:22">
      <c r="A202" s="12"/>
      <c r="B202" s="12"/>
      <c r="C202" s="12"/>
      <c r="D202" s="12"/>
      <c r="E202" s="12"/>
      <c r="F202" s="12"/>
      <c r="G202" s="12"/>
      <c r="H202" s="12"/>
      <c r="I202" s="12"/>
      <c r="J202" s="12"/>
      <c r="K202" s="12"/>
      <c r="L202" s="12"/>
      <c r="M202" s="12"/>
      <c r="N202" s="12"/>
      <c r="O202" s="12"/>
      <c r="P202" s="12"/>
      <c r="Q202" s="12"/>
      <c r="R202" s="12"/>
      <c r="S202" s="12"/>
      <c r="T202" s="12"/>
      <c r="U202" s="12"/>
      <c r="V202" s="12"/>
    </row>
    <row r="203" spans="1:22">
      <c r="A203" s="12"/>
      <c r="B203" s="12"/>
      <c r="C203" s="12"/>
      <c r="D203" s="12"/>
      <c r="E203" s="12"/>
      <c r="F203" s="12"/>
      <c r="G203" s="12"/>
      <c r="H203" s="12"/>
      <c r="I203" s="12"/>
      <c r="J203" s="12"/>
      <c r="K203" s="12"/>
      <c r="L203" s="12"/>
      <c r="M203" s="12"/>
      <c r="N203" s="12"/>
      <c r="O203" s="12"/>
      <c r="P203" s="12"/>
      <c r="Q203" s="12"/>
      <c r="R203" s="12"/>
      <c r="S203" s="12"/>
      <c r="T203" s="12"/>
      <c r="U203" s="12"/>
      <c r="V203" s="12"/>
    </row>
    <row r="204" spans="1:22">
      <c r="A204" s="12"/>
      <c r="B204" s="12"/>
      <c r="C204" s="12"/>
      <c r="D204" s="12"/>
      <c r="E204" s="12"/>
      <c r="F204" s="12"/>
      <c r="G204" s="12"/>
      <c r="H204" s="12"/>
      <c r="I204" s="12"/>
      <c r="J204" s="12"/>
      <c r="K204" s="12"/>
      <c r="L204" s="12"/>
      <c r="M204" s="12"/>
      <c r="N204" s="12"/>
      <c r="O204" s="12"/>
      <c r="P204" s="12"/>
      <c r="Q204" s="12"/>
      <c r="R204" s="12"/>
      <c r="S204" s="12"/>
      <c r="T204" s="12"/>
      <c r="U204" s="12"/>
      <c r="V204" s="12"/>
    </row>
    <row r="205" spans="1:22">
      <c r="A205" s="12"/>
      <c r="B205" s="12"/>
      <c r="C205" s="12"/>
      <c r="D205" s="12"/>
      <c r="E205" s="12"/>
      <c r="F205" s="12"/>
      <c r="G205" s="12"/>
      <c r="H205" s="12"/>
      <c r="I205" s="12"/>
      <c r="J205" s="12"/>
      <c r="K205" s="12"/>
      <c r="L205" s="12"/>
      <c r="M205" s="12"/>
      <c r="N205" s="12"/>
      <c r="O205" s="12"/>
      <c r="P205" s="12"/>
      <c r="Q205" s="12"/>
      <c r="R205" s="12"/>
      <c r="S205" s="12"/>
      <c r="T205" s="12"/>
      <c r="U205" s="12"/>
      <c r="V205" s="12"/>
    </row>
    <row r="206" spans="1:22">
      <c r="A206" s="12"/>
      <c r="B206" s="12"/>
      <c r="C206" s="12"/>
      <c r="D206" s="12"/>
      <c r="E206" s="12"/>
      <c r="F206" s="12"/>
      <c r="G206" s="12"/>
      <c r="H206" s="12"/>
      <c r="I206" s="12"/>
      <c r="J206" s="12"/>
      <c r="K206" s="12"/>
      <c r="L206" s="12"/>
      <c r="M206" s="12"/>
      <c r="N206" s="12"/>
      <c r="O206" s="12"/>
      <c r="P206" s="12"/>
      <c r="Q206" s="12"/>
      <c r="R206" s="12"/>
      <c r="S206" s="12"/>
      <c r="T206" s="12"/>
      <c r="U206" s="12"/>
      <c r="V206" s="12"/>
    </row>
    <row r="207" spans="1:22">
      <c r="A207" s="12"/>
      <c r="B207" s="12"/>
      <c r="C207" s="12"/>
      <c r="D207" s="12"/>
      <c r="E207" s="12"/>
      <c r="F207" s="12"/>
      <c r="G207" s="12"/>
      <c r="H207" s="12"/>
      <c r="I207" s="12"/>
      <c r="J207" s="12"/>
      <c r="K207" s="12"/>
      <c r="L207" s="12"/>
      <c r="M207" s="12"/>
      <c r="N207" s="12"/>
      <c r="O207" s="12"/>
      <c r="P207" s="12"/>
      <c r="Q207" s="12"/>
      <c r="R207" s="12"/>
      <c r="S207" s="12"/>
      <c r="T207" s="12"/>
      <c r="U207" s="12"/>
      <c r="V207" s="12"/>
    </row>
    <row r="208" spans="1:22">
      <c r="A208" s="12"/>
      <c r="B208" s="12"/>
      <c r="C208" s="12"/>
      <c r="D208" s="12"/>
      <c r="E208" s="12"/>
      <c r="F208" s="12"/>
      <c r="G208" s="12"/>
      <c r="H208" s="12"/>
      <c r="I208" s="12"/>
      <c r="J208" s="12"/>
      <c r="K208" s="12"/>
      <c r="L208" s="12"/>
      <c r="M208" s="12"/>
      <c r="N208" s="12"/>
      <c r="O208" s="12"/>
      <c r="P208" s="12"/>
      <c r="Q208" s="12"/>
      <c r="R208" s="12"/>
      <c r="S208" s="12"/>
      <c r="T208" s="12"/>
      <c r="U208" s="12"/>
      <c r="V208" s="12"/>
    </row>
    <row r="209" spans="1:22">
      <c r="A209" s="12"/>
      <c r="B209" s="12"/>
      <c r="C209" s="12"/>
      <c r="D209" s="12"/>
      <c r="E209" s="12"/>
      <c r="F209" s="12"/>
      <c r="G209" s="12"/>
      <c r="H209" s="12"/>
      <c r="I209" s="12"/>
      <c r="J209" s="12"/>
      <c r="K209" s="12"/>
      <c r="L209" s="12"/>
      <c r="M209" s="12"/>
      <c r="N209" s="12"/>
      <c r="O209" s="12"/>
      <c r="P209" s="12"/>
      <c r="Q209" s="12"/>
      <c r="R209" s="12"/>
      <c r="S209" s="12"/>
      <c r="T209" s="12"/>
      <c r="U209" s="12"/>
      <c r="V209" s="12"/>
    </row>
    <row r="210" spans="1:22">
      <c r="A210" s="12"/>
      <c r="B210" s="12"/>
      <c r="C210" s="12"/>
      <c r="D210" s="12"/>
      <c r="E210" s="12"/>
      <c r="F210" s="12"/>
      <c r="G210" s="12"/>
      <c r="H210" s="12"/>
      <c r="I210" s="12"/>
      <c r="J210" s="12"/>
      <c r="K210" s="12"/>
      <c r="L210" s="12"/>
      <c r="M210" s="12"/>
      <c r="N210" s="12"/>
      <c r="O210" s="12"/>
      <c r="P210" s="12"/>
      <c r="Q210" s="12"/>
      <c r="R210" s="12"/>
      <c r="S210" s="12"/>
      <c r="T210" s="12"/>
      <c r="U210" s="12"/>
      <c r="V210" s="12"/>
    </row>
    <row r="211" spans="1:22">
      <c r="A211" s="12"/>
      <c r="B211" s="12"/>
      <c r="C211" s="12"/>
      <c r="D211" s="12"/>
      <c r="E211" s="12"/>
      <c r="F211" s="12"/>
      <c r="G211" s="12"/>
      <c r="H211" s="12"/>
      <c r="I211" s="12"/>
      <c r="J211" s="12"/>
      <c r="K211" s="12"/>
      <c r="L211" s="12"/>
      <c r="M211" s="12"/>
      <c r="N211" s="12"/>
      <c r="O211" s="12"/>
      <c r="P211" s="12"/>
      <c r="Q211" s="12"/>
      <c r="R211" s="12"/>
      <c r="S211" s="12"/>
      <c r="T211" s="12"/>
      <c r="U211" s="12"/>
      <c r="V211" s="12"/>
    </row>
    <row r="212" spans="1:22">
      <c r="A212" s="12"/>
      <c r="B212" s="12"/>
      <c r="C212" s="12"/>
      <c r="D212" s="12"/>
      <c r="E212" s="12"/>
      <c r="F212" s="12"/>
      <c r="G212" s="12"/>
      <c r="H212" s="12"/>
      <c r="I212" s="12"/>
      <c r="J212" s="12"/>
      <c r="K212" s="12"/>
      <c r="L212" s="12"/>
      <c r="M212" s="12"/>
      <c r="N212" s="12"/>
      <c r="O212" s="12"/>
      <c r="P212" s="12"/>
      <c r="Q212" s="12"/>
      <c r="R212" s="12"/>
      <c r="S212" s="12"/>
      <c r="T212" s="12"/>
      <c r="U212" s="12"/>
      <c r="V212" s="12"/>
    </row>
    <row r="213" spans="1:22">
      <c r="A213" s="12"/>
      <c r="B213" s="12"/>
      <c r="C213" s="12"/>
      <c r="D213" s="12"/>
      <c r="E213" s="12"/>
      <c r="F213" s="12"/>
      <c r="G213" s="12"/>
      <c r="H213" s="12"/>
      <c r="I213" s="12"/>
      <c r="J213" s="12"/>
      <c r="K213" s="12"/>
      <c r="L213" s="12"/>
      <c r="M213" s="12"/>
      <c r="N213" s="12"/>
      <c r="O213" s="12"/>
      <c r="P213" s="12"/>
      <c r="Q213" s="12"/>
      <c r="R213" s="12"/>
      <c r="S213" s="12"/>
      <c r="T213" s="12"/>
      <c r="U213" s="12"/>
      <c r="V213" s="12"/>
    </row>
    <row r="214" spans="1:22">
      <c r="A214" s="12"/>
      <c r="B214" s="12"/>
      <c r="C214" s="12"/>
      <c r="D214" s="12"/>
      <c r="E214" s="12"/>
      <c r="F214" s="12"/>
      <c r="G214" s="12"/>
      <c r="H214" s="12"/>
      <c r="I214" s="12"/>
      <c r="J214" s="12"/>
      <c r="K214" s="12"/>
      <c r="L214" s="12"/>
      <c r="M214" s="12"/>
      <c r="N214" s="12"/>
      <c r="O214" s="12"/>
      <c r="P214" s="12"/>
      <c r="Q214" s="12"/>
      <c r="R214" s="12"/>
      <c r="S214" s="12"/>
      <c r="T214" s="12"/>
      <c r="U214" s="12"/>
      <c r="V214" s="12"/>
    </row>
    <row r="215" spans="1:22">
      <c r="A215" s="12"/>
      <c r="B215" s="12"/>
      <c r="C215" s="12"/>
      <c r="D215" s="12"/>
      <c r="E215" s="12"/>
      <c r="F215" s="12"/>
      <c r="G215" s="12"/>
      <c r="H215" s="12"/>
      <c r="I215" s="12"/>
      <c r="J215" s="12"/>
      <c r="K215" s="12"/>
      <c r="L215" s="12"/>
      <c r="M215" s="12"/>
      <c r="N215" s="12"/>
      <c r="O215" s="12"/>
      <c r="P215" s="12"/>
      <c r="Q215" s="12"/>
      <c r="R215" s="12"/>
      <c r="S215" s="12"/>
      <c r="T215" s="12"/>
      <c r="U215" s="12"/>
      <c r="V215" s="12"/>
    </row>
    <row r="216" spans="1:22">
      <c r="A216" s="12"/>
      <c r="B216" s="12"/>
      <c r="C216" s="12"/>
      <c r="D216" s="12"/>
      <c r="E216" s="12"/>
      <c r="F216" s="12"/>
      <c r="G216" s="12"/>
      <c r="H216" s="12"/>
      <c r="I216" s="12"/>
      <c r="J216" s="12"/>
      <c r="K216" s="12"/>
      <c r="L216" s="12"/>
      <c r="M216" s="12"/>
      <c r="N216" s="12"/>
      <c r="O216" s="12"/>
      <c r="P216" s="12"/>
      <c r="Q216" s="12"/>
      <c r="R216" s="12"/>
      <c r="S216" s="12"/>
      <c r="T216" s="12"/>
      <c r="U216" s="12"/>
      <c r="V216" s="12"/>
    </row>
    <row r="217" spans="1:22">
      <c r="A217" s="12"/>
      <c r="B217" s="12"/>
      <c r="C217" s="12"/>
      <c r="D217" s="12"/>
      <c r="E217" s="12"/>
      <c r="F217" s="12"/>
      <c r="G217" s="12"/>
      <c r="H217" s="12"/>
      <c r="I217" s="12"/>
      <c r="J217" s="12"/>
      <c r="K217" s="12"/>
      <c r="L217" s="12"/>
      <c r="M217" s="12"/>
      <c r="N217" s="12"/>
      <c r="O217" s="12"/>
      <c r="P217" s="12"/>
      <c r="Q217" s="12"/>
      <c r="R217" s="12"/>
      <c r="S217" s="12"/>
      <c r="T217" s="12"/>
      <c r="U217" s="12"/>
      <c r="V217" s="12"/>
    </row>
    <row r="218" spans="1:22">
      <c r="A218" s="12"/>
      <c r="B218" s="12"/>
      <c r="C218" s="12"/>
      <c r="D218" s="12"/>
      <c r="E218" s="12"/>
      <c r="F218" s="12"/>
      <c r="G218" s="12"/>
      <c r="H218" s="12"/>
      <c r="I218" s="12"/>
      <c r="J218" s="12"/>
      <c r="K218" s="12"/>
      <c r="L218" s="12"/>
      <c r="M218" s="12"/>
      <c r="N218" s="12"/>
      <c r="O218" s="12"/>
      <c r="P218" s="12"/>
      <c r="Q218" s="12"/>
      <c r="R218" s="12"/>
      <c r="S218" s="12"/>
      <c r="T218" s="12"/>
      <c r="U218" s="12"/>
      <c r="V218" s="12"/>
    </row>
    <row r="219" spans="1:22">
      <c r="A219" s="12"/>
      <c r="B219" s="12"/>
      <c r="C219" s="12"/>
      <c r="D219" s="12"/>
      <c r="E219" s="12"/>
      <c r="F219" s="12"/>
      <c r="G219" s="12"/>
      <c r="H219" s="12"/>
      <c r="I219" s="12"/>
      <c r="J219" s="12"/>
      <c r="K219" s="12"/>
      <c r="L219" s="12"/>
      <c r="M219" s="12"/>
      <c r="N219" s="12"/>
      <c r="O219" s="12"/>
      <c r="P219" s="12"/>
      <c r="Q219" s="12"/>
      <c r="R219" s="12"/>
      <c r="S219" s="12"/>
      <c r="T219" s="12"/>
      <c r="U219" s="12"/>
      <c r="V219" s="12"/>
    </row>
    <row r="220" spans="1:22">
      <c r="A220" s="12"/>
      <c r="B220" s="12"/>
      <c r="C220" s="12"/>
      <c r="D220" s="12"/>
      <c r="E220" s="12"/>
      <c r="F220" s="12"/>
      <c r="G220" s="12"/>
      <c r="H220" s="12"/>
      <c r="I220" s="12"/>
      <c r="J220" s="12"/>
      <c r="K220" s="12"/>
      <c r="L220" s="12"/>
      <c r="M220" s="12"/>
      <c r="N220" s="12"/>
      <c r="O220" s="12"/>
      <c r="P220" s="12"/>
      <c r="Q220" s="12"/>
      <c r="R220" s="12"/>
      <c r="S220" s="12"/>
      <c r="T220" s="12"/>
      <c r="U220" s="12"/>
      <c r="V220" s="12"/>
    </row>
    <row r="221" spans="1:22">
      <c r="A221" s="12"/>
      <c r="B221" s="12"/>
      <c r="C221" s="12"/>
      <c r="D221" s="12"/>
      <c r="E221" s="12"/>
      <c r="F221" s="12"/>
      <c r="G221" s="12"/>
      <c r="H221" s="12"/>
      <c r="I221" s="12"/>
      <c r="J221" s="12"/>
      <c r="K221" s="12"/>
      <c r="L221" s="12"/>
      <c r="M221" s="12"/>
      <c r="N221" s="12"/>
      <c r="O221" s="12"/>
      <c r="P221" s="12"/>
      <c r="Q221" s="12"/>
      <c r="R221" s="12"/>
      <c r="S221" s="12"/>
      <c r="T221" s="12"/>
      <c r="U221" s="12"/>
      <c r="V221" s="12"/>
    </row>
    <row r="222" spans="1:22">
      <c r="A222" s="12"/>
      <c r="B222" s="12"/>
      <c r="C222" s="12"/>
      <c r="D222" s="12"/>
      <c r="E222" s="12"/>
      <c r="F222" s="12"/>
      <c r="G222" s="12"/>
      <c r="H222" s="12"/>
      <c r="I222" s="12"/>
      <c r="J222" s="12"/>
      <c r="K222" s="12"/>
      <c r="L222" s="12"/>
      <c r="M222" s="12"/>
      <c r="N222" s="12"/>
      <c r="O222" s="12"/>
      <c r="P222" s="12"/>
      <c r="Q222" s="12"/>
      <c r="R222" s="12"/>
      <c r="S222" s="12"/>
      <c r="T222" s="12"/>
      <c r="U222" s="12"/>
      <c r="V222" s="12"/>
    </row>
    <row r="223" spans="1:22">
      <c r="A223" s="12"/>
      <c r="B223" s="12"/>
      <c r="C223" s="12"/>
      <c r="D223" s="12"/>
      <c r="E223" s="12"/>
      <c r="F223" s="12"/>
      <c r="G223" s="12"/>
      <c r="H223" s="12"/>
      <c r="I223" s="12"/>
      <c r="J223" s="12"/>
      <c r="K223" s="12"/>
      <c r="L223" s="12"/>
      <c r="M223" s="12"/>
      <c r="N223" s="12"/>
      <c r="O223" s="12"/>
      <c r="P223" s="12"/>
      <c r="Q223" s="12"/>
      <c r="R223" s="12"/>
      <c r="S223" s="12"/>
      <c r="T223" s="12"/>
      <c r="U223" s="12"/>
      <c r="V223" s="12"/>
    </row>
    <row r="224" spans="1:22">
      <c r="A224" s="12"/>
      <c r="B224" s="12"/>
      <c r="C224" s="12"/>
      <c r="D224" s="12"/>
      <c r="E224" s="12"/>
      <c r="F224" s="12"/>
      <c r="G224" s="12"/>
      <c r="H224" s="12"/>
      <c r="I224" s="12"/>
      <c r="J224" s="12"/>
      <c r="K224" s="12"/>
      <c r="L224" s="12"/>
      <c r="M224" s="12"/>
      <c r="N224" s="12"/>
      <c r="O224" s="12"/>
      <c r="P224" s="12"/>
      <c r="Q224" s="12"/>
      <c r="R224" s="12"/>
      <c r="S224" s="12"/>
      <c r="T224" s="12"/>
      <c r="U224" s="12"/>
      <c r="V224" s="12"/>
    </row>
    <row r="225" spans="1:22">
      <c r="A225" s="12"/>
      <c r="B225" s="12"/>
      <c r="C225" s="12"/>
      <c r="D225" s="12"/>
      <c r="E225" s="12"/>
      <c r="F225" s="12"/>
      <c r="G225" s="12"/>
      <c r="H225" s="12"/>
      <c r="I225" s="12"/>
      <c r="J225" s="12"/>
      <c r="K225" s="12"/>
      <c r="L225" s="12"/>
      <c r="M225" s="12"/>
      <c r="N225" s="12"/>
      <c r="O225" s="12"/>
      <c r="P225" s="12"/>
      <c r="Q225" s="12"/>
      <c r="R225" s="12"/>
      <c r="S225" s="12"/>
      <c r="T225" s="12"/>
      <c r="U225" s="12"/>
      <c r="V225" s="12"/>
    </row>
    <row r="226" spans="1:22">
      <c r="A226" s="12"/>
      <c r="B226" s="12"/>
      <c r="C226" s="12"/>
      <c r="D226" s="12"/>
      <c r="E226" s="12"/>
      <c r="F226" s="12"/>
      <c r="G226" s="12"/>
      <c r="H226" s="12"/>
      <c r="I226" s="12"/>
      <c r="J226" s="12"/>
      <c r="K226" s="12"/>
      <c r="L226" s="12"/>
      <c r="M226" s="12"/>
      <c r="N226" s="12"/>
      <c r="O226" s="12"/>
      <c r="P226" s="12"/>
      <c r="Q226" s="12"/>
      <c r="R226" s="12"/>
      <c r="S226" s="12"/>
      <c r="T226" s="12"/>
      <c r="U226" s="12"/>
      <c r="V226" s="12"/>
    </row>
    <row r="227" spans="1:22">
      <c r="A227" s="12"/>
      <c r="B227" s="12"/>
      <c r="C227" s="12"/>
      <c r="D227" s="12"/>
      <c r="E227" s="12"/>
      <c r="F227" s="12"/>
      <c r="G227" s="12"/>
      <c r="H227" s="12"/>
      <c r="I227" s="12"/>
      <c r="J227" s="12"/>
      <c r="K227" s="12"/>
      <c r="L227" s="12"/>
      <c r="M227" s="12"/>
      <c r="N227" s="12"/>
      <c r="O227" s="12"/>
      <c r="P227" s="12"/>
      <c r="Q227" s="12"/>
      <c r="R227" s="12"/>
      <c r="S227" s="12"/>
      <c r="T227" s="12"/>
      <c r="U227" s="12"/>
      <c r="V227" s="12"/>
    </row>
    <row r="228" spans="1:22">
      <c r="A228" s="12"/>
      <c r="B228" s="12"/>
      <c r="C228" s="12"/>
      <c r="D228" s="12"/>
      <c r="E228" s="12"/>
      <c r="F228" s="12"/>
      <c r="G228" s="12"/>
      <c r="H228" s="12"/>
      <c r="I228" s="12"/>
      <c r="J228" s="12"/>
      <c r="K228" s="12"/>
      <c r="L228" s="12"/>
      <c r="M228" s="12"/>
      <c r="N228" s="12"/>
      <c r="O228" s="12"/>
      <c r="P228" s="12"/>
      <c r="Q228" s="12"/>
      <c r="R228" s="12"/>
      <c r="S228" s="12"/>
      <c r="T228" s="12"/>
      <c r="U228" s="12"/>
      <c r="V228" s="12"/>
    </row>
    <row r="229" spans="1:22">
      <c r="A229" s="12"/>
      <c r="B229" s="12"/>
      <c r="C229" s="12"/>
      <c r="D229" s="12"/>
      <c r="E229" s="12"/>
      <c r="F229" s="12"/>
      <c r="G229" s="12"/>
      <c r="H229" s="12"/>
      <c r="I229" s="12"/>
      <c r="J229" s="12"/>
      <c r="K229" s="12"/>
      <c r="L229" s="12"/>
      <c r="M229" s="12"/>
      <c r="N229" s="12"/>
      <c r="O229" s="12"/>
      <c r="P229" s="12"/>
      <c r="Q229" s="12"/>
      <c r="R229" s="12"/>
      <c r="S229" s="12"/>
      <c r="T229" s="12"/>
      <c r="U229" s="12"/>
      <c r="V229" s="12"/>
    </row>
    <row r="230" spans="1:22">
      <c r="A230" s="12"/>
      <c r="B230" s="12"/>
      <c r="C230" s="12"/>
      <c r="D230" s="12"/>
      <c r="E230" s="12"/>
      <c r="F230" s="12"/>
      <c r="G230" s="12"/>
      <c r="H230" s="12"/>
      <c r="I230" s="12"/>
      <c r="J230" s="12"/>
      <c r="K230" s="12"/>
      <c r="L230" s="12"/>
      <c r="M230" s="12"/>
      <c r="N230" s="12"/>
      <c r="O230" s="12"/>
      <c r="P230" s="12"/>
      <c r="Q230" s="12"/>
      <c r="R230" s="12"/>
      <c r="S230" s="12"/>
      <c r="T230" s="12"/>
      <c r="U230" s="12"/>
      <c r="V230" s="12"/>
    </row>
    <row r="231" spans="1:22">
      <c r="A231" s="12"/>
      <c r="B231" s="12"/>
      <c r="C231" s="12"/>
      <c r="D231" s="12"/>
      <c r="E231" s="12"/>
      <c r="F231" s="12"/>
      <c r="G231" s="12"/>
      <c r="H231" s="12"/>
      <c r="I231" s="12"/>
      <c r="J231" s="12"/>
      <c r="K231" s="12"/>
      <c r="L231" s="12"/>
      <c r="M231" s="12"/>
      <c r="N231" s="12"/>
      <c r="O231" s="12"/>
      <c r="P231" s="12"/>
      <c r="Q231" s="12"/>
      <c r="R231" s="12"/>
      <c r="S231" s="12"/>
      <c r="T231" s="12"/>
      <c r="U231" s="12"/>
      <c r="V231" s="12"/>
    </row>
    <row r="232" spans="1:22">
      <c r="A232" s="12"/>
      <c r="B232" s="12"/>
      <c r="C232" s="12"/>
      <c r="D232" s="12"/>
      <c r="E232" s="12"/>
      <c r="F232" s="12"/>
      <c r="G232" s="12"/>
      <c r="H232" s="12"/>
      <c r="I232" s="12"/>
      <c r="J232" s="12"/>
      <c r="K232" s="12"/>
      <c r="L232" s="12"/>
      <c r="M232" s="12"/>
      <c r="N232" s="12"/>
      <c r="O232" s="12"/>
      <c r="P232" s="12"/>
      <c r="Q232" s="12"/>
      <c r="R232" s="12"/>
      <c r="S232" s="12"/>
      <c r="T232" s="12"/>
      <c r="U232" s="12"/>
      <c r="V232" s="12"/>
    </row>
    <row r="233" spans="1:22">
      <c r="A233" s="12"/>
      <c r="B233" s="12"/>
      <c r="C233" s="12"/>
      <c r="D233" s="12"/>
      <c r="E233" s="12"/>
      <c r="F233" s="12"/>
      <c r="G233" s="12"/>
      <c r="H233" s="12"/>
      <c r="I233" s="12"/>
      <c r="J233" s="12"/>
      <c r="K233" s="12"/>
      <c r="L233" s="12"/>
      <c r="M233" s="12"/>
      <c r="N233" s="12"/>
      <c r="O233" s="12"/>
      <c r="P233" s="12"/>
      <c r="Q233" s="12"/>
      <c r="R233" s="12"/>
      <c r="S233" s="12"/>
      <c r="T233" s="12"/>
      <c r="U233" s="12"/>
      <c r="V233" s="12"/>
    </row>
    <row r="234" spans="1:22">
      <c r="A234" s="12"/>
      <c r="B234" s="12"/>
      <c r="C234" s="12"/>
      <c r="D234" s="12"/>
      <c r="E234" s="12"/>
      <c r="F234" s="12"/>
      <c r="G234" s="12"/>
      <c r="H234" s="12"/>
      <c r="I234" s="12"/>
      <c r="J234" s="12"/>
      <c r="K234" s="12"/>
      <c r="L234" s="12"/>
      <c r="M234" s="12"/>
      <c r="N234" s="12"/>
      <c r="O234" s="12"/>
      <c r="P234" s="12"/>
      <c r="Q234" s="12"/>
      <c r="R234" s="12"/>
      <c r="S234" s="12"/>
      <c r="T234" s="12"/>
      <c r="U234" s="12"/>
      <c r="V234" s="12"/>
    </row>
    <row r="235" spans="1:22">
      <c r="A235" s="12"/>
      <c r="B235" s="12"/>
      <c r="C235" s="12"/>
      <c r="D235" s="12"/>
      <c r="E235" s="12"/>
      <c r="F235" s="12"/>
      <c r="G235" s="12"/>
      <c r="H235" s="12"/>
      <c r="I235" s="12"/>
      <c r="J235" s="12"/>
      <c r="K235" s="12"/>
      <c r="L235" s="12"/>
      <c r="M235" s="12"/>
      <c r="N235" s="12"/>
      <c r="O235" s="12"/>
      <c r="P235" s="12"/>
      <c r="Q235" s="12"/>
      <c r="R235" s="12"/>
      <c r="S235" s="12"/>
      <c r="T235" s="12"/>
      <c r="U235" s="12"/>
      <c r="V235" s="12"/>
    </row>
    <row r="236" spans="1:22">
      <c r="A236" s="12"/>
      <c r="B236" s="12"/>
      <c r="C236" s="12"/>
      <c r="D236" s="12"/>
      <c r="E236" s="12"/>
      <c r="F236" s="12"/>
      <c r="G236" s="12"/>
      <c r="H236" s="12"/>
      <c r="I236" s="12"/>
      <c r="J236" s="12"/>
      <c r="K236" s="12"/>
      <c r="L236" s="12"/>
      <c r="M236" s="12"/>
      <c r="N236" s="12"/>
      <c r="O236" s="12"/>
      <c r="P236" s="12"/>
      <c r="Q236" s="12"/>
      <c r="R236" s="12"/>
      <c r="S236" s="12"/>
      <c r="T236" s="12"/>
      <c r="U236" s="12"/>
      <c r="V236" s="12"/>
    </row>
    <row r="237" spans="1:22">
      <c r="A237" s="12"/>
      <c r="B237" s="12"/>
      <c r="C237" s="12"/>
      <c r="D237" s="12"/>
      <c r="E237" s="12"/>
      <c r="F237" s="12"/>
      <c r="G237" s="12"/>
      <c r="H237" s="12"/>
      <c r="I237" s="12"/>
      <c r="J237" s="12"/>
      <c r="K237" s="12"/>
      <c r="L237" s="12"/>
      <c r="M237" s="12"/>
      <c r="N237" s="12"/>
      <c r="O237" s="12"/>
      <c r="P237" s="12"/>
      <c r="Q237" s="12"/>
      <c r="R237" s="12"/>
      <c r="S237" s="12"/>
      <c r="T237" s="12"/>
      <c r="U237" s="12"/>
      <c r="V237" s="12"/>
    </row>
    <row r="238" spans="1:22">
      <c r="A238" s="12"/>
      <c r="B238" s="12"/>
      <c r="C238" s="12"/>
      <c r="D238" s="12"/>
      <c r="E238" s="12"/>
      <c r="F238" s="12"/>
      <c r="G238" s="12"/>
      <c r="H238" s="12"/>
      <c r="I238" s="12"/>
      <c r="J238" s="12"/>
      <c r="K238" s="12"/>
      <c r="L238" s="12"/>
      <c r="M238" s="12"/>
      <c r="N238" s="12"/>
      <c r="O238" s="12"/>
      <c r="P238" s="12"/>
      <c r="Q238" s="12"/>
      <c r="R238" s="12"/>
      <c r="S238" s="12"/>
      <c r="T238" s="12"/>
      <c r="U238" s="12"/>
      <c r="V238" s="12"/>
    </row>
    <row r="239" spans="1:22">
      <c r="A239" s="12"/>
      <c r="B239" s="12"/>
      <c r="C239" s="12"/>
      <c r="D239" s="12"/>
      <c r="E239" s="12"/>
      <c r="F239" s="12"/>
      <c r="G239" s="12"/>
      <c r="H239" s="12"/>
      <c r="I239" s="12"/>
      <c r="J239" s="12"/>
      <c r="K239" s="12"/>
      <c r="L239" s="12"/>
      <c r="M239" s="12"/>
      <c r="N239" s="12"/>
      <c r="O239" s="12"/>
      <c r="P239" s="12"/>
      <c r="Q239" s="12"/>
      <c r="R239" s="12"/>
      <c r="S239" s="12"/>
      <c r="T239" s="12"/>
      <c r="U239" s="12"/>
      <c r="V239" s="12"/>
    </row>
    <row r="240" spans="1:22">
      <c r="A240" s="12"/>
      <c r="B240" s="12"/>
      <c r="C240" s="12"/>
      <c r="D240" s="12"/>
      <c r="E240" s="12"/>
      <c r="F240" s="12"/>
      <c r="G240" s="12"/>
      <c r="H240" s="12"/>
      <c r="I240" s="12"/>
      <c r="J240" s="12"/>
      <c r="K240" s="12"/>
      <c r="L240" s="12"/>
      <c r="M240" s="12"/>
      <c r="N240" s="12"/>
      <c r="O240" s="12"/>
      <c r="P240" s="12"/>
      <c r="Q240" s="12"/>
      <c r="R240" s="12"/>
      <c r="S240" s="12"/>
      <c r="T240" s="12"/>
      <c r="U240" s="12"/>
      <c r="V240" s="12"/>
    </row>
    <row r="241" spans="1:22">
      <c r="A241" s="12"/>
      <c r="B241" s="12"/>
      <c r="C241" s="12"/>
      <c r="D241" s="12"/>
      <c r="E241" s="12"/>
      <c r="F241" s="12"/>
      <c r="G241" s="12"/>
      <c r="H241" s="12"/>
      <c r="I241" s="12"/>
      <c r="J241" s="12"/>
      <c r="K241" s="12"/>
      <c r="L241" s="12"/>
      <c r="M241" s="12"/>
      <c r="N241" s="12"/>
      <c r="O241" s="12"/>
      <c r="P241" s="12"/>
      <c r="Q241" s="12"/>
      <c r="R241" s="12"/>
      <c r="S241" s="12"/>
      <c r="T241" s="12"/>
      <c r="U241" s="12"/>
      <c r="V241" s="12"/>
    </row>
    <row r="242" spans="1:22">
      <c r="A242" s="12"/>
      <c r="B242" s="12"/>
      <c r="C242" s="12"/>
      <c r="D242" s="12"/>
      <c r="E242" s="12"/>
      <c r="F242" s="12"/>
      <c r="G242" s="12"/>
      <c r="H242" s="12"/>
      <c r="I242" s="12"/>
      <c r="J242" s="12"/>
      <c r="K242" s="12"/>
      <c r="L242" s="12"/>
      <c r="M242" s="12"/>
      <c r="N242" s="12"/>
      <c r="O242" s="12"/>
      <c r="P242" s="12"/>
      <c r="Q242" s="12"/>
      <c r="R242" s="12"/>
      <c r="S242" s="12"/>
      <c r="T242" s="12"/>
      <c r="U242" s="12"/>
      <c r="V242" s="12"/>
    </row>
    <row r="243" spans="1:22">
      <c r="A243" s="12"/>
      <c r="B243" s="12"/>
      <c r="C243" s="12"/>
      <c r="D243" s="12"/>
      <c r="E243" s="12"/>
      <c r="F243" s="12"/>
      <c r="G243" s="12"/>
      <c r="H243" s="12"/>
      <c r="I243" s="12"/>
      <c r="J243" s="12"/>
      <c r="K243" s="12"/>
      <c r="L243" s="12"/>
      <c r="M243" s="12"/>
      <c r="N243" s="12"/>
      <c r="O243" s="12"/>
      <c r="P243" s="12"/>
      <c r="Q243" s="12"/>
      <c r="R243" s="12"/>
      <c r="S243" s="12"/>
      <c r="T243" s="12"/>
      <c r="U243" s="12"/>
      <c r="V243" s="12"/>
    </row>
    <row r="244" spans="1:22">
      <c r="A244" s="12"/>
      <c r="B244" s="12"/>
      <c r="C244" s="12"/>
      <c r="D244" s="12"/>
      <c r="E244" s="12"/>
      <c r="F244" s="12"/>
      <c r="G244" s="12"/>
      <c r="H244" s="12"/>
      <c r="I244" s="12"/>
      <c r="J244" s="12"/>
      <c r="K244" s="12"/>
      <c r="L244" s="12"/>
      <c r="M244" s="12"/>
      <c r="N244" s="12"/>
      <c r="O244" s="12"/>
      <c r="P244" s="12"/>
      <c r="Q244" s="12"/>
      <c r="R244" s="12"/>
      <c r="S244" s="12"/>
      <c r="T244" s="12"/>
      <c r="U244" s="12"/>
      <c r="V244" s="12"/>
    </row>
    <row r="245" spans="1:22">
      <c r="A245" s="12"/>
      <c r="B245" s="12"/>
      <c r="C245" s="12"/>
      <c r="D245" s="12"/>
      <c r="E245" s="12"/>
      <c r="F245" s="12"/>
      <c r="G245" s="12"/>
      <c r="H245" s="12"/>
      <c r="I245" s="12"/>
      <c r="J245" s="12"/>
      <c r="K245" s="12"/>
      <c r="L245" s="12"/>
      <c r="M245" s="12"/>
      <c r="N245" s="12"/>
      <c r="O245" s="12"/>
      <c r="P245" s="12"/>
      <c r="Q245" s="12"/>
      <c r="R245" s="12"/>
      <c r="S245" s="12"/>
      <c r="T245" s="12"/>
      <c r="U245" s="12"/>
      <c r="V245" s="12"/>
    </row>
    <row r="246" spans="1:22">
      <c r="A246" s="12"/>
      <c r="B246" s="12"/>
      <c r="C246" s="12"/>
      <c r="D246" s="12"/>
      <c r="E246" s="12"/>
      <c r="F246" s="12"/>
      <c r="G246" s="12"/>
      <c r="H246" s="12"/>
      <c r="I246" s="12"/>
      <c r="J246" s="12"/>
      <c r="K246" s="12"/>
      <c r="L246" s="12"/>
      <c r="M246" s="12"/>
      <c r="N246" s="12"/>
      <c r="O246" s="12"/>
      <c r="P246" s="12"/>
      <c r="Q246" s="12"/>
      <c r="R246" s="12"/>
      <c r="S246" s="12"/>
      <c r="T246" s="12"/>
      <c r="U246" s="12"/>
      <c r="V246" s="12"/>
    </row>
    <row r="247" spans="1:22">
      <c r="A247" s="12"/>
      <c r="B247" s="12"/>
      <c r="C247" s="12"/>
      <c r="D247" s="12"/>
      <c r="E247" s="12"/>
      <c r="F247" s="12"/>
      <c r="G247" s="12"/>
      <c r="H247" s="12"/>
      <c r="I247" s="12"/>
      <c r="J247" s="12"/>
      <c r="K247" s="12"/>
      <c r="L247" s="12"/>
      <c r="M247" s="12"/>
      <c r="N247" s="12"/>
      <c r="O247" s="12"/>
      <c r="P247" s="12"/>
      <c r="Q247" s="12"/>
      <c r="R247" s="12"/>
      <c r="S247" s="12"/>
      <c r="T247" s="12"/>
      <c r="U247" s="12"/>
      <c r="V247" s="12"/>
    </row>
  </sheetData>
  <pageMargins left="0.7" right="0.7" top="0.75" bottom="0.75" header="0.3" footer="0.3"/>
  <pageSetup orientation="portrait"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12B72-264E-4B5F-B216-C1775FEC5FC4}">
  <dimension ref="A1:F33"/>
  <sheetViews>
    <sheetView zoomScale="79" workbookViewId="0">
      <selection activeCell="I24" sqref="I24"/>
    </sheetView>
  </sheetViews>
  <sheetFormatPr defaultRowHeight="14.4"/>
  <cols>
    <col min="1" max="2" width="10.6640625" bestFit="1" customWidth="1"/>
    <col min="3" max="3" width="6" bestFit="1" customWidth="1"/>
    <col min="4" max="4" width="10.21875" bestFit="1" customWidth="1"/>
    <col min="5" max="5" width="10.44140625" bestFit="1" customWidth="1"/>
    <col min="6" max="6" width="12.109375" bestFit="1" customWidth="1"/>
  </cols>
  <sheetData>
    <row r="1" spans="1:6">
      <c r="A1" t="s">
        <v>0</v>
      </c>
      <c r="B1" t="s">
        <v>1</v>
      </c>
      <c r="C1" t="s">
        <v>2</v>
      </c>
      <c r="D1" t="s">
        <v>3</v>
      </c>
      <c r="E1" t="s">
        <v>4</v>
      </c>
      <c r="F1" t="s">
        <v>5</v>
      </c>
    </row>
    <row r="2" spans="1:6">
      <c r="A2" s="1">
        <v>45597</v>
      </c>
      <c r="B2" s="1">
        <v>45603</v>
      </c>
      <c r="C2">
        <v>5000</v>
      </c>
      <c r="D2">
        <v>2500</v>
      </c>
      <c r="E2">
        <v>21</v>
      </c>
      <c r="F2">
        <v>7</v>
      </c>
    </row>
    <row r="3" spans="1:6">
      <c r="A3" s="1">
        <v>45604</v>
      </c>
      <c r="B3" s="1">
        <v>45610</v>
      </c>
      <c r="C3">
        <v>4500</v>
      </c>
      <c r="D3">
        <v>3200</v>
      </c>
      <c r="E3">
        <v>31</v>
      </c>
      <c r="F3">
        <v>7</v>
      </c>
    </row>
    <row r="4" spans="1:6">
      <c r="A4" s="1">
        <v>45611</v>
      </c>
      <c r="B4" s="1">
        <v>45617</v>
      </c>
      <c r="C4">
        <v>2000</v>
      </c>
      <c r="D4">
        <v>-50</v>
      </c>
      <c r="E4">
        <v>18</v>
      </c>
      <c r="F4">
        <v>7</v>
      </c>
    </row>
    <row r="5" spans="1:6">
      <c r="A5" s="1">
        <v>45618</v>
      </c>
      <c r="B5" s="1">
        <v>45624</v>
      </c>
      <c r="C5">
        <v>2000</v>
      </c>
      <c r="D5">
        <v>1300</v>
      </c>
      <c r="E5">
        <v>16</v>
      </c>
      <c r="F5">
        <v>7</v>
      </c>
    </row>
    <row r="6" spans="1:6">
      <c r="A6" s="1">
        <v>45625</v>
      </c>
      <c r="B6" s="1">
        <v>45626</v>
      </c>
      <c r="C6">
        <v>3000</v>
      </c>
      <c r="D6">
        <v>1000</v>
      </c>
      <c r="E6">
        <v>12</v>
      </c>
      <c r="F6">
        <v>2</v>
      </c>
    </row>
    <row r="7" spans="1:6">
      <c r="A7" s="1">
        <v>45627</v>
      </c>
      <c r="B7" s="1">
        <v>45633</v>
      </c>
      <c r="C7">
        <v>3500</v>
      </c>
      <c r="D7">
        <v>3000</v>
      </c>
      <c r="E7">
        <v>26</v>
      </c>
      <c r="F7">
        <v>7</v>
      </c>
    </row>
    <row r="8" spans="1:6">
      <c r="A8" s="1">
        <v>45634</v>
      </c>
      <c r="B8" s="1">
        <v>45640</v>
      </c>
      <c r="C8">
        <v>3200</v>
      </c>
      <c r="D8">
        <v>1600</v>
      </c>
      <c r="E8">
        <v>37</v>
      </c>
      <c r="F8">
        <v>7</v>
      </c>
    </row>
    <row r="9" spans="1:6">
      <c r="A9" s="1">
        <v>45641</v>
      </c>
      <c r="B9" s="1">
        <v>45647</v>
      </c>
      <c r="C9">
        <v>3300</v>
      </c>
      <c r="D9">
        <v>1300</v>
      </c>
      <c r="E9">
        <v>25</v>
      </c>
      <c r="F9">
        <v>7</v>
      </c>
    </row>
    <row r="10" spans="1:6">
      <c r="A10" s="1">
        <v>45648</v>
      </c>
      <c r="B10" s="1">
        <v>45654</v>
      </c>
      <c r="C10">
        <v>4000</v>
      </c>
      <c r="D10">
        <v>2000</v>
      </c>
      <c r="E10">
        <v>19</v>
      </c>
      <c r="F10">
        <v>7</v>
      </c>
    </row>
    <row r="11" spans="1:6">
      <c r="A11" s="1">
        <v>45655</v>
      </c>
      <c r="B11" s="1">
        <v>45657</v>
      </c>
      <c r="C11">
        <v>1100</v>
      </c>
      <c r="D11">
        <v>600</v>
      </c>
      <c r="E11">
        <v>7</v>
      </c>
      <c r="F11">
        <v>3</v>
      </c>
    </row>
    <row r="12" spans="1:6">
      <c r="A12" s="1">
        <v>45658</v>
      </c>
      <c r="B12" s="1">
        <v>45664</v>
      </c>
      <c r="C12">
        <v>3200</v>
      </c>
      <c r="D12">
        <v>1200</v>
      </c>
      <c r="E12">
        <v>18</v>
      </c>
      <c r="F12">
        <v>7</v>
      </c>
    </row>
    <row r="13" spans="1:6">
      <c r="A13" s="1">
        <v>45665</v>
      </c>
      <c r="B13" s="1">
        <v>45671</v>
      </c>
      <c r="C13">
        <v>6700</v>
      </c>
      <c r="D13">
        <v>5100</v>
      </c>
      <c r="E13">
        <v>84</v>
      </c>
      <c r="F13">
        <v>7</v>
      </c>
    </row>
    <row r="14" spans="1:6">
      <c r="A14" s="1">
        <v>45672</v>
      </c>
      <c r="B14" s="1">
        <v>45678</v>
      </c>
      <c r="C14">
        <v>2600</v>
      </c>
      <c r="D14">
        <v>800</v>
      </c>
      <c r="E14">
        <v>41</v>
      </c>
      <c r="F14">
        <v>7</v>
      </c>
    </row>
    <row r="15" spans="1:6">
      <c r="A15" s="1">
        <v>45679</v>
      </c>
      <c r="B15" s="1">
        <v>45685</v>
      </c>
      <c r="C15">
        <v>1000</v>
      </c>
      <c r="D15">
        <v>60</v>
      </c>
      <c r="E15">
        <v>8</v>
      </c>
      <c r="F15">
        <v>7</v>
      </c>
    </row>
    <row r="16" spans="1:6">
      <c r="A16" s="1">
        <v>45686</v>
      </c>
      <c r="B16" s="1">
        <v>45688</v>
      </c>
      <c r="C16">
        <v>900</v>
      </c>
      <c r="D16">
        <v>400</v>
      </c>
      <c r="E16">
        <v>12</v>
      </c>
      <c r="F16">
        <v>3</v>
      </c>
    </row>
    <row r="17" spans="1:6">
      <c r="A17" s="1">
        <v>45689</v>
      </c>
      <c r="B17" s="1">
        <v>45695</v>
      </c>
      <c r="C17">
        <v>2000</v>
      </c>
      <c r="D17">
        <v>2500</v>
      </c>
      <c r="E17">
        <v>30</v>
      </c>
      <c r="F17">
        <v>7</v>
      </c>
    </row>
    <row r="18" spans="1:6">
      <c r="A18" s="1">
        <v>45696</v>
      </c>
      <c r="B18" s="1">
        <v>45702</v>
      </c>
      <c r="C18">
        <v>1500</v>
      </c>
      <c r="D18">
        <v>1100</v>
      </c>
      <c r="E18">
        <v>28</v>
      </c>
      <c r="F18">
        <v>7</v>
      </c>
    </row>
    <row r="19" spans="1:6">
      <c r="A19" s="1">
        <v>45703</v>
      </c>
      <c r="B19" s="1">
        <v>45709</v>
      </c>
      <c r="C19">
        <v>2200</v>
      </c>
      <c r="D19">
        <v>1000</v>
      </c>
      <c r="E19">
        <v>31</v>
      </c>
      <c r="F19">
        <v>7</v>
      </c>
    </row>
    <row r="20" spans="1:6">
      <c r="A20" s="1">
        <v>45710</v>
      </c>
      <c r="B20" s="1">
        <v>45716</v>
      </c>
      <c r="C20">
        <v>3300</v>
      </c>
      <c r="D20">
        <v>4900</v>
      </c>
      <c r="E20">
        <v>36</v>
      </c>
      <c r="F20">
        <v>7</v>
      </c>
    </row>
    <row r="21" spans="1:6">
      <c r="A21" s="1">
        <v>45717</v>
      </c>
      <c r="B21" s="1">
        <v>45723</v>
      </c>
      <c r="C21">
        <v>9000</v>
      </c>
      <c r="D21">
        <v>3500</v>
      </c>
      <c r="E21">
        <v>74</v>
      </c>
      <c r="F21">
        <v>7</v>
      </c>
    </row>
    <row r="22" spans="1:6">
      <c r="A22" s="1">
        <v>45724</v>
      </c>
      <c r="B22" s="1">
        <v>45730</v>
      </c>
      <c r="C22">
        <v>7500</v>
      </c>
      <c r="D22">
        <v>6000</v>
      </c>
      <c r="E22">
        <v>62</v>
      </c>
      <c r="F22">
        <v>7</v>
      </c>
    </row>
    <row r="23" spans="1:6">
      <c r="A23" s="1">
        <v>45731</v>
      </c>
      <c r="B23" s="1">
        <v>45737</v>
      </c>
      <c r="C23">
        <v>8200</v>
      </c>
      <c r="D23">
        <v>5900</v>
      </c>
      <c r="E23">
        <v>75</v>
      </c>
      <c r="F23">
        <v>7</v>
      </c>
    </row>
    <row r="24" spans="1:6">
      <c r="A24" s="1">
        <v>45738</v>
      </c>
      <c r="B24" s="1">
        <v>45744</v>
      </c>
      <c r="C24">
        <v>5000</v>
      </c>
      <c r="D24">
        <v>1400</v>
      </c>
      <c r="E24">
        <v>35</v>
      </c>
      <c r="F24">
        <v>7</v>
      </c>
    </row>
    <row r="25" spans="1:6">
      <c r="A25" s="1">
        <v>45745</v>
      </c>
      <c r="B25" s="1">
        <v>45747</v>
      </c>
      <c r="C25">
        <v>2000</v>
      </c>
      <c r="D25">
        <v>1300</v>
      </c>
      <c r="E25">
        <v>27</v>
      </c>
      <c r="F25">
        <v>3</v>
      </c>
    </row>
    <row r="26" spans="1:6">
      <c r="A26" s="1">
        <v>45748</v>
      </c>
      <c r="B26" s="1">
        <v>45754</v>
      </c>
      <c r="C26">
        <v>7300</v>
      </c>
      <c r="D26">
        <v>6000</v>
      </c>
      <c r="E26">
        <v>52</v>
      </c>
      <c r="F26">
        <v>7</v>
      </c>
    </row>
    <row r="27" spans="1:6">
      <c r="A27" s="1">
        <v>45755</v>
      </c>
      <c r="B27" s="1">
        <v>45761</v>
      </c>
      <c r="C27">
        <v>9400</v>
      </c>
      <c r="D27">
        <v>5500</v>
      </c>
      <c r="E27">
        <v>63</v>
      </c>
      <c r="F27">
        <v>7</v>
      </c>
    </row>
    <row r="28" spans="1:6">
      <c r="A28" s="1">
        <v>45762</v>
      </c>
      <c r="B28" s="1">
        <v>45768</v>
      </c>
      <c r="C28">
        <v>5600</v>
      </c>
      <c r="D28">
        <v>2000</v>
      </c>
      <c r="E28">
        <v>41</v>
      </c>
      <c r="F28">
        <v>7</v>
      </c>
    </row>
    <row r="29" spans="1:6">
      <c r="A29" s="1">
        <v>45769</v>
      </c>
      <c r="B29" s="1">
        <v>45775</v>
      </c>
      <c r="C29">
        <v>10000</v>
      </c>
      <c r="D29">
        <v>5200</v>
      </c>
      <c r="E29">
        <v>57</v>
      </c>
      <c r="F29">
        <v>7</v>
      </c>
    </row>
    <row r="30" spans="1:6">
      <c r="A30" s="1">
        <v>45776</v>
      </c>
      <c r="B30" s="1">
        <v>45777</v>
      </c>
      <c r="C30">
        <v>4100</v>
      </c>
      <c r="D30">
        <v>900</v>
      </c>
      <c r="E30">
        <v>32</v>
      </c>
      <c r="F30">
        <v>2</v>
      </c>
    </row>
    <row r="31" spans="1:6">
      <c r="A31" s="1">
        <v>45778</v>
      </c>
      <c r="B31" s="1">
        <v>45784</v>
      </c>
      <c r="C31">
        <v>14500</v>
      </c>
      <c r="D31">
        <v>9700</v>
      </c>
      <c r="E31">
        <v>99</v>
      </c>
      <c r="F31">
        <v>7</v>
      </c>
    </row>
    <row r="32" spans="1:6">
      <c r="A32" s="1">
        <v>45785</v>
      </c>
      <c r="B32" s="1">
        <v>45791</v>
      </c>
      <c r="C32">
        <v>8200</v>
      </c>
      <c r="D32">
        <v>5200</v>
      </c>
      <c r="E32">
        <v>64</v>
      </c>
      <c r="F32">
        <v>7</v>
      </c>
    </row>
    <row r="33" spans="1:6">
      <c r="A33" s="1">
        <v>45792</v>
      </c>
      <c r="B33" s="1">
        <v>45798</v>
      </c>
      <c r="C33">
        <v>9000</v>
      </c>
      <c r="D33">
        <v>5900</v>
      </c>
      <c r="E33">
        <v>97</v>
      </c>
      <c r="F33">
        <v>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CA19D7-EF22-4117-9F0C-BECB9FABAE11}">
  <dimension ref="A1:G1001"/>
  <sheetViews>
    <sheetView zoomScale="78" workbookViewId="0">
      <selection activeCell="M28" sqref="M28"/>
    </sheetView>
  </sheetViews>
  <sheetFormatPr defaultRowHeight="14.4"/>
  <cols>
    <col min="1" max="1" width="10.33203125" bestFit="1" customWidth="1"/>
    <col min="2" max="2" width="8.109375" bestFit="1" customWidth="1"/>
    <col min="3" max="3" width="13.44140625" bestFit="1" customWidth="1"/>
    <col min="4" max="4" width="15.44140625" bestFit="1" customWidth="1"/>
    <col min="5" max="5" width="22.6640625" bestFit="1" customWidth="1"/>
    <col min="6" max="6" width="22.77734375" bestFit="1" customWidth="1"/>
    <col min="7" max="7" width="22.6640625" bestFit="1" customWidth="1"/>
  </cols>
  <sheetData>
    <row r="1" spans="1:7">
      <c r="A1" t="s">
        <v>25</v>
      </c>
      <c r="B1" t="s">
        <v>26</v>
      </c>
      <c r="C1" t="s">
        <v>27</v>
      </c>
      <c r="D1" t="s">
        <v>30</v>
      </c>
      <c r="E1" t="s">
        <v>31</v>
      </c>
      <c r="F1" t="s">
        <v>55</v>
      </c>
      <c r="G1" s="9" t="s">
        <v>54</v>
      </c>
    </row>
    <row r="2" spans="1:7">
      <c r="A2" s="1">
        <v>45597</v>
      </c>
      <c r="B2" s="6">
        <v>0.4548611111111111</v>
      </c>
      <c r="C2" s="10" t="s">
        <v>22</v>
      </c>
      <c r="D2" s="7">
        <f>VALUE(A2) + VALUE(B2)</f>
        <v>45597.454861111109</v>
      </c>
      <c r="E2" t="str" cm="1">
        <f t="array" ref="E2">INDEX('Top5'!$G$2:$G$100, MATCH(1, (D2&gt;='Top5'!$A$2:$A$100)*(D2&lt;='Top5'!$B$2:$B$100), 0))</f>
        <v>01-11-2024 to 07-11-2024</v>
      </c>
      <c r="F2" t="str">
        <f>IF(COUNTIF('Top5'!I:I, G2) &gt; 0, "Yes", "No")</f>
        <v>No</v>
      </c>
      <c r="G2" t="str">
        <f>TRIM(E2)</f>
        <v>01-11-2024 to 07-11-2024</v>
      </c>
    </row>
    <row r="3" spans="1:7">
      <c r="A3" s="1">
        <v>45597</v>
      </c>
      <c r="B3" s="6">
        <v>0.88749999999999996</v>
      </c>
      <c r="C3" s="10" t="s">
        <v>70</v>
      </c>
      <c r="D3" s="7">
        <f t="shared" ref="D3:D66" si="0">VALUE(A3) + VALUE(B3)</f>
        <v>45597.887499999997</v>
      </c>
      <c r="E3" t="str">
        <f t="shared" ref="E3:E66" si="1">TEXT(D3, "dd-mm-yyyy") &amp; " to " &amp; TEXT(D3+6, "dd-mm-yyyy")</f>
        <v>01-11-2024 to 07-11-2024</v>
      </c>
      <c r="F3" t="str">
        <f>IF(COUNTIF('Top5'!I:I, G3) &gt; 0, "Yes", "No")</f>
        <v>No</v>
      </c>
      <c r="G3" t="str">
        <f t="shared" ref="G3:G66" si="2">TRIM(E3)</f>
        <v>01-11-2024 to 07-11-2024</v>
      </c>
    </row>
    <row r="4" spans="1:7">
      <c r="A4" s="1">
        <v>45597</v>
      </c>
      <c r="B4" s="6">
        <v>0.90972222222222221</v>
      </c>
      <c r="C4" s="10" t="s">
        <v>70</v>
      </c>
      <c r="D4" s="7">
        <f t="shared" si="0"/>
        <v>45597.909722222219</v>
      </c>
      <c r="E4" t="str">
        <f t="shared" si="1"/>
        <v>01-11-2024 to 07-11-2024</v>
      </c>
      <c r="F4" t="str">
        <f>IF(COUNTIF('Top5'!I:I, G4) &gt; 0, "Yes", "No")</f>
        <v>No</v>
      </c>
      <c r="G4" t="str">
        <f t="shared" si="2"/>
        <v>01-11-2024 to 07-11-2024</v>
      </c>
    </row>
    <row r="5" spans="1:7">
      <c r="A5" s="1">
        <v>45598</v>
      </c>
      <c r="B5" s="6">
        <v>0.33611111111111114</v>
      </c>
      <c r="C5" s="10" t="s">
        <v>22</v>
      </c>
      <c r="D5" s="7">
        <f t="shared" si="0"/>
        <v>45598.336111111108</v>
      </c>
      <c r="E5" t="str">
        <f t="shared" si="1"/>
        <v>02-11-2024 to 08-11-2024</v>
      </c>
      <c r="F5" t="str">
        <f>IF(COUNTIF('Top5'!I:I, G5) &gt; 0, "Yes", "No")</f>
        <v>No</v>
      </c>
      <c r="G5" t="str">
        <f t="shared" si="2"/>
        <v>02-11-2024 to 08-11-2024</v>
      </c>
    </row>
    <row r="6" spans="1:7">
      <c r="A6" s="1">
        <v>45598</v>
      </c>
      <c r="B6" s="6">
        <v>0.56180555555555556</v>
      </c>
      <c r="C6" s="10" t="s">
        <v>71</v>
      </c>
      <c r="D6" s="7">
        <f t="shared" si="0"/>
        <v>45598.561805555553</v>
      </c>
      <c r="E6" t="str">
        <f t="shared" si="1"/>
        <v>02-11-2024 to 08-11-2024</v>
      </c>
      <c r="F6" t="str">
        <f>IF(COUNTIF('Top5'!I:I, G6) &gt; 0, "Yes", "No")</f>
        <v>No</v>
      </c>
      <c r="G6" t="str">
        <f t="shared" si="2"/>
        <v>02-11-2024 to 08-11-2024</v>
      </c>
    </row>
    <row r="7" spans="1:7">
      <c r="A7" s="1">
        <v>45598</v>
      </c>
      <c r="B7" s="6">
        <v>0.66874999999999996</v>
      </c>
      <c r="C7" s="10" t="s">
        <v>71</v>
      </c>
      <c r="D7" s="7">
        <f t="shared" si="0"/>
        <v>45598.668749999997</v>
      </c>
      <c r="E7" t="str">
        <f t="shared" si="1"/>
        <v>02-11-2024 to 08-11-2024</v>
      </c>
      <c r="F7" t="str">
        <f>IF(COUNTIF('Top5'!I:I, G7) &gt; 0, "Yes", "No")</f>
        <v>No</v>
      </c>
      <c r="G7" t="str">
        <f t="shared" si="2"/>
        <v>02-11-2024 to 08-11-2024</v>
      </c>
    </row>
    <row r="8" spans="1:7">
      <c r="A8" s="1">
        <v>45599</v>
      </c>
      <c r="B8" s="6">
        <v>0.40138888888888891</v>
      </c>
      <c r="C8" s="10" t="s">
        <v>22</v>
      </c>
      <c r="D8" s="7">
        <f t="shared" si="0"/>
        <v>45599.401388888888</v>
      </c>
      <c r="E8" t="str">
        <f t="shared" si="1"/>
        <v>03-11-2024 to 09-11-2024</v>
      </c>
      <c r="F8" t="str">
        <f>IF(COUNTIF('Top5'!I:I, G8) &gt; 0, "Yes", "No")</f>
        <v>No</v>
      </c>
      <c r="G8" t="str">
        <f t="shared" si="2"/>
        <v>03-11-2024 to 09-11-2024</v>
      </c>
    </row>
    <row r="9" spans="1:7">
      <c r="A9" s="1">
        <v>45599</v>
      </c>
      <c r="B9" s="6">
        <v>0.40208333333333335</v>
      </c>
      <c r="C9" s="10" t="s">
        <v>22</v>
      </c>
      <c r="D9" s="7">
        <f t="shared" si="0"/>
        <v>45599.402083333334</v>
      </c>
      <c r="E9" t="str">
        <f t="shared" si="1"/>
        <v>03-11-2024 to 09-11-2024</v>
      </c>
      <c r="F9" t="str">
        <f>IF(COUNTIF('Top5'!I:I, G9) &gt; 0, "Yes", "No")</f>
        <v>No</v>
      </c>
      <c r="G9" t="str">
        <f t="shared" si="2"/>
        <v>03-11-2024 to 09-11-2024</v>
      </c>
    </row>
    <row r="10" spans="1:7">
      <c r="A10" s="1">
        <v>45599</v>
      </c>
      <c r="B10" s="6">
        <v>0.41597222222222224</v>
      </c>
      <c r="C10" s="10" t="s">
        <v>22</v>
      </c>
      <c r="D10" s="7">
        <f t="shared" si="0"/>
        <v>45599.415972222225</v>
      </c>
      <c r="E10" t="str">
        <f t="shared" si="1"/>
        <v>03-11-2024 to 09-11-2024</v>
      </c>
      <c r="F10" t="str">
        <f>IF(COUNTIF('Top5'!I:I, G10) &gt; 0, "Yes", "No")</f>
        <v>No</v>
      </c>
      <c r="G10" t="str">
        <f t="shared" si="2"/>
        <v>03-11-2024 to 09-11-2024</v>
      </c>
    </row>
    <row r="11" spans="1:7">
      <c r="A11" s="1">
        <v>45599</v>
      </c>
      <c r="B11" s="6">
        <v>0.50694444444444442</v>
      </c>
      <c r="C11" s="10" t="s">
        <v>71</v>
      </c>
      <c r="D11" s="7">
        <f t="shared" si="0"/>
        <v>45599.506944444445</v>
      </c>
      <c r="E11" t="str">
        <f t="shared" si="1"/>
        <v>03-11-2024 to 09-11-2024</v>
      </c>
      <c r="F11" t="str">
        <f>IF(COUNTIF('Top5'!I:I, G11) &gt; 0, "Yes", "No")</f>
        <v>No</v>
      </c>
      <c r="G11" t="str">
        <f t="shared" si="2"/>
        <v>03-11-2024 to 09-11-2024</v>
      </c>
    </row>
    <row r="12" spans="1:7">
      <c r="A12" s="1">
        <v>45599</v>
      </c>
      <c r="B12" s="6">
        <v>0.5756944444444444</v>
      </c>
      <c r="C12" s="10" t="s">
        <v>71</v>
      </c>
      <c r="D12" s="7">
        <f t="shared" si="0"/>
        <v>45599.575694444444</v>
      </c>
      <c r="E12" t="str">
        <f t="shared" si="1"/>
        <v>03-11-2024 to 09-11-2024</v>
      </c>
      <c r="F12" t="str">
        <f>IF(COUNTIF('Top5'!I:I, G12) &gt; 0, "Yes", "No")</f>
        <v>No</v>
      </c>
      <c r="G12" t="str">
        <f t="shared" si="2"/>
        <v>03-11-2024 to 09-11-2024</v>
      </c>
    </row>
    <row r="13" spans="1:7">
      <c r="A13" s="1">
        <v>45599</v>
      </c>
      <c r="B13" s="6">
        <v>0.59097222222222223</v>
      </c>
      <c r="C13" s="10" t="s">
        <v>71</v>
      </c>
      <c r="D13" s="7">
        <f t="shared" si="0"/>
        <v>45599.59097222222</v>
      </c>
      <c r="E13" t="str">
        <f t="shared" si="1"/>
        <v>03-11-2024 to 09-11-2024</v>
      </c>
      <c r="F13" t="str">
        <f>IF(COUNTIF('Top5'!I:I, G13) &gt; 0, "Yes", "No")</f>
        <v>No</v>
      </c>
      <c r="G13" t="str">
        <f t="shared" si="2"/>
        <v>03-11-2024 to 09-11-2024</v>
      </c>
    </row>
    <row r="14" spans="1:7">
      <c r="A14" s="1">
        <v>45599</v>
      </c>
      <c r="B14" s="6">
        <v>0.72291666666666665</v>
      </c>
      <c r="C14" s="10" t="s">
        <v>70</v>
      </c>
      <c r="D14" s="7">
        <f t="shared" si="0"/>
        <v>45599.722916666666</v>
      </c>
      <c r="E14" t="str">
        <f t="shared" si="1"/>
        <v>03-11-2024 to 09-11-2024</v>
      </c>
      <c r="F14" t="str">
        <f>IF(COUNTIF('Top5'!I:I, G14) &gt; 0, "Yes", "No")</f>
        <v>No</v>
      </c>
      <c r="G14" t="str">
        <f t="shared" si="2"/>
        <v>03-11-2024 to 09-11-2024</v>
      </c>
    </row>
    <row r="15" spans="1:7">
      <c r="A15" s="1">
        <v>45599</v>
      </c>
      <c r="B15" s="6">
        <v>0.73402777777777772</v>
      </c>
      <c r="C15" s="10" t="s">
        <v>70</v>
      </c>
      <c r="D15" s="7">
        <f t="shared" si="0"/>
        <v>45599.734027777777</v>
      </c>
      <c r="E15" t="str">
        <f t="shared" si="1"/>
        <v>03-11-2024 to 09-11-2024</v>
      </c>
      <c r="F15" t="str">
        <f>IF(COUNTIF('Top5'!I:I, G15) &gt; 0, "Yes", "No")</f>
        <v>No</v>
      </c>
      <c r="G15" t="str">
        <f t="shared" si="2"/>
        <v>03-11-2024 to 09-11-2024</v>
      </c>
    </row>
    <row r="16" spans="1:7">
      <c r="A16" s="1">
        <v>45600</v>
      </c>
      <c r="B16" s="6">
        <v>0.39513888888888887</v>
      </c>
      <c r="C16" s="10" t="s">
        <v>22</v>
      </c>
      <c r="D16" s="7">
        <f t="shared" si="0"/>
        <v>45600.395138888889</v>
      </c>
      <c r="E16" t="str">
        <f t="shared" si="1"/>
        <v>04-11-2024 to 10-11-2024</v>
      </c>
      <c r="F16" t="str">
        <f>IF(COUNTIF('Top5'!I:I, G16) &gt; 0, "Yes", "No")</f>
        <v>No</v>
      </c>
      <c r="G16" t="str">
        <f t="shared" si="2"/>
        <v>04-11-2024 to 10-11-2024</v>
      </c>
    </row>
    <row r="17" spans="1:7">
      <c r="A17" s="1">
        <v>45600</v>
      </c>
      <c r="B17" s="6">
        <v>0.81527777777777777</v>
      </c>
      <c r="C17" s="10" t="s">
        <v>70</v>
      </c>
      <c r="D17" s="7">
        <f t="shared" si="0"/>
        <v>45600.81527777778</v>
      </c>
      <c r="E17" t="str">
        <f t="shared" si="1"/>
        <v>04-11-2024 to 10-11-2024</v>
      </c>
      <c r="F17" t="str">
        <f>IF(COUNTIF('Top5'!I:I, G17) &gt; 0, "Yes", "No")</f>
        <v>No</v>
      </c>
      <c r="G17" t="str">
        <f t="shared" si="2"/>
        <v>04-11-2024 to 10-11-2024</v>
      </c>
    </row>
    <row r="18" spans="1:7">
      <c r="A18" s="1">
        <v>45600</v>
      </c>
      <c r="B18" s="6">
        <v>0.84930555555555554</v>
      </c>
      <c r="C18" s="10" t="s">
        <v>70</v>
      </c>
      <c r="D18" s="7">
        <f t="shared" si="0"/>
        <v>45600.849305555559</v>
      </c>
      <c r="E18" t="str">
        <f t="shared" si="1"/>
        <v>04-11-2024 to 10-11-2024</v>
      </c>
      <c r="F18" t="str">
        <f>IF(COUNTIF('Top5'!I:I, G18) &gt; 0, "Yes", "No")</f>
        <v>No</v>
      </c>
      <c r="G18" t="str">
        <f t="shared" si="2"/>
        <v>04-11-2024 to 10-11-2024</v>
      </c>
    </row>
    <row r="19" spans="1:7">
      <c r="A19" s="1">
        <v>45600</v>
      </c>
      <c r="B19" s="6">
        <v>0.85347222222222219</v>
      </c>
      <c r="C19" s="10" t="s">
        <v>70</v>
      </c>
      <c r="D19" s="7">
        <f t="shared" si="0"/>
        <v>45600.853472222225</v>
      </c>
      <c r="E19" t="str">
        <f t="shared" si="1"/>
        <v>04-11-2024 to 10-11-2024</v>
      </c>
      <c r="F19" t="str">
        <f>IF(COUNTIF('Top5'!I:I, G19) &gt; 0, "Yes", "No")</f>
        <v>No</v>
      </c>
      <c r="G19" t="str">
        <f t="shared" si="2"/>
        <v>04-11-2024 to 10-11-2024</v>
      </c>
    </row>
    <row r="20" spans="1:7">
      <c r="A20" s="1">
        <v>45601</v>
      </c>
      <c r="B20" s="6">
        <v>0.47013888888888888</v>
      </c>
      <c r="C20" s="10" t="s">
        <v>22</v>
      </c>
      <c r="D20" s="7">
        <f t="shared" si="0"/>
        <v>45601.470138888886</v>
      </c>
      <c r="E20" t="str">
        <f t="shared" si="1"/>
        <v>05-11-2024 to 11-11-2024</v>
      </c>
      <c r="F20" t="str">
        <f>IF(COUNTIF('Top5'!I:I, G20) &gt; 0, "Yes", "No")</f>
        <v>No</v>
      </c>
      <c r="G20" t="str">
        <f t="shared" si="2"/>
        <v>05-11-2024 to 11-11-2024</v>
      </c>
    </row>
    <row r="21" spans="1:7">
      <c r="A21" s="1">
        <v>45601</v>
      </c>
      <c r="B21" s="6">
        <v>0.6166666666666667</v>
      </c>
      <c r="C21" s="10" t="s">
        <v>71</v>
      </c>
      <c r="D21" s="7">
        <f t="shared" si="0"/>
        <v>45601.616666666669</v>
      </c>
      <c r="E21" t="str">
        <f t="shared" si="1"/>
        <v>05-11-2024 to 11-11-2024</v>
      </c>
      <c r="F21" t="str">
        <f>IF(COUNTIF('Top5'!I:I, G21) &gt; 0, "Yes", "No")</f>
        <v>No</v>
      </c>
      <c r="G21" t="str">
        <f t="shared" si="2"/>
        <v>05-11-2024 to 11-11-2024</v>
      </c>
    </row>
    <row r="22" spans="1:7">
      <c r="A22" s="1">
        <v>45603</v>
      </c>
      <c r="B22" s="6">
        <v>0.37361111111111112</v>
      </c>
      <c r="C22" s="10" t="s">
        <v>22</v>
      </c>
      <c r="D22" s="7">
        <f t="shared" si="0"/>
        <v>45603.373611111114</v>
      </c>
      <c r="E22" t="str">
        <f t="shared" si="1"/>
        <v>07-11-2024 to 13-11-2024</v>
      </c>
      <c r="F22" t="str">
        <f>IF(COUNTIF('Top5'!I:I, G22) &gt; 0, "Yes", "No")</f>
        <v>No</v>
      </c>
      <c r="G22" t="str">
        <f t="shared" si="2"/>
        <v>07-11-2024 to 13-11-2024</v>
      </c>
    </row>
    <row r="23" spans="1:7">
      <c r="A23" s="1">
        <v>45604</v>
      </c>
      <c r="B23" s="6">
        <v>0.76527777777777772</v>
      </c>
      <c r="C23" s="10" t="s">
        <v>70</v>
      </c>
      <c r="D23" s="7">
        <f t="shared" si="0"/>
        <v>45604.765277777777</v>
      </c>
      <c r="E23" t="str">
        <f t="shared" si="1"/>
        <v>08-11-2024 to 14-11-2024</v>
      </c>
      <c r="F23" t="str">
        <f>IF(COUNTIF('Top5'!I:I, G23) &gt; 0, "Yes", "No")</f>
        <v>No</v>
      </c>
      <c r="G23" t="str">
        <f t="shared" si="2"/>
        <v>08-11-2024 to 14-11-2024</v>
      </c>
    </row>
    <row r="24" spans="1:7">
      <c r="A24" s="1">
        <v>45604</v>
      </c>
      <c r="B24" s="6">
        <v>0.78402777777777777</v>
      </c>
      <c r="C24" s="10" t="s">
        <v>70</v>
      </c>
      <c r="D24" s="7">
        <f t="shared" si="0"/>
        <v>45604.78402777778</v>
      </c>
      <c r="E24" t="str">
        <f t="shared" si="1"/>
        <v>08-11-2024 to 14-11-2024</v>
      </c>
      <c r="F24" t="str">
        <f>IF(COUNTIF('Top5'!I:I, G24) &gt; 0, "Yes", "No")</f>
        <v>No</v>
      </c>
      <c r="G24" t="str">
        <f t="shared" si="2"/>
        <v>08-11-2024 to 14-11-2024</v>
      </c>
    </row>
    <row r="25" spans="1:7">
      <c r="A25" s="1">
        <v>45605</v>
      </c>
      <c r="B25" s="6">
        <v>0.6333333333333333</v>
      </c>
      <c r="C25" s="10" t="s">
        <v>71</v>
      </c>
      <c r="D25" s="7">
        <f t="shared" si="0"/>
        <v>45605.633333333331</v>
      </c>
      <c r="E25" t="str">
        <f t="shared" si="1"/>
        <v>09-11-2024 to 15-11-2024</v>
      </c>
      <c r="F25" t="str">
        <f>IF(COUNTIF('Top5'!I:I, G25) &gt; 0, "Yes", "No")</f>
        <v>No</v>
      </c>
      <c r="G25" t="str">
        <f t="shared" si="2"/>
        <v>09-11-2024 to 15-11-2024</v>
      </c>
    </row>
    <row r="26" spans="1:7">
      <c r="A26" s="1">
        <v>45606</v>
      </c>
      <c r="B26" s="6">
        <v>0.52986111111111112</v>
      </c>
      <c r="C26" s="10" t="s">
        <v>71</v>
      </c>
      <c r="D26" s="7">
        <f t="shared" si="0"/>
        <v>45606.529861111114</v>
      </c>
      <c r="E26" t="str">
        <f t="shared" si="1"/>
        <v>10-11-2024 to 16-11-2024</v>
      </c>
      <c r="F26" t="str">
        <f>IF(COUNTIF('Top5'!I:I, G26) &gt; 0, "Yes", "No")</f>
        <v>No</v>
      </c>
      <c r="G26" t="str">
        <f t="shared" si="2"/>
        <v>10-11-2024 to 16-11-2024</v>
      </c>
    </row>
    <row r="27" spans="1:7">
      <c r="A27" s="1">
        <v>45606</v>
      </c>
      <c r="B27" s="6">
        <v>0.54722222222222228</v>
      </c>
      <c r="C27" s="10" t="s">
        <v>71</v>
      </c>
      <c r="D27" s="7">
        <f t="shared" si="0"/>
        <v>45606.547222222223</v>
      </c>
      <c r="E27" t="str">
        <f t="shared" si="1"/>
        <v>10-11-2024 to 16-11-2024</v>
      </c>
      <c r="F27" t="str">
        <f>IF(COUNTIF('Top5'!I:I, G27) &gt; 0, "Yes", "No")</f>
        <v>No</v>
      </c>
      <c r="G27" t="str">
        <f t="shared" si="2"/>
        <v>10-11-2024 to 16-11-2024</v>
      </c>
    </row>
    <row r="28" spans="1:7">
      <c r="A28" s="1">
        <v>45606</v>
      </c>
      <c r="B28" s="6">
        <v>0.61319444444444449</v>
      </c>
      <c r="C28" s="10" t="s">
        <v>71</v>
      </c>
      <c r="D28" s="7">
        <f t="shared" si="0"/>
        <v>45606.613194444442</v>
      </c>
      <c r="E28" t="str">
        <f t="shared" si="1"/>
        <v>10-11-2024 to 16-11-2024</v>
      </c>
      <c r="F28" t="str">
        <f>IF(COUNTIF('Top5'!I:I, G28) &gt; 0, "Yes", "No")</f>
        <v>No</v>
      </c>
      <c r="G28" t="str">
        <f t="shared" si="2"/>
        <v>10-11-2024 to 16-11-2024</v>
      </c>
    </row>
    <row r="29" spans="1:7">
      <c r="A29" s="1">
        <v>45606</v>
      </c>
      <c r="B29" s="6">
        <v>0.61805555555555558</v>
      </c>
      <c r="C29" s="10" t="s">
        <v>71</v>
      </c>
      <c r="D29" s="7">
        <f t="shared" si="0"/>
        <v>45606.618055555555</v>
      </c>
      <c r="E29" t="str">
        <f t="shared" si="1"/>
        <v>10-11-2024 to 16-11-2024</v>
      </c>
      <c r="F29" t="str">
        <f>IF(COUNTIF('Top5'!I:I, G29) &gt; 0, "Yes", "No")</f>
        <v>No</v>
      </c>
      <c r="G29" t="str">
        <f t="shared" si="2"/>
        <v>10-11-2024 to 16-11-2024</v>
      </c>
    </row>
    <row r="30" spans="1:7">
      <c r="A30" s="1">
        <v>45606</v>
      </c>
      <c r="B30" s="6">
        <v>0.65347222222222223</v>
      </c>
      <c r="C30" s="10" t="s">
        <v>71</v>
      </c>
      <c r="D30" s="7">
        <f t="shared" si="0"/>
        <v>45606.65347222222</v>
      </c>
      <c r="E30" t="str">
        <f t="shared" si="1"/>
        <v>10-11-2024 to 16-11-2024</v>
      </c>
      <c r="F30" t="str">
        <f>IF(COUNTIF('Top5'!I:I, G30) &gt; 0, "Yes", "No")</f>
        <v>No</v>
      </c>
      <c r="G30" t="str">
        <f t="shared" si="2"/>
        <v>10-11-2024 to 16-11-2024</v>
      </c>
    </row>
    <row r="31" spans="1:7">
      <c r="A31" s="1">
        <v>45606</v>
      </c>
      <c r="B31" s="6">
        <v>0.72430555555555554</v>
      </c>
      <c r="C31" s="10" t="s">
        <v>70</v>
      </c>
      <c r="D31" s="7">
        <f t="shared" si="0"/>
        <v>45606.724305555559</v>
      </c>
      <c r="E31" t="str">
        <f t="shared" si="1"/>
        <v>10-11-2024 to 16-11-2024</v>
      </c>
      <c r="F31" t="str">
        <f>IF(COUNTIF('Top5'!I:I, G31) &gt; 0, "Yes", "No")</f>
        <v>No</v>
      </c>
      <c r="G31" t="str">
        <f t="shared" si="2"/>
        <v>10-11-2024 to 16-11-2024</v>
      </c>
    </row>
    <row r="32" spans="1:7">
      <c r="A32" s="1">
        <v>45606</v>
      </c>
      <c r="B32" s="6">
        <v>0.73333333333333328</v>
      </c>
      <c r="C32" s="10" t="s">
        <v>70</v>
      </c>
      <c r="D32" s="7">
        <f t="shared" si="0"/>
        <v>45606.73333333333</v>
      </c>
      <c r="E32" t="str">
        <f t="shared" si="1"/>
        <v>10-11-2024 to 16-11-2024</v>
      </c>
      <c r="F32" t="str">
        <f>IF(COUNTIF('Top5'!I:I, G32) &gt; 0, "Yes", "No")</f>
        <v>No</v>
      </c>
      <c r="G32" t="str">
        <f t="shared" si="2"/>
        <v>10-11-2024 to 16-11-2024</v>
      </c>
    </row>
    <row r="33" spans="1:7">
      <c r="A33" s="1">
        <v>45606</v>
      </c>
      <c r="B33" s="6">
        <v>0.93402777777777779</v>
      </c>
      <c r="C33" s="10" t="s">
        <v>70</v>
      </c>
      <c r="D33" s="7">
        <f t="shared" si="0"/>
        <v>45606.934027777781</v>
      </c>
      <c r="E33" t="str">
        <f t="shared" si="1"/>
        <v>10-11-2024 to 16-11-2024</v>
      </c>
      <c r="F33" t="str">
        <f>IF(COUNTIF('Top5'!I:I, G33) &gt; 0, "Yes", "No")</f>
        <v>No</v>
      </c>
      <c r="G33" t="str">
        <f t="shared" si="2"/>
        <v>10-11-2024 to 16-11-2024</v>
      </c>
    </row>
    <row r="34" spans="1:7">
      <c r="A34" s="1">
        <v>45607</v>
      </c>
      <c r="B34" s="6">
        <v>0.42152777777777778</v>
      </c>
      <c r="C34" s="10" t="s">
        <v>22</v>
      </c>
      <c r="D34" s="7">
        <f t="shared" si="0"/>
        <v>45607.421527777777</v>
      </c>
      <c r="E34" t="str">
        <f t="shared" si="1"/>
        <v>11-11-2024 to 17-11-2024</v>
      </c>
      <c r="F34" t="str">
        <f>IF(COUNTIF('Top5'!I:I, G34) &gt; 0, "Yes", "No")</f>
        <v>No</v>
      </c>
      <c r="G34" t="str">
        <f t="shared" si="2"/>
        <v>11-11-2024 to 17-11-2024</v>
      </c>
    </row>
    <row r="35" spans="1:7">
      <c r="A35" s="1">
        <v>45607</v>
      </c>
      <c r="B35" s="6">
        <v>0.42152777777777778</v>
      </c>
      <c r="C35" s="10" t="s">
        <v>22</v>
      </c>
      <c r="D35" s="7">
        <f t="shared" si="0"/>
        <v>45607.421527777777</v>
      </c>
      <c r="E35" t="str">
        <f t="shared" si="1"/>
        <v>11-11-2024 to 17-11-2024</v>
      </c>
      <c r="F35" t="str">
        <f>IF(COUNTIF('Top5'!I:I, G35) &gt; 0, "Yes", "No")</f>
        <v>No</v>
      </c>
      <c r="G35" t="str">
        <f t="shared" si="2"/>
        <v>11-11-2024 to 17-11-2024</v>
      </c>
    </row>
    <row r="36" spans="1:7">
      <c r="A36" s="1">
        <v>45607</v>
      </c>
      <c r="B36" s="6">
        <v>0.53263888888888888</v>
      </c>
      <c r="C36" s="10" t="s">
        <v>71</v>
      </c>
      <c r="D36" s="7">
        <f t="shared" si="0"/>
        <v>45607.532638888886</v>
      </c>
      <c r="E36" t="str">
        <f t="shared" si="1"/>
        <v>11-11-2024 to 17-11-2024</v>
      </c>
      <c r="F36" t="str">
        <f>IF(COUNTIF('Top5'!I:I, G36) &gt; 0, "Yes", "No")</f>
        <v>No</v>
      </c>
      <c r="G36" t="str">
        <f t="shared" si="2"/>
        <v>11-11-2024 to 17-11-2024</v>
      </c>
    </row>
    <row r="37" spans="1:7">
      <c r="A37" s="1">
        <v>45608</v>
      </c>
      <c r="B37" s="6">
        <v>0.42638888888888887</v>
      </c>
      <c r="C37" s="10" t="s">
        <v>22</v>
      </c>
      <c r="D37" s="7">
        <f t="shared" si="0"/>
        <v>45608.426388888889</v>
      </c>
      <c r="E37" t="str">
        <f t="shared" si="1"/>
        <v>12-11-2024 to 18-11-2024</v>
      </c>
      <c r="F37" t="str">
        <f>IF(COUNTIF('Top5'!I:I, G37) &gt; 0, "Yes", "No")</f>
        <v>No</v>
      </c>
      <c r="G37" t="str">
        <f t="shared" si="2"/>
        <v>12-11-2024 to 18-11-2024</v>
      </c>
    </row>
    <row r="38" spans="1:7">
      <c r="A38" s="1">
        <v>45608</v>
      </c>
      <c r="B38" s="6">
        <v>0.42638888888888887</v>
      </c>
      <c r="C38" s="10" t="s">
        <v>22</v>
      </c>
      <c r="D38" s="7">
        <f t="shared" si="0"/>
        <v>45608.426388888889</v>
      </c>
      <c r="E38" t="str">
        <f t="shared" si="1"/>
        <v>12-11-2024 to 18-11-2024</v>
      </c>
      <c r="F38" t="str">
        <f>IF(COUNTIF('Top5'!I:I, G38) &gt; 0, "Yes", "No")</f>
        <v>No</v>
      </c>
      <c r="G38" t="str">
        <f t="shared" si="2"/>
        <v>12-11-2024 to 18-11-2024</v>
      </c>
    </row>
    <row r="39" spans="1:7">
      <c r="A39" s="1">
        <v>45608</v>
      </c>
      <c r="B39" s="6">
        <v>0.43611111111111112</v>
      </c>
      <c r="C39" s="10" t="s">
        <v>22</v>
      </c>
      <c r="D39" s="7">
        <f t="shared" si="0"/>
        <v>45608.436111111114</v>
      </c>
      <c r="E39" t="str">
        <f t="shared" si="1"/>
        <v>12-11-2024 to 18-11-2024</v>
      </c>
      <c r="F39" t="str">
        <f>IF(COUNTIF('Top5'!I:I, G39) &gt; 0, "Yes", "No")</f>
        <v>No</v>
      </c>
      <c r="G39" t="str">
        <f t="shared" si="2"/>
        <v>12-11-2024 to 18-11-2024</v>
      </c>
    </row>
    <row r="40" spans="1:7">
      <c r="A40" s="1">
        <v>45608</v>
      </c>
      <c r="B40" s="6">
        <v>0.4375</v>
      </c>
      <c r="C40" s="10" t="s">
        <v>22</v>
      </c>
      <c r="D40" s="7">
        <f t="shared" si="0"/>
        <v>45608.4375</v>
      </c>
      <c r="E40" t="str">
        <f t="shared" si="1"/>
        <v>12-11-2024 to 18-11-2024</v>
      </c>
      <c r="F40" t="str">
        <f>IF(COUNTIF('Top5'!I:I, G40) &gt; 0, "Yes", "No")</f>
        <v>No</v>
      </c>
      <c r="G40" t="str">
        <f t="shared" si="2"/>
        <v>12-11-2024 to 18-11-2024</v>
      </c>
    </row>
    <row r="41" spans="1:7">
      <c r="A41" s="1">
        <v>45608</v>
      </c>
      <c r="B41" s="6">
        <v>0.69097222222222221</v>
      </c>
      <c r="C41" s="10" t="s">
        <v>71</v>
      </c>
      <c r="D41" s="7">
        <f t="shared" si="0"/>
        <v>45608.690972222219</v>
      </c>
      <c r="E41" t="str">
        <f t="shared" si="1"/>
        <v>12-11-2024 to 18-11-2024</v>
      </c>
      <c r="F41" t="str">
        <f>IF(COUNTIF('Top5'!I:I, G41) &gt; 0, "Yes", "No")</f>
        <v>No</v>
      </c>
      <c r="G41" t="str">
        <f t="shared" si="2"/>
        <v>12-11-2024 to 18-11-2024</v>
      </c>
    </row>
    <row r="42" spans="1:7">
      <c r="A42" s="1">
        <v>45608</v>
      </c>
      <c r="B42" s="6">
        <v>0.70902777777777781</v>
      </c>
      <c r="C42" s="10" t="s">
        <v>70</v>
      </c>
      <c r="D42" s="7">
        <f t="shared" si="0"/>
        <v>45608.709027777775</v>
      </c>
      <c r="E42" t="str">
        <f t="shared" si="1"/>
        <v>12-11-2024 to 18-11-2024</v>
      </c>
      <c r="F42" t="str">
        <f>IF(COUNTIF('Top5'!I:I, G42) &gt; 0, "Yes", "No")</f>
        <v>No</v>
      </c>
      <c r="G42" t="str">
        <f t="shared" si="2"/>
        <v>12-11-2024 to 18-11-2024</v>
      </c>
    </row>
    <row r="43" spans="1:7">
      <c r="A43" s="1">
        <v>45608</v>
      </c>
      <c r="B43" s="6">
        <v>0.82291666666666663</v>
      </c>
      <c r="C43" s="10" t="s">
        <v>70</v>
      </c>
      <c r="D43" s="7">
        <f t="shared" si="0"/>
        <v>45608.822916666664</v>
      </c>
      <c r="E43" t="str">
        <f t="shared" si="1"/>
        <v>12-11-2024 to 18-11-2024</v>
      </c>
      <c r="F43" t="str">
        <f>IF(COUNTIF('Top5'!I:I, G43) &gt; 0, "Yes", "No")</f>
        <v>No</v>
      </c>
      <c r="G43" t="str">
        <f t="shared" si="2"/>
        <v>12-11-2024 to 18-11-2024</v>
      </c>
    </row>
    <row r="44" spans="1:7">
      <c r="A44" s="1">
        <v>45609</v>
      </c>
      <c r="B44" s="6">
        <v>0.39305555555555555</v>
      </c>
      <c r="C44" s="10" t="s">
        <v>22</v>
      </c>
      <c r="D44" s="7">
        <f t="shared" si="0"/>
        <v>45609.393055555556</v>
      </c>
      <c r="E44" t="str">
        <f t="shared" si="1"/>
        <v>13-11-2024 to 19-11-2024</v>
      </c>
      <c r="F44" t="str">
        <f>IF(COUNTIF('Top5'!I:I, G44) &gt; 0, "Yes", "No")</f>
        <v>No</v>
      </c>
      <c r="G44" t="str">
        <f t="shared" si="2"/>
        <v>13-11-2024 to 19-11-2024</v>
      </c>
    </row>
    <row r="45" spans="1:7">
      <c r="A45" s="1">
        <v>45609</v>
      </c>
      <c r="B45" s="6">
        <v>0.40763888888888888</v>
      </c>
      <c r="C45" s="10" t="s">
        <v>22</v>
      </c>
      <c r="D45" s="7">
        <f t="shared" si="0"/>
        <v>45609.407638888886</v>
      </c>
      <c r="E45" t="str">
        <f t="shared" si="1"/>
        <v>13-11-2024 to 19-11-2024</v>
      </c>
      <c r="F45" t="str">
        <f>IF(COUNTIF('Top5'!I:I, G45) &gt; 0, "Yes", "No")</f>
        <v>No</v>
      </c>
      <c r="G45" t="str">
        <f t="shared" si="2"/>
        <v>13-11-2024 to 19-11-2024</v>
      </c>
    </row>
    <row r="46" spans="1:7">
      <c r="A46" s="1">
        <v>45609</v>
      </c>
      <c r="B46" s="6">
        <v>0.4548611111111111</v>
      </c>
      <c r="C46" s="10" t="s">
        <v>22</v>
      </c>
      <c r="D46" s="7">
        <f t="shared" si="0"/>
        <v>45609.454861111109</v>
      </c>
      <c r="E46" t="str">
        <f t="shared" si="1"/>
        <v>13-11-2024 to 19-11-2024</v>
      </c>
      <c r="F46" t="str">
        <f>IF(COUNTIF('Top5'!I:I, G46) &gt; 0, "Yes", "No")</f>
        <v>No</v>
      </c>
      <c r="G46" t="str">
        <f t="shared" si="2"/>
        <v>13-11-2024 to 19-11-2024</v>
      </c>
    </row>
    <row r="47" spans="1:7">
      <c r="A47" s="1">
        <v>45609</v>
      </c>
      <c r="B47" s="6">
        <v>0.45624999999999999</v>
      </c>
      <c r="C47" s="10" t="s">
        <v>22</v>
      </c>
      <c r="D47" s="7">
        <f t="shared" si="0"/>
        <v>45609.456250000003</v>
      </c>
      <c r="E47" t="str">
        <f t="shared" si="1"/>
        <v>13-11-2024 to 19-11-2024</v>
      </c>
      <c r="F47" t="str">
        <f>IF(COUNTIF('Top5'!I:I, G47) &gt; 0, "Yes", "No")</f>
        <v>No</v>
      </c>
      <c r="G47" t="str">
        <f t="shared" si="2"/>
        <v>13-11-2024 to 19-11-2024</v>
      </c>
    </row>
    <row r="48" spans="1:7">
      <c r="A48" s="1">
        <v>45609</v>
      </c>
      <c r="B48" s="6">
        <v>0.72430555555555554</v>
      </c>
      <c r="C48" s="10" t="s">
        <v>70</v>
      </c>
      <c r="D48" s="7">
        <f t="shared" si="0"/>
        <v>45609.724305555559</v>
      </c>
      <c r="E48" t="str">
        <f t="shared" si="1"/>
        <v>13-11-2024 to 19-11-2024</v>
      </c>
      <c r="F48" t="str">
        <f>IF(COUNTIF('Top5'!I:I, G48) &gt; 0, "Yes", "No")</f>
        <v>No</v>
      </c>
      <c r="G48" t="str">
        <f t="shared" si="2"/>
        <v>13-11-2024 to 19-11-2024</v>
      </c>
    </row>
    <row r="49" spans="1:7">
      <c r="A49" s="1">
        <v>45610</v>
      </c>
      <c r="B49" s="6">
        <v>0.38819444444444445</v>
      </c>
      <c r="C49" s="10" t="s">
        <v>22</v>
      </c>
      <c r="D49" s="7">
        <f t="shared" si="0"/>
        <v>45610.388194444444</v>
      </c>
      <c r="E49" t="str">
        <f t="shared" si="1"/>
        <v>14-11-2024 to 20-11-2024</v>
      </c>
      <c r="F49" t="str">
        <f>IF(COUNTIF('Top5'!I:I, G49) &gt; 0, "Yes", "No")</f>
        <v>No</v>
      </c>
      <c r="G49" t="str">
        <f t="shared" si="2"/>
        <v>14-11-2024 to 20-11-2024</v>
      </c>
    </row>
    <row r="50" spans="1:7">
      <c r="A50" s="1">
        <v>45610</v>
      </c>
      <c r="B50" s="6">
        <v>0.51736111111111116</v>
      </c>
      <c r="C50" s="10" t="s">
        <v>71</v>
      </c>
      <c r="D50" s="7">
        <f t="shared" si="0"/>
        <v>45610.517361111109</v>
      </c>
      <c r="E50" t="str">
        <f t="shared" si="1"/>
        <v>14-11-2024 to 20-11-2024</v>
      </c>
      <c r="F50" t="str">
        <f>IF(COUNTIF('Top5'!I:I, G50) &gt; 0, "Yes", "No")</f>
        <v>No</v>
      </c>
      <c r="G50" t="str">
        <f t="shared" si="2"/>
        <v>14-11-2024 to 20-11-2024</v>
      </c>
    </row>
    <row r="51" spans="1:7">
      <c r="A51" s="1">
        <v>45610</v>
      </c>
      <c r="B51" s="6">
        <v>0.53611111111111109</v>
      </c>
      <c r="C51" s="10" t="s">
        <v>71</v>
      </c>
      <c r="D51" s="7">
        <f t="shared" si="0"/>
        <v>45610.536111111112</v>
      </c>
      <c r="E51" t="str">
        <f t="shared" si="1"/>
        <v>14-11-2024 to 20-11-2024</v>
      </c>
      <c r="F51" t="str">
        <f>IF(COUNTIF('Top5'!I:I, G51) &gt; 0, "Yes", "No")</f>
        <v>No</v>
      </c>
      <c r="G51" t="str">
        <f t="shared" si="2"/>
        <v>14-11-2024 to 20-11-2024</v>
      </c>
    </row>
    <row r="52" spans="1:7">
      <c r="A52" s="1">
        <v>45610</v>
      </c>
      <c r="B52" s="6">
        <v>0.56319444444444444</v>
      </c>
      <c r="C52" s="10" t="s">
        <v>71</v>
      </c>
      <c r="D52" s="7">
        <f t="shared" si="0"/>
        <v>45610.563194444447</v>
      </c>
      <c r="E52" t="str">
        <f t="shared" si="1"/>
        <v>14-11-2024 to 20-11-2024</v>
      </c>
      <c r="F52" t="str">
        <f>IF(COUNTIF('Top5'!I:I, G52) &gt; 0, "Yes", "No")</f>
        <v>No</v>
      </c>
      <c r="G52" t="str">
        <f t="shared" si="2"/>
        <v>14-11-2024 to 20-11-2024</v>
      </c>
    </row>
    <row r="53" spans="1:7">
      <c r="A53" s="1">
        <v>45610</v>
      </c>
      <c r="B53" s="6">
        <v>0.59097222222222223</v>
      </c>
      <c r="C53" s="10" t="s">
        <v>71</v>
      </c>
      <c r="D53" s="7">
        <f t="shared" si="0"/>
        <v>45610.59097222222</v>
      </c>
      <c r="E53" t="str">
        <f t="shared" si="1"/>
        <v>14-11-2024 to 20-11-2024</v>
      </c>
      <c r="F53" t="str">
        <f>IF(COUNTIF('Top5'!I:I, G53) &gt; 0, "Yes", "No")</f>
        <v>No</v>
      </c>
      <c r="G53" t="str">
        <f t="shared" si="2"/>
        <v>14-11-2024 to 20-11-2024</v>
      </c>
    </row>
    <row r="54" spans="1:7">
      <c r="A54" s="1">
        <v>45612</v>
      </c>
      <c r="B54" s="6">
        <v>0.50138888888888888</v>
      </c>
      <c r="C54" s="10" t="s">
        <v>71</v>
      </c>
      <c r="D54" s="7">
        <f t="shared" si="0"/>
        <v>45612.501388888886</v>
      </c>
      <c r="E54" t="str">
        <f t="shared" si="1"/>
        <v>16-11-2024 to 22-11-2024</v>
      </c>
      <c r="F54" t="str">
        <f>IF(COUNTIF('Top5'!I:I, G54) &gt; 0, "Yes", "No")</f>
        <v>No</v>
      </c>
      <c r="G54" t="str">
        <f t="shared" si="2"/>
        <v>16-11-2024 to 22-11-2024</v>
      </c>
    </row>
    <row r="55" spans="1:7">
      <c r="A55" s="1">
        <v>45612</v>
      </c>
      <c r="B55" s="6">
        <v>0.94652777777777775</v>
      </c>
      <c r="C55" s="10" t="s">
        <v>70</v>
      </c>
      <c r="D55" s="7">
        <f t="shared" si="0"/>
        <v>45612.946527777778</v>
      </c>
      <c r="E55" t="str">
        <f t="shared" si="1"/>
        <v>16-11-2024 to 22-11-2024</v>
      </c>
      <c r="F55" t="str">
        <f>IF(COUNTIF('Top5'!I:I, G55) &gt; 0, "Yes", "No")</f>
        <v>No</v>
      </c>
      <c r="G55" t="str">
        <f t="shared" si="2"/>
        <v>16-11-2024 to 22-11-2024</v>
      </c>
    </row>
    <row r="56" spans="1:7">
      <c r="A56" s="1">
        <v>45614</v>
      </c>
      <c r="B56" s="6">
        <v>0.88055555555555554</v>
      </c>
      <c r="C56" s="10" t="s">
        <v>70</v>
      </c>
      <c r="D56" s="7">
        <f t="shared" si="0"/>
        <v>45614.880555555559</v>
      </c>
      <c r="E56" t="str">
        <f t="shared" si="1"/>
        <v>18-11-2024 to 24-11-2024</v>
      </c>
      <c r="F56" t="str">
        <f>IF(COUNTIF('Top5'!I:I, G56) &gt; 0, "Yes", "No")</f>
        <v>No</v>
      </c>
      <c r="G56" t="str">
        <f t="shared" si="2"/>
        <v>18-11-2024 to 24-11-2024</v>
      </c>
    </row>
    <row r="57" spans="1:7">
      <c r="A57" s="1">
        <v>45615</v>
      </c>
      <c r="B57" s="6">
        <v>0.3923611111111111</v>
      </c>
      <c r="C57" s="10" t="s">
        <v>22</v>
      </c>
      <c r="D57" s="7">
        <f t="shared" si="0"/>
        <v>45615.392361111109</v>
      </c>
      <c r="E57" t="str">
        <f t="shared" si="1"/>
        <v>19-11-2024 to 25-11-2024</v>
      </c>
      <c r="F57" t="str">
        <f>IF(COUNTIF('Top5'!I:I, G57) &gt; 0, "Yes", "No")</f>
        <v>No</v>
      </c>
      <c r="G57" t="str">
        <f t="shared" si="2"/>
        <v>19-11-2024 to 25-11-2024</v>
      </c>
    </row>
    <row r="58" spans="1:7">
      <c r="A58" s="1">
        <v>45615</v>
      </c>
      <c r="B58" s="6">
        <v>0.4152777777777778</v>
      </c>
      <c r="C58" s="10" t="s">
        <v>22</v>
      </c>
      <c r="D58" s="7">
        <f t="shared" si="0"/>
        <v>45615.415277777778</v>
      </c>
      <c r="E58" t="str">
        <f t="shared" si="1"/>
        <v>19-11-2024 to 25-11-2024</v>
      </c>
      <c r="F58" t="str">
        <f>IF(COUNTIF('Top5'!I:I, G58) &gt; 0, "Yes", "No")</f>
        <v>No</v>
      </c>
      <c r="G58" t="str">
        <f t="shared" si="2"/>
        <v>19-11-2024 to 25-11-2024</v>
      </c>
    </row>
    <row r="59" spans="1:7">
      <c r="A59" s="1">
        <v>45615</v>
      </c>
      <c r="B59" s="6">
        <v>0.72916666666666663</v>
      </c>
      <c r="C59" s="10" t="s">
        <v>70</v>
      </c>
      <c r="D59" s="7">
        <f t="shared" si="0"/>
        <v>45615.729166666664</v>
      </c>
      <c r="E59" t="str">
        <f t="shared" si="1"/>
        <v>19-11-2024 to 25-11-2024</v>
      </c>
      <c r="F59" t="str">
        <f>IF(COUNTIF('Top5'!I:I, G59) &gt; 0, "Yes", "No")</f>
        <v>No</v>
      </c>
      <c r="G59" t="str">
        <f t="shared" si="2"/>
        <v>19-11-2024 to 25-11-2024</v>
      </c>
    </row>
    <row r="60" spans="1:7">
      <c r="A60" s="1">
        <v>45615</v>
      </c>
      <c r="B60" s="6">
        <v>0.75486111111111109</v>
      </c>
      <c r="C60" s="10" t="s">
        <v>70</v>
      </c>
      <c r="D60" s="7">
        <f t="shared" si="0"/>
        <v>45615.754861111112</v>
      </c>
      <c r="E60" t="str">
        <f t="shared" si="1"/>
        <v>19-11-2024 to 25-11-2024</v>
      </c>
      <c r="F60" t="str">
        <f>IF(COUNTIF('Top5'!I:I, G60) &gt; 0, "Yes", "No")</f>
        <v>No</v>
      </c>
      <c r="G60" t="str">
        <f t="shared" si="2"/>
        <v>19-11-2024 to 25-11-2024</v>
      </c>
    </row>
    <row r="61" spans="1:7">
      <c r="A61" s="1">
        <v>45615</v>
      </c>
      <c r="B61" s="6">
        <v>0.91597222222222219</v>
      </c>
      <c r="C61" s="10" t="s">
        <v>70</v>
      </c>
      <c r="D61" s="7">
        <f t="shared" si="0"/>
        <v>45615.915972222225</v>
      </c>
      <c r="E61" t="str">
        <f t="shared" si="1"/>
        <v>19-11-2024 to 25-11-2024</v>
      </c>
      <c r="F61" t="str">
        <f>IF(COUNTIF('Top5'!I:I, G61) &gt; 0, "Yes", "No")</f>
        <v>No</v>
      </c>
      <c r="G61" t="str">
        <f t="shared" si="2"/>
        <v>19-11-2024 to 25-11-2024</v>
      </c>
    </row>
    <row r="62" spans="1:7">
      <c r="A62" s="1">
        <v>45616</v>
      </c>
      <c r="B62" s="6">
        <v>0.60555555555555551</v>
      </c>
      <c r="C62" s="10" t="s">
        <v>71</v>
      </c>
      <c r="D62" s="7">
        <f t="shared" si="0"/>
        <v>45616.605555555558</v>
      </c>
      <c r="E62" t="str">
        <f t="shared" si="1"/>
        <v>20-11-2024 to 26-11-2024</v>
      </c>
      <c r="F62" t="str">
        <f>IF(COUNTIF('Top5'!I:I, G62) &gt; 0, "Yes", "No")</f>
        <v>No</v>
      </c>
      <c r="G62" t="str">
        <f t="shared" si="2"/>
        <v>20-11-2024 to 26-11-2024</v>
      </c>
    </row>
    <row r="63" spans="1:7">
      <c r="A63" s="1">
        <v>45617</v>
      </c>
      <c r="B63" s="6">
        <v>1.3888888888888889E-3</v>
      </c>
      <c r="C63" s="10" t="s">
        <v>70</v>
      </c>
      <c r="D63" s="7">
        <f t="shared" si="0"/>
        <v>45617.001388888886</v>
      </c>
      <c r="E63" t="str">
        <f t="shared" si="1"/>
        <v>21-11-2024 to 27-11-2024</v>
      </c>
      <c r="F63" t="str">
        <f>IF(COUNTIF('Top5'!I:I, G63) &gt; 0, "Yes", "No")</f>
        <v>No</v>
      </c>
      <c r="G63" t="str">
        <f t="shared" si="2"/>
        <v>21-11-2024 to 27-11-2024</v>
      </c>
    </row>
    <row r="64" spans="1:7">
      <c r="A64" s="1">
        <v>45617</v>
      </c>
      <c r="B64" s="6">
        <v>0.42291666666666666</v>
      </c>
      <c r="C64" s="10" t="s">
        <v>22</v>
      </c>
      <c r="D64" s="7">
        <f t="shared" si="0"/>
        <v>45617.42291666667</v>
      </c>
      <c r="E64" t="str">
        <f t="shared" si="1"/>
        <v>21-11-2024 to 27-11-2024</v>
      </c>
      <c r="F64" t="str">
        <f>IF(COUNTIF('Top5'!I:I, G64) &gt; 0, "Yes", "No")</f>
        <v>No</v>
      </c>
      <c r="G64" t="str">
        <f t="shared" si="2"/>
        <v>21-11-2024 to 27-11-2024</v>
      </c>
    </row>
    <row r="65" spans="1:7">
      <c r="A65" s="1">
        <v>45617</v>
      </c>
      <c r="B65" s="6">
        <v>0.44583333333333336</v>
      </c>
      <c r="C65" s="10" t="s">
        <v>22</v>
      </c>
      <c r="D65" s="7">
        <f t="shared" si="0"/>
        <v>45617.445833333331</v>
      </c>
      <c r="E65" t="str">
        <f t="shared" si="1"/>
        <v>21-11-2024 to 27-11-2024</v>
      </c>
      <c r="F65" t="str">
        <f>IF(COUNTIF('Top5'!I:I, G65) &gt; 0, "Yes", "No")</f>
        <v>No</v>
      </c>
      <c r="G65" t="str">
        <f t="shared" si="2"/>
        <v>21-11-2024 to 27-11-2024</v>
      </c>
    </row>
    <row r="66" spans="1:7">
      <c r="A66" s="1">
        <v>45617</v>
      </c>
      <c r="B66" s="6">
        <v>0.4513888888888889</v>
      </c>
      <c r="C66" s="10" t="s">
        <v>22</v>
      </c>
      <c r="D66" s="7">
        <f t="shared" si="0"/>
        <v>45617.451388888891</v>
      </c>
      <c r="E66" t="str">
        <f t="shared" si="1"/>
        <v>21-11-2024 to 27-11-2024</v>
      </c>
      <c r="F66" t="str">
        <f>IF(COUNTIF('Top5'!I:I, G66) &gt; 0, "Yes", "No")</f>
        <v>No</v>
      </c>
      <c r="G66" t="str">
        <f t="shared" si="2"/>
        <v>21-11-2024 to 27-11-2024</v>
      </c>
    </row>
    <row r="67" spans="1:7">
      <c r="A67" s="1">
        <v>45617</v>
      </c>
      <c r="B67" s="6">
        <v>0.46527777777777779</v>
      </c>
      <c r="C67" s="10" t="s">
        <v>22</v>
      </c>
      <c r="D67" s="7">
        <f t="shared" ref="D67:D130" si="3">VALUE(A67) + VALUE(B67)</f>
        <v>45617.465277777781</v>
      </c>
      <c r="E67" t="str">
        <f t="shared" ref="E67:E130" si="4">TEXT(D67, "dd-mm-yyyy") &amp; " to " &amp; TEXT(D67+6, "dd-mm-yyyy")</f>
        <v>21-11-2024 to 27-11-2024</v>
      </c>
      <c r="F67" t="str">
        <f>IF(COUNTIF('Top5'!I:I, G67) &gt; 0, "Yes", "No")</f>
        <v>No</v>
      </c>
      <c r="G67" t="str">
        <f t="shared" ref="G67:G130" si="5">TRIM(E67)</f>
        <v>21-11-2024 to 27-11-2024</v>
      </c>
    </row>
    <row r="68" spans="1:7">
      <c r="A68" s="1">
        <v>45617</v>
      </c>
      <c r="B68" s="6">
        <v>0.48749999999999999</v>
      </c>
      <c r="C68" s="10" t="s">
        <v>22</v>
      </c>
      <c r="D68" s="7">
        <f t="shared" si="3"/>
        <v>45617.487500000003</v>
      </c>
      <c r="E68" t="str">
        <f t="shared" si="4"/>
        <v>21-11-2024 to 27-11-2024</v>
      </c>
      <c r="F68" t="str">
        <f>IF(COUNTIF('Top5'!I:I, G68) &gt; 0, "Yes", "No")</f>
        <v>No</v>
      </c>
      <c r="G68" t="str">
        <f t="shared" si="5"/>
        <v>21-11-2024 to 27-11-2024</v>
      </c>
    </row>
    <row r="69" spans="1:7">
      <c r="A69" s="1">
        <v>45617</v>
      </c>
      <c r="B69" s="6">
        <v>0.78055555555555556</v>
      </c>
      <c r="C69" s="10" t="s">
        <v>70</v>
      </c>
      <c r="D69" s="7">
        <f t="shared" si="3"/>
        <v>45617.780555555553</v>
      </c>
      <c r="E69" t="str">
        <f t="shared" si="4"/>
        <v>21-11-2024 to 27-11-2024</v>
      </c>
      <c r="F69" t="str">
        <f>IF(COUNTIF('Top5'!I:I, G69) &gt; 0, "Yes", "No")</f>
        <v>No</v>
      </c>
      <c r="G69" t="str">
        <f t="shared" si="5"/>
        <v>21-11-2024 to 27-11-2024</v>
      </c>
    </row>
    <row r="70" spans="1:7">
      <c r="A70" s="1">
        <v>45617</v>
      </c>
      <c r="B70" s="6">
        <v>0.95763888888888893</v>
      </c>
      <c r="C70" s="10" t="s">
        <v>70</v>
      </c>
      <c r="D70" s="7">
        <f t="shared" si="3"/>
        <v>45617.957638888889</v>
      </c>
      <c r="E70" t="str">
        <f t="shared" si="4"/>
        <v>21-11-2024 to 27-11-2024</v>
      </c>
      <c r="F70" t="str">
        <f>IF(COUNTIF('Top5'!I:I, G70) &gt; 0, "Yes", "No")</f>
        <v>No</v>
      </c>
      <c r="G70" t="str">
        <f t="shared" si="5"/>
        <v>21-11-2024 to 27-11-2024</v>
      </c>
    </row>
    <row r="71" spans="1:7">
      <c r="A71" s="1">
        <v>45617</v>
      </c>
      <c r="B71" s="6">
        <v>0.95833333333333337</v>
      </c>
      <c r="C71" s="10" t="s">
        <v>70</v>
      </c>
      <c r="D71" s="7">
        <f t="shared" si="3"/>
        <v>45617.958333333336</v>
      </c>
      <c r="E71" t="str">
        <f t="shared" si="4"/>
        <v>21-11-2024 to 27-11-2024</v>
      </c>
      <c r="F71" t="str">
        <f>IF(COUNTIF('Top5'!I:I, G71) &gt; 0, "Yes", "No")</f>
        <v>No</v>
      </c>
      <c r="G71" t="str">
        <f t="shared" si="5"/>
        <v>21-11-2024 to 27-11-2024</v>
      </c>
    </row>
    <row r="72" spans="1:7">
      <c r="A72" s="1">
        <v>45618</v>
      </c>
      <c r="B72" s="6">
        <v>0.36180555555555555</v>
      </c>
      <c r="C72" s="10" t="s">
        <v>22</v>
      </c>
      <c r="D72" s="7">
        <f t="shared" si="3"/>
        <v>45618.361805555556</v>
      </c>
      <c r="E72" t="str">
        <f t="shared" si="4"/>
        <v>22-11-2024 to 28-11-2024</v>
      </c>
      <c r="F72" t="str">
        <f>IF(COUNTIF('Top5'!I:I, G72) &gt; 0, "Yes", "No")</f>
        <v>No</v>
      </c>
      <c r="G72" t="str">
        <f t="shared" si="5"/>
        <v>22-11-2024 to 28-11-2024</v>
      </c>
    </row>
    <row r="73" spans="1:7">
      <c r="A73" s="1">
        <v>45618</v>
      </c>
      <c r="B73" s="6">
        <v>0.36249999999999999</v>
      </c>
      <c r="C73" s="10" t="s">
        <v>22</v>
      </c>
      <c r="D73" s="7">
        <f t="shared" si="3"/>
        <v>45618.362500000003</v>
      </c>
      <c r="E73" t="str">
        <f t="shared" si="4"/>
        <v>22-11-2024 to 28-11-2024</v>
      </c>
      <c r="F73" t="str">
        <f>IF(COUNTIF('Top5'!I:I, G73) &gt; 0, "Yes", "No")</f>
        <v>No</v>
      </c>
      <c r="G73" t="str">
        <f t="shared" si="5"/>
        <v>22-11-2024 to 28-11-2024</v>
      </c>
    </row>
    <row r="74" spans="1:7">
      <c r="A74" s="1">
        <v>45618</v>
      </c>
      <c r="B74" s="6">
        <v>0.46805555555555556</v>
      </c>
      <c r="C74" s="10" t="s">
        <v>22</v>
      </c>
      <c r="D74" s="7">
        <f t="shared" si="3"/>
        <v>45618.468055555553</v>
      </c>
      <c r="E74" t="str">
        <f t="shared" si="4"/>
        <v>22-11-2024 to 28-11-2024</v>
      </c>
      <c r="F74" t="str">
        <f>IF(COUNTIF('Top5'!I:I, G74) &gt; 0, "Yes", "No")</f>
        <v>No</v>
      </c>
      <c r="G74" t="str">
        <f t="shared" si="5"/>
        <v>22-11-2024 to 28-11-2024</v>
      </c>
    </row>
    <row r="75" spans="1:7">
      <c r="A75" s="1">
        <v>45619</v>
      </c>
      <c r="B75" s="6">
        <v>0.72569444444444442</v>
      </c>
      <c r="C75" s="10" t="s">
        <v>70</v>
      </c>
      <c r="D75" s="7">
        <f t="shared" si="3"/>
        <v>45619.725694444445</v>
      </c>
      <c r="E75" t="str">
        <f t="shared" si="4"/>
        <v>23-11-2024 to 29-11-2024</v>
      </c>
      <c r="F75" t="str">
        <f>IF(COUNTIF('Top5'!I:I, G75) &gt; 0, "Yes", "No")</f>
        <v>No</v>
      </c>
      <c r="G75" t="str">
        <f t="shared" si="5"/>
        <v>23-11-2024 to 29-11-2024</v>
      </c>
    </row>
    <row r="76" spans="1:7">
      <c r="A76" s="1">
        <v>45619</v>
      </c>
      <c r="B76" s="6">
        <v>0.75069444444444444</v>
      </c>
      <c r="C76" s="10" t="s">
        <v>70</v>
      </c>
      <c r="D76" s="7">
        <f t="shared" si="3"/>
        <v>45619.750694444447</v>
      </c>
      <c r="E76" t="str">
        <f t="shared" si="4"/>
        <v>23-11-2024 to 29-11-2024</v>
      </c>
      <c r="F76" t="str">
        <f>IF(COUNTIF('Top5'!I:I, G76) &gt; 0, "Yes", "No")</f>
        <v>No</v>
      </c>
      <c r="G76" t="str">
        <f t="shared" si="5"/>
        <v>23-11-2024 to 29-11-2024</v>
      </c>
    </row>
    <row r="77" spans="1:7">
      <c r="A77" s="1">
        <v>45619</v>
      </c>
      <c r="B77" s="6">
        <v>0.79861111111111116</v>
      </c>
      <c r="C77" s="10" t="s">
        <v>70</v>
      </c>
      <c r="D77" s="7">
        <f t="shared" si="3"/>
        <v>45619.798611111109</v>
      </c>
      <c r="E77" t="str">
        <f t="shared" si="4"/>
        <v>23-11-2024 to 29-11-2024</v>
      </c>
      <c r="F77" t="str">
        <f>IF(COUNTIF('Top5'!I:I, G77) &gt; 0, "Yes", "No")</f>
        <v>No</v>
      </c>
      <c r="G77" t="str">
        <f t="shared" si="5"/>
        <v>23-11-2024 to 29-11-2024</v>
      </c>
    </row>
    <row r="78" spans="1:7">
      <c r="A78" s="1">
        <v>45620</v>
      </c>
      <c r="B78" s="6">
        <v>1.3888888888888889E-3</v>
      </c>
      <c r="C78" s="10" t="s">
        <v>70</v>
      </c>
      <c r="D78" s="7">
        <f t="shared" si="3"/>
        <v>45620.001388888886</v>
      </c>
      <c r="E78" t="str">
        <f t="shared" si="4"/>
        <v>24-11-2024 to 30-11-2024</v>
      </c>
      <c r="F78" t="str">
        <f>IF(COUNTIF('Top5'!I:I, G78) &gt; 0, "Yes", "No")</f>
        <v>No</v>
      </c>
      <c r="G78" t="str">
        <f t="shared" si="5"/>
        <v>24-11-2024 to 30-11-2024</v>
      </c>
    </row>
    <row r="79" spans="1:7">
      <c r="A79" s="1">
        <v>45620</v>
      </c>
      <c r="B79" s="6">
        <v>2.0833333333333333E-3</v>
      </c>
      <c r="C79" s="10" t="s">
        <v>70</v>
      </c>
      <c r="D79" s="7">
        <f t="shared" si="3"/>
        <v>45620.002083333333</v>
      </c>
      <c r="E79" t="str">
        <f t="shared" si="4"/>
        <v>24-11-2024 to 30-11-2024</v>
      </c>
      <c r="F79" t="str">
        <f>IF(COUNTIF('Top5'!I:I, G79) &gt; 0, "Yes", "No")</f>
        <v>No</v>
      </c>
      <c r="G79" t="str">
        <f t="shared" si="5"/>
        <v>24-11-2024 to 30-11-2024</v>
      </c>
    </row>
    <row r="80" spans="1:7">
      <c r="A80" s="1">
        <v>45620</v>
      </c>
      <c r="B80" s="6">
        <v>2.0833333333333333E-3</v>
      </c>
      <c r="C80" s="10" t="s">
        <v>70</v>
      </c>
      <c r="D80" s="7">
        <f t="shared" si="3"/>
        <v>45620.002083333333</v>
      </c>
      <c r="E80" t="str">
        <f t="shared" si="4"/>
        <v>24-11-2024 to 30-11-2024</v>
      </c>
      <c r="F80" t="str">
        <f>IF(COUNTIF('Top5'!I:I, G80) &gt; 0, "Yes", "No")</f>
        <v>No</v>
      </c>
      <c r="G80" t="str">
        <f t="shared" si="5"/>
        <v>24-11-2024 to 30-11-2024</v>
      </c>
    </row>
    <row r="81" spans="1:7">
      <c r="A81" s="1">
        <v>45620</v>
      </c>
      <c r="B81" s="6">
        <v>0.70694444444444449</v>
      </c>
      <c r="C81" s="10" t="s">
        <v>71</v>
      </c>
      <c r="D81" s="7">
        <f t="shared" si="3"/>
        <v>45620.706944444442</v>
      </c>
      <c r="E81" t="str">
        <f t="shared" si="4"/>
        <v>24-11-2024 to 30-11-2024</v>
      </c>
      <c r="F81" t="str">
        <f>IF(COUNTIF('Top5'!I:I, G81) &gt; 0, "Yes", "No")</f>
        <v>No</v>
      </c>
      <c r="G81" t="str">
        <f t="shared" si="5"/>
        <v>24-11-2024 to 30-11-2024</v>
      </c>
    </row>
    <row r="82" spans="1:7">
      <c r="A82" s="1">
        <v>45621</v>
      </c>
      <c r="B82" s="6">
        <v>0.82638888888888884</v>
      </c>
      <c r="C82" s="10" t="s">
        <v>70</v>
      </c>
      <c r="D82" s="7">
        <f t="shared" si="3"/>
        <v>45621.826388888891</v>
      </c>
      <c r="E82" t="str">
        <f t="shared" si="4"/>
        <v>25-11-2024 to 01-12-2024</v>
      </c>
      <c r="F82" t="str">
        <f>IF(COUNTIF('Top5'!I:I, G82) &gt; 0, "Yes", "No")</f>
        <v>No</v>
      </c>
      <c r="G82" t="str">
        <f t="shared" si="5"/>
        <v>25-11-2024 to 01-12-2024</v>
      </c>
    </row>
    <row r="83" spans="1:7">
      <c r="A83" s="1">
        <v>45622</v>
      </c>
      <c r="B83" s="6">
        <v>0.52500000000000002</v>
      </c>
      <c r="C83" s="10" t="s">
        <v>71</v>
      </c>
      <c r="D83" s="7">
        <f t="shared" si="3"/>
        <v>45622.525000000001</v>
      </c>
      <c r="E83" t="str">
        <f t="shared" si="4"/>
        <v>26-11-2024 to 02-12-2024</v>
      </c>
      <c r="F83" t="str">
        <f>IF(COUNTIF('Top5'!I:I, G83) &gt; 0, "Yes", "No")</f>
        <v>No</v>
      </c>
      <c r="G83" t="str">
        <f t="shared" si="5"/>
        <v>26-11-2024 to 02-12-2024</v>
      </c>
    </row>
    <row r="84" spans="1:7">
      <c r="A84" s="1">
        <v>45622</v>
      </c>
      <c r="B84" s="6">
        <v>0.56736111111111109</v>
      </c>
      <c r="C84" s="10" t="s">
        <v>71</v>
      </c>
      <c r="D84" s="7">
        <f t="shared" si="3"/>
        <v>45622.567361111112</v>
      </c>
      <c r="E84" t="str">
        <f t="shared" si="4"/>
        <v>26-11-2024 to 02-12-2024</v>
      </c>
      <c r="F84" t="str">
        <f>IF(COUNTIF('Top5'!I:I, G84) &gt; 0, "Yes", "No")</f>
        <v>No</v>
      </c>
      <c r="G84" t="str">
        <f t="shared" si="5"/>
        <v>26-11-2024 to 02-12-2024</v>
      </c>
    </row>
    <row r="85" spans="1:7">
      <c r="A85" s="1">
        <v>45622</v>
      </c>
      <c r="B85" s="6">
        <v>0.61041666666666672</v>
      </c>
      <c r="C85" s="10" t="s">
        <v>71</v>
      </c>
      <c r="D85" s="7">
        <f t="shared" si="3"/>
        <v>45622.61041666667</v>
      </c>
      <c r="E85" t="str">
        <f t="shared" si="4"/>
        <v>26-11-2024 to 02-12-2024</v>
      </c>
      <c r="F85" t="str">
        <f>IF(COUNTIF('Top5'!I:I, G85) &gt; 0, "Yes", "No")</f>
        <v>No</v>
      </c>
      <c r="G85" t="str">
        <f t="shared" si="5"/>
        <v>26-11-2024 to 02-12-2024</v>
      </c>
    </row>
    <row r="86" spans="1:7">
      <c r="A86" s="1">
        <v>45622</v>
      </c>
      <c r="B86" s="6">
        <v>0.79305555555555551</v>
      </c>
      <c r="C86" s="10" t="s">
        <v>70</v>
      </c>
      <c r="D86" s="7">
        <f t="shared" si="3"/>
        <v>45622.793055555558</v>
      </c>
      <c r="E86" t="str">
        <f t="shared" si="4"/>
        <v>26-11-2024 to 02-12-2024</v>
      </c>
      <c r="F86" t="str">
        <f>IF(COUNTIF('Top5'!I:I, G86) &gt; 0, "Yes", "No")</f>
        <v>No</v>
      </c>
      <c r="G86" t="str">
        <f t="shared" si="5"/>
        <v>26-11-2024 to 02-12-2024</v>
      </c>
    </row>
    <row r="87" spans="1:7">
      <c r="A87" s="1">
        <v>45622</v>
      </c>
      <c r="B87" s="6">
        <v>0.7993055555555556</v>
      </c>
      <c r="C87" s="10" t="s">
        <v>70</v>
      </c>
      <c r="D87" s="7">
        <f t="shared" si="3"/>
        <v>45622.799305555556</v>
      </c>
      <c r="E87" t="str">
        <f t="shared" si="4"/>
        <v>26-11-2024 to 02-12-2024</v>
      </c>
      <c r="F87" t="str">
        <f>IF(COUNTIF('Top5'!I:I, G87) &gt; 0, "Yes", "No")</f>
        <v>No</v>
      </c>
      <c r="G87" t="str">
        <f t="shared" si="5"/>
        <v>26-11-2024 to 02-12-2024</v>
      </c>
    </row>
    <row r="88" spans="1:7">
      <c r="A88" s="1">
        <v>45625</v>
      </c>
      <c r="B88" s="6">
        <v>0.55555555555555558</v>
      </c>
      <c r="C88" s="10" t="s">
        <v>71</v>
      </c>
      <c r="D88" s="7">
        <f t="shared" si="3"/>
        <v>45625.555555555555</v>
      </c>
      <c r="E88" t="str">
        <f t="shared" si="4"/>
        <v>29-11-2024 to 05-12-2024</v>
      </c>
      <c r="F88" t="str">
        <f>IF(COUNTIF('Top5'!I:I, G88) &gt; 0, "Yes", "No")</f>
        <v>No</v>
      </c>
      <c r="G88" t="str">
        <f t="shared" si="5"/>
        <v>29-11-2024 to 05-12-2024</v>
      </c>
    </row>
    <row r="89" spans="1:7">
      <c r="A89" s="1">
        <v>45625</v>
      </c>
      <c r="B89" s="6">
        <v>0.62430555555555556</v>
      </c>
      <c r="C89" s="10" t="s">
        <v>71</v>
      </c>
      <c r="D89" s="7">
        <f t="shared" si="3"/>
        <v>45625.624305555553</v>
      </c>
      <c r="E89" t="str">
        <f t="shared" si="4"/>
        <v>29-11-2024 to 05-12-2024</v>
      </c>
      <c r="F89" t="str">
        <f>IF(COUNTIF('Top5'!I:I, G89) &gt; 0, "Yes", "No")</f>
        <v>No</v>
      </c>
      <c r="G89" t="str">
        <f t="shared" si="5"/>
        <v>29-11-2024 to 05-12-2024</v>
      </c>
    </row>
    <row r="90" spans="1:7">
      <c r="A90" s="1">
        <v>45625</v>
      </c>
      <c r="B90" s="6">
        <v>0.6875</v>
      </c>
      <c r="C90" s="10" t="s">
        <v>71</v>
      </c>
      <c r="D90" s="7">
        <f t="shared" si="3"/>
        <v>45625.6875</v>
      </c>
      <c r="E90" t="str">
        <f t="shared" si="4"/>
        <v>29-11-2024 to 05-12-2024</v>
      </c>
      <c r="F90" t="str">
        <f>IF(COUNTIF('Top5'!I:I, G90) &gt; 0, "Yes", "No")</f>
        <v>No</v>
      </c>
      <c r="G90" t="str">
        <f t="shared" si="5"/>
        <v>29-11-2024 to 05-12-2024</v>
      </c>
    </row>
    <row r="91" spans="1:7">
      <c r="A91" s="1">
        <v>45625</v>
      </c>
      <c r="B91" s="6">
        <v>0.99583333333333335</v>
      </c>
      <c r="C91" s="10" t="s">
        <v>70</v>
      </c>
      <c r="D91" s="7">
        <f t="shared" si="3"/>
        <v>45625.995833333334</v>
      </c>
      <c r="E91" t="str">
        <f t="shared" si="4"/>
        <v>29-11-2024 to 05-12-2024</v>
      </c>
      <c r="F91" t="str">
        <f>IF(COUNTIF('Top5'!I:I, G91) &gt; 0, "Yes", "No")</f>
        <v>No</v>
      </c>
      <c r="G91" t="str">
        <f t="shared" si="5"/>
        <v>29-11-2024 to 05-12-2024</v>
      </c>
    </row>
    <row r="92" spans="1:7">
      <c r="A92" s="1">
        <v>45626</v>
      </c>
      <c r="B92" s="6">
        <v>1.5277777777777777E-2</v>
      </c>
      <c r="C92" s="10" t="s">
        <v>70</v>
      </c>
      <c r="D92" s="7">
        <f t="shared" si="3"/>
        <v>45626.015277777777</v>
      </c>
      <c r="E92" t="str">
        <f t="shared" si="4"/>
        <v>30-11-2024 to 06-12-2024</v>
      </c>
      <c r="F92" t="str">
        <f>IF(COUNTIF('Top5'!I:I, G92) &gt; 0, "Yes", "No")</f>
        <v>No</v>
      </c>
      <c r="G92" t="str">
        <f t="shared" si="5"/>
        <v>30-11-2024 to 06-12-2024</v>
      </c>
    </row>
    <row r="93" spans="1:7">
      <c r="A93" s="1">
        <v>45626</v>
      </c>
      <c r="B93" s="6">
        <v>1.5972222222222221E-2</v>
      </c>
      <c r="C93" s="10" t="s">
        <v>70</v>
      </c>
      <c r="D93" s="7">
        <f t="shared" si="3"/>
        <v>45626.015972222223</v>
      </c>
      <c r="E93" t="str">
        <f t="shared" si="4"/>
        <v>30-11-2024 to 06-12-2024</v>
      </c>
      <c r="F93" t="str">
        <f>IF(COUNTIF('Top5'!I:I, G93) &gt; 0, "Yes", "No")</f>
        <v>No</v>
      </c>
      <c r="G93" t="str">
        <f t="shared" si="5"/>
        <v>30-11-2024 to 06-12-2024</v>
      </c>
    </row>
    <row r="94" spans="1:7">
      <c r="A94" s="1">
        <v>45626</v>
      </c>
      <c r="B94" s="6">
        <v>1.6666666666666666E-2</v>
      </c>
      <c r="C94" s="10" t="s">
        <v>70</v>
      </c>
      <c r="D94" s="7">
        <f t="shared" si="3"/>
        <v>45626.01666666667</v>
      </c>
      <c r="E94" t="str">
        <f t="shared" si="4"/>
        <v>30-11-2024 to 06-12-2024</v>
      </c>
      <c r="F94" t="str">
        <f>IF(COUNTIF('Top5'!I:I, G94) &gt; 0, "Yes", "No")</f>
        <v>No</v>
      </c>
      <c r="G94" t="str">
        <f t="shared" si="5"/>
        <v>30-11-2024 to 06-12-2024</v>
      </c>
    </row>
    <row r="95" spans="1:7">
      <c r="A95" s="1">
        <v>45626</v>
      </c>
      <c r="B95" s="6">
        <v>0.50416666666666665</v>
      </c>
      <c r="C95" s="10" t="s">
        <v>71</v>
      </c>
      <c r="D95" s="7">
        <f t="shared" si="3"/>
        <v>45626.504166666666</v>
      </c>
      <c r="E95" t="str">
        <f t="shared" si="4"/>
        <v>30-11-2024 to 06-12-2024</v>
      </c>
      <c r="F95" t="str">
        <f>IF(COUNTIF('Top5'!I:I, G95) &gt; 0, "Yes", "No")</f>
        <v>No</v>
      </c>
      <c r="G95" t="str">
        <f t="shared" si="5"/>
        <v>30-11-2024 to 06-12-2024</v>
      </c>
    </row>
    <row r="96" spans="1:7">
      <c r="A96" s="1">
        <v>45626</v>
      </c>
      <c r="B96" s="6">
        <v>0.53333333333333333</v>
      </c>
      <c r="C96" s="10" t="s">
        <v>71</v>
      </c>
      <c r="D96" s="7">
        <f t="shared" si="3"/>
        <v>45626.533333333333</v>
      </c>
      <c r="E96" t="str">
        <f t="shared" si="4"/>
        <v>30-11-2024 to 06-12-2024</v>
      </c>
      <c r="F96" t="str">
        <f>IF(COUNTIF('Top5'!I:I, G96) &gt; 0, "Yes", "No")</f>
        <v>No</v>
      </c>
      <c r="G96" t="str">
        <f t="shared" si="5"/>
        <v>30-11-2024 to 06-12-2024</v>
      </c>
    </row>
    <row r="97" spans="1:7">
      <c r="A97" s="1">
        <v>45626</v>
      </c>
      <c r="B97" s="6">
        <v>0.54027777777777775</v>
      </c>
      <c r="C97" s="10" t="s">
        <v>71</v>
      </c>
      <c r="D97" s="7">
        <f t="shared" si="3"/>
        <v>45626.540277777778</v>
      </c>
      <c r="E97" t="str">
        <f t="shared" si="4"/>
        <v>30-11-2024 to 06-12-2024</v>
      </c>
      <c r="F97" t="str">
        <f>IF(COUNTIF('Top5'!I:I, G97) &gt; 0, "Yes", "No")</f>
        <v>No</v>
      </c>
      <c r="G97" t="str">
        <f t="shared" si="5"/>
        <v>30-11-2024 to 06-12-2024</v>
      </c>
    </row>
    <row r="98" spans="1:7">
      <c r="A98" s="1">
        <v>45626</v>
      </c>
      <c r="B98" s="6">
        <v>0.73819444444444449</v>
      </c>
      <c r="C98" s="10" t="s">
        <v>70</v>
      </c>
      <c r="D98" s="7">
        <f t="shared" si="3"/>
        <v>45626.738194444442</v>
      </c>
      <c r="E98" t="str">
        <f t="shared" si="4"/>
        <v>30-11-2024 to 06-12-2024</v>
      </c>
      <c r="F98" t="str">
        <f>IF(COUNTIF('Top5'!I:I, G98) &gt; 0, "Yes", "No")</f>
        <v>No</v>
      </c>
      <c r="G98" t="str">
        <f t="shared" si="5"/>
        <v>30-11-2024 to 06-12-2024</v>
      </c>
    </row>
    <row r="99" spans="1:7">
      <c r="A99" s="1">
        <v>45626</v>
      </c>
      <c r="B99" s="6">
        <v>0.81944444444444442</v>
      </c>
      <c r="C99" s="10" t="s">
        <v>70</v>
      </c>
      <c r="D99" s="7">
        <f t="shared" si="3"/>
        <v>45626.819444444445</v>
      </c>
      <c r="E99" t="str">
        <f t="shared" si="4"/>
        <v>30-11-2024 to 06-12-2024</v>
      </c>
      <c r="F99" t="str">
        <f>IF(COUNTIF('Top5'!I:I, G99) &gt; 0, "Yes", "No")</f>
        <v>No</v>
      </c>
      <c r="G99" t="str">
        <f t="shared" si="5"/>
        <v>30-11-2024 to 06-12-2024</v>
      </c>
    </row>
    <row r="100" spans="1:7">
      <c r="A100" s="1">
        <v>45627</v>
      </c>
      <c r="B100" s="6">
        <v>0.33611111111111114</v>
      </c>
      <c r="C100" s="10" t="s">
        <v>22</v>
      </c>
      <c r="D100" s="7">
        <f t="shared" si="3"/>
        <v>45627.336111111108</v>
      </c>
      <c r="E100" t="str">
        <f t="shared" si="4"/>
        <v>01-12-2024 to 07-12-2024</v>
      </c>
      <c r="F100" t="str">
        <f>IF(COUNTIF('Top5'!I:I, G100) &gt; 0, "Yes", "No")</f>
        <v>No</v>
      </c>
      <c r="G100" t="str">
        <f t="shared" si="5"/>
        <v>01-12-2024 to 07-12-2024</v>
      </c>
    </row>
    <row r="101" spans="1:7">
      <c r="A101" s="1">
        <v>45627</v>
      </c>
      <c r="B101" s="6">
        <v>0.55972222222222223</v>
      </c>
      <c r="C101" s="10" t="s">
        <v>71</v>
      </c>
      <c r="D101" s="7">
        <f t="shared" si="3"/>
        <v>45627.55972222222</v>
      </c>
      <c r="E101" t="str">
        <f t="shared" si="4"/>
        <v>01-12-2024 to 07-12-2024</v>
      </c>
      <c r="F101" t="str">
        <f>IF(COUNTIF('Top5'!I:I, G101) &gt; 0, "Yes", "No")</f>
        <v>No</v>
      </c>
      <c r="G101" t="str">
        <f t="shared" si="5"/>
        <v>01-12-2024 to 07-12-2024</v>
      </c>
    </row>
    <row r="102" spans="1:7">
      <c r="A102" s="1">
        <v>45628</v>
      </c>
      <c r="B102" s="6">
        <v>0.54305555555555551</v>
      </c>
      <c r="C102" s="10" t="s">
        <v>71</v>
      </c>
      <c r="D102" s="7">
        <f t="shared" si="3"/>
        <v>45628.543055555558</v>
      </c>
      <c r="E102" t="str">
        <f t="shared" si="4"/>
        <v>02-12-2024 to 08-12-2024</v>
      </c>
      <c r="F102" t="str">
        <f>IF(COUNTIF('Top5'!I:I, G102) &gt; 0, "Yes", "No")</f>
        <v>No</v>
      </c>
      <c r="G102" t="str">
        <f t="shared" si="5"/>
        <v>02-12-2024 to 08-12-2024</v>
      </c>
    </row>
    <row r="103" spans="1:7">
      <c r="A103" s="1">
        <v>45628</v>
      </c>
      <c r="B103" s="6">
        <v>0.55000000000000004</v>
      </c>
      <c r="C103" s="10" t="s">
        <v>71</v>
      </c>
      <c r="D103" s="7">
        <f t="shared" si="3"/>
        <v>45628.55</v>
      </c>
      <c r="E103" t="str">
        <f t="shared" si="4"/>
        <v>02-12-2024 to 08-12-2024</v>
      </c>
      <c r="F103" t="str">
        <f>IF(COUNTIF('Top5'!I:I, G103) &gt; 0, "Yes", "No")</f>
        <v>No</v>
      </c>
      <c r="G103" t="str">
        <f t="shared" si="5"/>
        <v>02-12-2024 to 08-12-2024</v>
      </c>
    </row>
    <row r="104" spans="1:7">
      <c r="A104" s="1">
        <v>45628</v>
      </c>
      <c r="B104" s="6">
        <v>0.55000000000000004</v>
      </c>
      <c r="C104" s="10" t="s">
        <v>71</v>
      </c>
      <c r="D104" s="7">
        <f t="shared" si="3"/>
        <v>45628.55</v>
      </c>
      <c r="E104" t="str">
        <f t="shared" si="4"/>
        <v>02-12-2024 to 08-12-2024</v>
      </c>
      <c r="F104" t="str">
        <f>IF(COUNTIF('Top5'!I:I, G104) &gt; 0, "Yes", "No")</f>
        <v>No</v>
      </c>
      <c r="G104" t="str">
        <f t="shared" si="5"/>
        <v>02-12-2024 to 08-12-2024</v>
      </c>
    </row>
    <row r="105" spans="1:7">
      <c r="A105" s="1">
        <v>45628</v>
      </c>
      <c r="B105" s="6">
        <v>0.55277777777777781</v>
      </c>
      <c r="C105" s="10" t="s">
        <v>71</v>
      </c>
      <c r="D105" s="7">
        <f t="shared" si="3"/>
        <v>45628.552777777775</v>
      </c>
      <c r="E105" t="str">
        <f t="shared" si="4"/>
        <v>02-12-2024 to 08-12-2024</v>
      </c>
      <c r="F105" t="str">
        <f>IF(COUNTIF('Top5'!I:I, G105) &gt; 0, "Yes", "No")</f>
        <v>No</v>
      </c>
      <c r="G105" t="str">
        <f t="shared" si="5"/>
        <v>02-12-2024 to 08-12-2024</v>
      </c>
    </row>
    <row r="106" spans="1:7">
      <c r="A106" s="1">
        <v>45629</v>
      </c>
      <c r="B106" s="6">
        <v>0.47986111111111113</v>
      </c>
      <c r="C106" s="10" t="s">
        <v>22</v>
      </c>
      <c r="D106" s="7">
        <f t="shared" si="3"/>
        <v>45629.479861111111</v>
      </c>
      <c r="E106" t="str">
        <f t="shared" si="4"/>
        <v>03-12-2024 to 09-12-2024</v>
      </c>
      <c r="F106" t="str">
        <f>IF(COUNTIF('Top5'!I:I, G106) &gt; 0, "Yes", "No")</f>
        <v>No</v>
      </c>
      <c r="G106" t="str">
        <f t="shared" si="5"/>
        <v>03-12-2024 to 09-12-2024</v>
      </c>
    </row>
    <row r="107" spans="1:7">
      <c r="A107" s="1">
        <v>45629</v>
      </c>
      <c r="B107" s="6">
        <v>0.65694444444444444</v>
      </c>
      <c r="C107" s="10" t="s">
        <v>71</v>
      </c>
      <c r="D107" s="7">
        <f t="shared" si="3"/>
        <v>45629.656944444447</v>
      </c>
      <c r="E107" t="str">
        <f t="shared" si="4"/>
        <v>03-12-2024 to 09-12-2024</v>
      </c>
      <c r="F107" t="str">
        <f>IF(COUNTIF('Top5'!I:I, G107) &gt; 0, "Yes", "No")</f>
        <v>No</v>
      </c>
      <c r="G107" t="str">
        <f t="shared" si="5"/>
        <v>03-12-2024 to 09-12-2024</v>
      </c>
    </row>
    <row r="108" spans="1:7">
      <c r="A108" s="1">
        <v>45631</v>
      </c>
      <c r="B108" s="6">
        <v>0.66319444444444442</v>
      </c>
      <c r="C108" s="10" t="s">
        <v>71</v>
      </c>
      <c r="D108" s="7">
        <f t="shared" si="3"/>
        <v>45631.663194444445</v>
      </c>
      <c r="E108" t="str">
        <f t="shared" si="4"/>
        <v>05-12-2024 to 11-12-2024</v>
      </c>
      <c r="F108" t="str">
        <f>IF(COUNTIF('Top5'!I:I, G108) &gt; 0, "Yes", "No")</f>
        <v>No</v>
      </c>
      <c r="G108" t="str">
        <f t="shared" si="5"/>
        <v>05-12-2024 to 11-12-2024</v>
      </c>
    </row>
    <row r="109" spans="1:7">
      <c r="A109" s="1">
        <v>45632</v>
      </c>
      <c r="B109" s="6">
        <v>0.31666666666666665</v>
      </c>
      <c r="C109" s="10" t="s">
        <v>22</v>
      </c>
      <c r="D109" s="7">
        <f t="shared" si="3"/>
        <v>45632.316666666666</v>
      </c>
      <c r="E109" t="str">
        <f t="shared" si="4"/>
        <v>06-12-2024 to 12-12-2024</v>
      </c>
      <c r="F109" t="str">
        <f>IF(COUNTIF('Top5'!I:I, G109) &gt; 0, "Yes", "No")</f>
        <v>No</v>
      </c>
      <c r="G109" t="str">
        <f t="shared" si="5"/>
        <v>06-12-2024 to 12-12-2024</v>
      </c>
    </row>
    <row r="110" spans="1:7">
      <c r="A110" s="1">
        <v>45632</v>
      </c>
      <c r="B110" s="6">
        <v>0.42291666666666666</v>
      </c>
      <c r="C110" s="10" t="s">
        <v>22</v>
      </c>
      <c r="D110" s="7">
        <f t="shared" si="3"/>
        <v>45632.42291666667</v>
      </c>
      <c r="E110" t="str">
        <f t="shared" si="4"/>
        <v>06-12-2024 to 12-12-2024</v>
      </c>
      <c r="F110" t="str">
        <f>IF(COUNTIF('Top5'!I:I, G110) &gt; 0, "Yes", "No")</f>
        <v>No</v>
      </c>
      <c r="G110" t="str">
        <f t="shared" si="5"/>
        <v>06-12-2024 to 12-12-2024</v>
      </c>
    </row>
    <row r="111" spans="1:7">
      <c r="A111" s="1">
        <v>45632</v>
      </c>
      <c r="B111" s="6">
        <v>0.42430555555555555</v>
      </c>
      <c r="C111" s="10" t="s">
        <v>22</v>
      </c>
      <c r="D111" s="7">
        <f t="shared" si="3"/>
        <v>45632.424305555556</v>
      </c>
      <c r="E111" t="str">
        <f t="shared" si="4"/>
        <v>06-12-2024 to 12-12-2024</v>
      </c>
      <c r="F111" t="str">
        <f>IF(COUNTIF('Top5'!I:I, G111) &gt; 0, "Yes", "No")</f>
        <v>No</v>
      </c>
      <c r="G111" t="str">
        <f t="shared" si="5"/>
        <v>06-12-2024 to 12-12-2024</v>
      </c>
    </row>
    <row r="112" spans="1:7">
      <c r="A112" s="1">
        <v>45632</v>
      </c>
      <c r="B112" s="6">
        <v>0.42430555555555555</v>
      </c>
      <c r="C112" s="10" t="s">
        <v>22</v>
      </c>
      <c r="D112" s="7">
        <f t="shared" si="3"/>
        <v>45632.424305555556</v>
      </c>
      <c r="E112" t="str">
        <f t="shared" si="4"/>
        <v>06-12-2024 to 12-12-2024</v>
      </c>
      <c r="F112" t="str">
        <f>IF(COUNTIF('Top5'!I:I, G112) &gt; 0, "Yes", "No")</f>
        <v>No</v>
      </c>
      <c r="G112" t="str">
        <f t="shared" si="5"/>
        <v>06-12-2024 to 12-12-2024</v>
      </c>
    </row>
    <row r="113" spans="1:7">
      <c r="A113" s="1">
        <v>45632</v>
      </c>
      <c r="B113" s="6">
        <v>0.42499999999999999</v>
      </c>
      <c r="C113" s="10" t="s">
        <v>22</v>
      </c>
      <c r="D113" s="7">
        <f t="shared" si="3"/>
        <v>45632.425000000003</v>
      </c>
      <c r="E113" t="str">
        <f t="shared" si="4"/>
        <v>06-12-2024 to 12-12-2024</v>
      </c>
      <c r="F113" t="str">
        <f>IF(COUNTIF('Top5'!I:I, G113) &gt; 0, "Yes", "No")</f>
        <v>No</v>
      </c>
      <c r="G113" t="str">
        <f t="shared" si="5"/>
        <v>06-12-2024 to 12-12-2024</v>
      </c>
    </row>
    <row r="114" spans="1:7">
      <c r="A114" s="1">
        <v>45632</v>
      </c>
      <c r="B114" s="6">
        <v>0.42499999999999999</v>
      </c>
      <c r="C114" s="10" t="s">
        <v>22</v>
      </c>
      <c r="D114" s="7">
        <f t="shared" si="3"/>
        <v>45632.425000000003</v>
      </c>
      <c r="E114" t="str">
        <f t="shared" si="4"/>
        <v>06-12-2024 to 12-12-2024</v>
      </c>
      <c r="F114" t="str">
        <f>IF(COUNTIF('Top5'!I:I, G114) &gt; 0, "Yes", "No")</f>
        <v>No</v>
      </c>
      <c r="G114" t="str">
        <f t="shared" si="5"/>
        <v>06-12-2024 to 12-12-2024</v>
      </c>
    </row>
    <row r="115" spans="1:7">
      <c r="A115" s="1">
        <v>45632</v>
      </c>
      <c r="B115" s="6">
        <v>0.42777777777777776</v>
      </c>
      <c r="C115" s="10" t="s">
        <v>22</v>
      </c>
      <c r="D115" s="7">
        <f t="shared" si="3"/>
        <v>45632.427777777775</v>
      </c>
      <c r="E115" t="str">
        <f t="shared" si="4"/>
        <v>06-12-2024 to 12-12-2024</v>
      </c>
      <c r="F115" t="str">
        <f>IF(COUNTIF('Top5'!I:I, G115) &gt; 0, "Yes", "No")</f>
        <v>No</v>
      </c>
      <c r="G115" t="str">
        <f t="shared" si="5"/>
        <v>06-12-2024 to 12-12-2024</v>
      </c>
    </row>
    <row r="116" spans="1:7">
      <c r="A116" s="1">
        <v>45632</v>
      </c>
      <c r="B116" s="6">
        <v>0.4284722222222222</v>
      </c>
      <c r="C116" s="10" t="s">
        <v>22</v>
      </c>
      <c r="D116" s="7">
        <f t="shared" si="3"/>
        <v>45632.428472222222</v>
      </c>
      <c r="E116" t="str">
        <f t="shared" si="4"/>
        <v>06-12-2024 to 12-12-2024</v>
      </c>
      <c r="F116" t="str">
        <f>IF(COUNTIF('Top5'!I:I, G116) &gt; 0, "Yes", "No")</f>
        <v>No</v>
      </c>
      <c r="G116" t="str">
        <f t="shared" si="5"/>
        <v>06-12-2024 to 12-12-2024</v>
      </c>
    </row>
    <row r="117" spans="1:7">
      <c r="A117" s="1">
        <v>45632</v>
      </c>
      <c r="B117" s="6">
        <v>0.44374999999999998</v>
      </c>
      <c r="C117" s="10" t="s">
        <v>22</v>
      </c>
      <c r="D117" s="7">
        <f t="shared" si="3"/>
        <v>45632.443749999999</v>
      </c>
      <c r="E117" t="str">
        <f t="shared" si="4"/>
        <v>06-12-2024 to 12-12-2024</v>
      </c>
      <c r="F117" t="str">
        <f>IF(COUNTIF('Top5'!I:I, G117) &gt; 0, "Yes", "No")</f>
        <v>No</v>
      </c>
      <c r="G117" t="str">
        <f t="shared" si="5"/>
        <v>06-12-2024 to 12-12-2024</v>
      </c>
    </row>
    <row r="118" spans="1:7">
      <c r="A118" s="1">
        <v>45632</v>
      </c>
      <c r="B118" s="6">
        <v>0.46944444444444444</v>
      </c>
      <c r="C118" s="10" t="s">
        <v>22</v>
      </c>
      <c r="D118" s="7">
        <f t="shared" si="3"/>
        <v>45632.469444444447</v>
      </c>
      <c r="E118" t="str">
        <f t="shared" si="4"/>
        <v>06-12-2024 to 12-12-2024</v>
      </c>
      <c r="F118" t="str">
        <f>IF(COUNTIF('Top5'!I:I, G118) &gt; 0, "Yes", "No")</f>
        <v>No</v>
      </c>
      <c r="G118" t="str">
        <f t="shared" si="5"/>
        <v>06-12-2024 to 12-12-2024</v>
      </c>
    </row>
    <row r="119" spans="1:7">
      <c r="A119" s="1">
        <v>45632</v>
      </c>
      <c r="B119" s="6">
        <v>0.61111111111111116</v>
      </c>
      <c r="C119" s="10" t="s">
        <v>71</v>
      </c>
      <c r="D119" s="7">
        <f t="shared" si="3"/>
        <v>45632.611111111109</v>
      </c>
      <c r="E119" t="str">
        <f t="shared" si="4"/>
        <v>06-12-2024 to 12-12-2024</v>
      </c>
      <c r="F119" t="str">
        <f>IF(COUNTIF('Top5'!I:I, G119) &gt; 0, "Yes", "No")</f>
        <v>No</v>
      </c>
      <c r="G119" t="str">
        <f t="shared" si="5"/>
        <v>06-12-2024 to 12-12-2024</v>
      </c>
    </row>
    <row r="120" spans="1:7">
      <c r="A120" s="1">
        <v>45632</v>
      </c>
      <c r="B120" s="6">
        <v>0.87083333333333335</v>
      </c>
      <c r="C120" s="10" t="s">
        <v>70</v>
      </c>
      <c r="D120" s="7">
        <f t="shared" si="3"/>
        <v>45632.870833333334</v>
      </c>
      <c r="E120" t="str">
        <f t="shared" si="4"/>
        <v>06-12-2024 to 12-12-2024</v>
      </c>
      <c r="F120" t="str">
        <f>IF(COUNTIF('Top5'!I:I, G120) &gt; 0, "Yes", "No")</f>
        <v>No</v>
      </c>
      <c r="G120" t="str">
        <f t="shared" si="5"/>
        <v>06-12-2024 to 12-12-2024</v>
      </c>
    </row>
    <row r="121" spans="1:7">
      <c r="A121" s="1">
        <v>45633</v>
      </c>
      <c r="B121" s="6">
        <v>0.39930555555555558</v>
      </c>
      <c r="C121" s="10" t="s">
        <v>22</v>
      </c>
      <c r="D121" s="7">
        <f t="shared" si="3"/>
        <v>45633.399305555555</v>
      </c>
      <c r="E121" t="str">
        <f t="shared" si="4"/>
        <v>07-12-2024 to 13-12-2024</v>
      </c>
      <c r="F121" t="str">
        <f>IF(COUNTIF('Top5'!I:I, G121) &gt; 0, "Yes", "No")</f>
        <v>No</v>
      </c>
      <c r="G121" t="str">
        <f t="shared" si="5"/>
        <v>07-12-2024 to 13-12-2024</v>
      </c>
    </row>
    <row r="122" spans="1:7">
      <c r="A122" s="1">
        <v>45633</v>
      </c>
      <c r="B122" s="6">
        <v>0.45069444444444445</v>
      </c>
      <c r="C122" s="10" t="s">
        <v>22</v>
      </c>
      <c r="D122" s="7">
        <f t="shared" si="3"/>
        <v>45633.450694444444</v>
      </c>
      <c r="E122" t="str">
        <f t="shared" si="4"/>
        <v>07-12-2024 to 13-12-2024</v>
      </c>
      <c r="F122" t="str">
        <f>IF(COUNTIF('Top5'!I:I, G122) &gt; 0, "Yes", "No")</f>
        <v>No</v>
      </c>
      <c r="G122" t="str">
        <f t="shared" si="5"/>
        <v>07-12-2024 to 13-12-2024</v>
      </c>
    </row>
    <row r="123" spans="1:7">
      <c r="A123" s="1">
        <v>45633</v>
      </c>
      <c r="B123" s="6">
        <v>0.64930555555555558</v>
      </c>
      <c r="C123" s="10" t="s">
        <v>71</v>
      </c>
      <c r="D123" s="7">
        <f t="shared" si="3"/>
        <v>45633.649305555555</v>
      </c>
      <c r="E123" t="str">
        <f t="shared" si="4"/>
        <v>07-12-2024 to 13-12-2024</v>
      </c>
      <c r="F123" t="str">
        <f>IF(COUNTIF('Top5'!I:I, G123) &gt; 0, "Yes", "No")</f>
        <v>No</v>
      </c>
      <c r="G123" t="str">
        <f t="shared" si="5"/>
        <v>07-12-2024 to 13-12-2024</v>
      </c>
    </row>
    <row r="124" spans="1:7">
      <c r="A124" s="1">
        <v>45633</v>
      </c>
      <c r="B124" s="6">
        <v>0.71736111111111112</v>
      </c>
      <c r="C124" s="10" t="s">
        <v>70</v>
      </c>
      <c r="D124" s="7">
        <f t="shared" si="3"/>
        <v>45633.717361111114</v>
      </c>
      <c r="E124" t="str">
        <f t="shared" si="4"/>
        <v>07-12-2024 to 13-12-2024</v>
      </c>
      <c r="F124" t="str">
        <f>IF(COUNTIF('Top5'!I:I, G124) &gt; 0, "Yes", "No")</f>
        <v>No</v>
      </c>
      <c r="G124" t="str">
        <f t="shared" si="5"/>
        <v>07-12-2024 to 13-12-2024</v>
      </c>
    </row>
    <row r="125" spans="1:7">
      <c r="A125" s="1">
        <v>45633</v>
      </c>
      <c r="B125" s="6">
        <v>0.81597222222222221</v>
      </c>
      <c r="C125" s="10" t="s">
        <v>70</v>
      </c>
      <c r="D125" s="7">
        <f t="shared" si="3"/>
        <v>45633.815972222219</v>
      </c>
      <c r="E125" t="str">
        <f t="shared" si="4"/>
        <v>07-12-2024 to 13-12-2024</v>
      </c>
      <c r="F125" t="str">
        <f>IF(COUNTIF('Top5'!I:I, G125) &gt; 0, "Yes", "No")</f>
        <v>No</v>
      </c>
      <c r="G125" t="str">
        <f t="shared" si="5"/>
        <v>07-12-2024 to 13-12-2024</v>
      </c>
    </row>
    <row r="126" spans="1:7">
      <c r="A126" s="1">
        <v>45634</v>
      </c>
      <c r="B126" s="6">
        <v>0.5180555555555556</v>
      </c>
      <c r="C126" s="10" t="s">
        <v>71</v>
      </c>
      <c r="D126" s="7">
        <f t="shared" si="3"/>
        <v>45634.518055555556</v>
      </c>
      <c r="E126" t="str">
        <f t="shared" si="4"/>
        <v>08-12-2024 to 14-12-2024</v>
      </c>
      <c r="F126" t="str">
        <f>IF(COUNTIF('Top5'!I:I, G126) &gt; 0, "Yes", "No")</f>
        <v>No</v>
      </c>
      <c r="G126" t="str">
        <f t="shared" si="5"/>
        <v>08-12-2024 to 14-12-2024</v>
      </c>
    </row>
    <row r="127" spans="1:7">
      <c r="A127" s="1">
        <v>45634</v>
      </c>
      <c r="B127" s="6">
        <v>0.52152777777777781</v>
      </c>
      <c r="C127" s="10" t="s">
        <v>71</v>
      </c>
      <c r="D127" s="7">
        <f t="shared" si="3"/>
        <v>45634.521527777775</v>
      </c>
      <c r="E127" t="str">
        <f t="shared" si="4"/>
        <v>08-12-2024 to 14-12-2024</v>
      </c>
      <c r="F127" t="str">
        <f>IF(COUNTIF('Top5'!I:I, G127) &gt; 0, "Yes", "No")</f>
        <v>No</v>
      </c>
      <c r="G127" t="str">
        <f t="shared" si="5"/>
        <v>08-12-2024 to 14-12-2024</v>
      </c>
    </row>
    <row r="128" spans="1:7">
      <c r="A128" s="1">
        <v>45634</v>
      </c>
      <c r="B128" s="6">
        <v>0.52847222222222223</v>
      </c>
      <c r="C128" s="10" t="s">
        <v>71</v>
      </c>
      <c r="D128" s="7">
        <f t="shared" si="3"/>
        <v>45634.52847222222</v>
      </c>
      <c r="E128" t="str">
        <f t="shared" si="4"/>
        <v>08-12-2024 to 14-12-2024</v>
      </c>
      <c r="F128" t="str">
        <f>IF(COUNTIF('Top5'!I:I, G128) &gt; 0, "Yes", "No")</f>
        <v>No</v>
      </c>
      <c r="G128" t="str">
        <f t="shared" si="5"/>
        <v>08-12-2024 to 14-12-2024</v>
      </c>
    </row>
    <row r="129" spans="1:7">
      <c r="A129" s="1">
        <v>45634</v>
      </c>
      <c r="B129" s="6">
        <v>0.5541666666666667</v>
      </c>
      <c r="C129" s="10" t="s">
        <v>71</v>
      </c>
      <c r="D129" s="7">
        <f t="shared" si="3"/>
        <v>45634.554166666669</v>
      </c>
      <c r="E129" t="str">
        <f t="shared" si="4"/>
        <v>08-12-2024 to 14-12-2024</v>
      </c>
      <c r="F129" t="str">
        <f>IF(COUNTIF('Top5'!I:I, G129) &gt; 0, "Yes", "No")</f>
        <v>No</v>
      </c>
      <c r="G129" t="str">
        <f t="shared" si="5"/>
        <v>08-12-2024 to 14-12-2024</v>
      </c>
    </row>
    <row r="130" spans="1:7">
      <c r="A130" s="1">
        <v>45634</v>
      </c>
      <c r="B130" s="6">
        <v>0.63055555555555554</v>
      </c>
      <c r="C130" s="10" t="s">
        <v>71</v>
      </c>
      <c r="D130" s="7">
        <f t="shared" si="3"/>
        <v>45634.630555555559</v>
      </c>
      <c r="E130" t="str">
        <f t="shared" si="4"/>
        <v>08-12-2024 to 14-12-2024</v>
      </c>
      <c r="F130" t="str">
        <f>IF(COUNTIF('Top5'!I:I, G130) &gt; 0, "Yes", "No")</f>
        <v>No</v>
      </c>
      <c r="G130" t="str">
        <f t="shared" si="5"/>
        <v>08-12-2024 to 14-12-2024</v>
      </c>
    </row>
    <row r="131" spans="1:7">
      <c r="A131" s="1">
        <v>45634</v>
      </c>
      <c r="B131" s="6">
        <v>0.87777777777777777</v>
      </c>
      <c r="C131" s="10" t="s">
        <v>70</v>
      </c>
      <c r="D131" s="7">
        <f t="shared" ref="D131:D194" si="6">VALUE(A131) + VALUE(B131)</f>
        <v>45634.87777777778</v>
      </c>
      <c r="E131" t="str">
        <f t="shared" ref="E131:E194" si="7">TEXT(D131, "dd-mm-yyyy") &amp; " to " &amp; TEXT(D131+6, "dd-mm-yyyy")</f>
        <v>08-12-2024 to 14-12-2024</v>
      </c>
      <c r="F131" t="str">
        <f>IF(COUNTIF('Top5'!I:I, G131) &gt; 0, "Yes", "No")</f>
        <v>No</v>
      </c>
      <c r="G131" t="str">
        <f t="shared" ref="G131:G194" si="8">TRIM(E131)</f>
        <v>08-12-2024 to 14-12-2024</v>
      </c>
    </row>
    <row r="132" spans="1:7">
      <c r="A132" s="1">
        <v>45634</v>
      </c>
      <c r="B132" s="6">
        <v>0.87777777777777777</v>
      </c>
      <c r="C132" s="10" t="s">
        <v>70</v>
      </c>
      <c r="D132" s="7">
        <f t="shared" si="6"/>
        <v>45634.87777777778</v>
      </c>
      <c r="E132" t="str">
        <f t="shared" si="7"/>
        <v>08-12-2024 to 14-12-2024</v>
      </c>
      <c r="F132" t="str">
        <f>IF(COUNTIF('Top5'!I:I, G132) &gt; 0, "Yes", "No")</f>
        <v>No</v>
      </c>
      <c r="G132" t="str">
        <f t="shared" si="8"/>
        <v>08-12-2024 to 14-12-2024</v>
      </c>
    </row>
    <row r="133" spans="1:7">
      <c r="A133" s="1">
        <v>45635</v>
      </c>
      <c r="B133" s="6">
        <v>0.45347222222222222</v>
      </c>
      <c r="C133" s="10" t="s">
        <v>22</v>
      </c>
      <c r="D133" s="7">
        <f t="shared" si="6"/>
        <v>45635.453472222223</v>
      </c>
      <c r="E133" t="str">
        <f t="shared" si="7"/>
        <v>09-12-2024 to 15-12-2024</v>
      </c>
      <c r="F133" t="str">
        <f>IF(COUNTIF('Top5'!I:I, G133) &gt; 0, "Yes", "No")</f>
        <v>No</v>
      </c>
      <c r="G133" t="str">
        <f t="shared" si="8"/>
        <v>09-12-2024 to 15-12-2024</v>
      </c>
    </row>
    <row r="134" spans="1:7">
      <c r="A134" s="1">
        <v>45635</v>
      </c>
      <c r="B134" s="6">
        <v>0.4548611111111111</v>
      </c>
      <c r="C134" s="10" t="s">
        <v>22</v>
      </c>
      <c r="D134" s="7">
        <f t="shared" si="6"/>
        <v>45635.454861111109</v>
      </c>
      <c r="E134" t="str">
        <f t="shared" si="7"/>
        <v>09-12-2024 to 15-12-2024</v>
      </c>
      <c r="F134" t="str">
        <f>IF(COUNTIF('Top5'!I:I, G134) &gt; 0, "Yes", "No")</f>
        <v>No</v>
      </c>
      <c r="G134" t="str">
        <f t="shared" si="8"/>
        <v>09-12-2024 to 15-12-2024</v>
      </c>
    </row>
    <row r="135" spans="1:7">
      <c r="A135" s="1">
        <v>45635</v>
      </c>
      <c r="B135" s="6">
        <v>0.46041666666666664</v>
      </c>
      <c r="C135" s="10" t="s">
        <v>22</v>
      </c>
      <c r="D135" s="7">
        <f t="shared" si="6"/>
        <v>45635.460416666669</v>
      </c>
      <c r="E135" t="str">
        <f t="shared" si="7"/>
        <v>09-12-2024 to 15-12-2024</v>
      </c>
      <c r="F135" t="str">
        <f>IF(COUNTIF('Top5'!I:I, G135) &gt; 0, "Yes", "No")</f>
        <v>No</v>
      </c>
      <c r="G135" t="str">
        <f t="shared" si="8"/>
        <v>09-12-2024 to 15-12-2024</v>
      </c>
    </row>
    <row r="136" spans="1:7">
      <c r="A136" s="1">
        <v>45635</v>
      </c>
      <c r="B136" s="6">
        <v>0.49236111111111114</v>
      </c>
      <c r="C136" s="10" t="s">
        <v>22</v>
      </c>
      <c r="D136" s="7">
        <f t="shared" si="6"/>
        <v>45635.492361111108</v>
      </c>
      <c r="E136" t="str">
        <f t="shared" si="7"/>
        <v>09-12-2024 to 15-12-2024</v>
      </c>
      <c r="F136" t="str">
        <f>IF(COUNTIF('Top5'!I:I, G136) &gt; 0, "Yes", "No")</f>
        <v>No</v>
      </c>
      <c r="G136" t="str">
        <f t="shared" si="8"/>
        <v>09-12-2024 to 15-12-2024</v>
      </c>
    </row>
    <row r="137" spans="1:7">
      <c r="A137" s="1">
        <v>45635</v>
      </c>
      <c r="B137" s="6">
        <v>0.55972222222222223</v>
      </c>
      <c r="C137" s="10" t="s">
        <v>71</v>
      </c>
      <c r="D137" s="7">
        <f t="shared" si="6"/>
        <v>45635.55972222222</v>
      </c>
      <c r="E137" t="str">
        <f t="shared" si="7"/>
        <v>09-12-2024 to 15-12-2024</v>
      </c>
      <c r="F137" t="str">
        <f>IF(COUNTIF('Top5'!I:I, G137) &gt; 0, "Yes", "No")</f>
        <v>No</v>
      </c>
      <c r="G137" t="str">
        <f t="shared" si="8"/>
        <v>09-12-2024 to 15-12-2024</v>
      </c>
    </row>
    <row r="138" spans="1:7">
      <c r="A138" s="1">
        <v>45635</v>
      </c>
      <c r="B138" s="6">
        <v>0.56180555555555556</v>
      </c>
      <c r="C138" s="10" t="s">
        <v>71</v>
      </c>
      <c r="D138" s="7">
        <f t="shared" si="6"/>
        <v>45635.561805555553</v>
      </c>
      <c r="E138" t="str">
        <f t="shared" si="7"/>
        <v>09-12-2024 to 15-12-2024</v>
      </c>
      <c r="F138" t="str">
        <f>IF(COUNTIF('Top5'!I:I, G138) &gt; 0, "Yes", "No")</f>
        <v>No</v>
      </c>
      <c r="G138" t="str">
        <f t="shared" si="8"/>
        <v>09-12-2024 to 15-12-2024</v>
      </c>
    </row>
    <row r="139" spans="1:7">
      <c r="A139" s="1">
        <v>45635</v>
      </c>
      <c r="B139" s="6">
        <v>0.69444444444444442</v>
      </c>
      <c r="C139" s="10" t="s">
        <v>71</v>
      </c>
      <c r="D139" s="7">
        <f t="shared" si="6"/>
        <v>45635.694444444445</v>
      </c>
      <c r="E139" t="str">
        <f t="shared" si="7"/>
        <v>09-12-2024 to 15-12-2024</v>
      </c>
      <c r="F139" t="str">
        <f>IF(COUNTIF('Top5'!I:I, G139) &gt; 0, "Yes", "No")</f>
        <v>No</v>
      </c>
      <c r="G139" t="str">
        <f t="shared" si="8"/>
        <v>09-12-2024 to 15-12-2024</v>
      </c>
    </row>
    <row r="140" spans="1:7">
      <c r="A140" s="1">
        <v>45635</v>
      </c>
      <c r="B140" s="6">
        <v>0.83611111111111114</v>
      </c>
      <c r="C140" s="10" t="s">
        <v>70</v>
      </c>
      <c r="D140" s="7">
        <f t="shared" si="6"/>
        <v>45635.836111111108</v>
      </c>
      <c r="E140" t="str">
        <f t="shared" si="7"/>
        <v>09-12-2024 to 15-12-2024</v>
      </c>
      <c r="F140" t="str">
        <f>IF(COUNTIF('Top5'!I:I, G140) &gt; 0, "Yes", "No")</f>
        <v>No</v>
      </c>
      <c r="G140" t="str">
        <f t="shared" si="8"/>
        <v>09-12-2024 to 15-12-2024</v>
      </c>
    </row>
    <row r="141" spans="1:7">
      <c r="A141" s="1">
        <v>45635</v>
      </c>
      <c r="B141" s="6">
        <v>0.84097222222222223</v>
      </c>
      <c r="C141" s="10" t="s">
        <v>70</v>
      </c>
      <c r="D141" s="7">
        <f t="shared" si="6"/>
        <v>45635.84097222222</v>
      </c>
      <c r="E141" t="str">
        <f t="shared" si="7"/>
        <v>09-12-2024 to 15-12-2024</v>
      </c>
      <c r="F141" t="str">
        <f>IF(COUNTIF('Top5'!I:I, G141) &gt; 0, "Yes", "No")</f>
        <v>No</v>
      </c>
      <c r="G141" t="str">
        <f t="shared" si="8"/>
        <v>09-12-2024 to 15-12-2024</v>
      </c>
    </row>
    <row r="142" spans="1:7">
      <c r="A142" s="1">
        <v>45637</v>
      </c>
      <c r="B142" s="6">
        <v>1.3888888888888889E-3</v>
      </c>
      <c r="C142" s="10" t="s">
        <v>70</v>
      </c>
      <c r="D142" s="7">
        <f t="shared" si="6"/>
        <v>45637.001388888886</v>
      </c>
      <c r="E142" t="str">
        <f t="shared" si="7"/>
        <v>11-12-2024 to 17-12-2024</v>
      </c>
      <c r="F142" t="str">
        <f>IF(COUNTIF('Top5'!I:I, G142) &gt; 0, "Yes", "No")</f>
        <v>No</v>
      </c>
      <c r="G142" t="str">
        <f t="shared" si="8"/>
        <v>11-12-2024 to 17-12-2024</v>
      </c>
    </row>
    <row r="143" spans="1:7">
      <c r="A143" s="1">
        <v>45637</v>
      </c>
      <c r="B143" s="6">
        <v>5.5555555555555558E-3</v>
      </c>
      <c r="C143" s="10" t="s">
        <v>70</v>
      </c>
      <c r="D143" s="7">
        <f t="shared" si="6"/>
        <v>45637.005555555559</v>
      </c>
      <c r="E143" t="str">
        <f t="shared" si="7"/>
        <v>11-12-2024 to 17-12-2024</v>
      </c>
      <c r="F143" t="str">
        <f>IF(COUNTIF('Top5'!I:I, G143) &gt; 0, "Yes", "No")</f>
        <v>No</v>
      </c>
      <c r="G143" t="str">
        <f t="shared" si="8"/>
        <v>11-12-2024 to 17-12-2024</v>
      </c>
    </row>
    <row r="144" spans="1:7">
      <c r="A144" s="1">
        <v>45637</v>
      </c>
      <c r="B144" s="6">
        <v>5.5555555555555558E-3</v>
      </c>
      <c r="C144" s="10" t="s">
        <v>70</v>
      </c>
      <c r="D144" s="7">
        <f t="shared" si="6"/>
        <v>45637.005555555559</v>
      </c>
      <c r="E144" t="str">
        <f t="shared" si="7"/>
        <v>11-12-2024 to 17-12-2024</v>
      </c>
      <c r="F144" t="str">
        <f>IF(COUNTIF('Top5'!I:I, G144) &gt; 0, "Yes", "No")</f>
        <v>No</v>
      </c>
      <c r="G144" t="str">
        <f t="shared" si="8"/>
        <v>11-12-2024 to 17-12-2024</v>
      </c>
    </row>
    <row r="145" spans="1:7">
      <c r="A145" s="1">
        <v>45637</v>
      </c>
      <c r="B145" s="6">
        <v>6.2500000000000003E-3</v>
      </c>
      <c r="C145" s="10" t="s">
        <v>70</v>
      </c>
      <c r="D145" s="7">
        <f t="shared" si="6"/>
        <v>45637.006249999999</v>
      </c>
      <c r="E145" t="str">
        <f t="shared" si="7"/>
        <v>11-12-2024 to 17-12-2024</v>
      </c>
      <c r="F145" t="str">
        <f>IF(COUNTIF('Top5'!I:I, G145) &gt; 0, "Yes", "No")</f>
        <v>No</v>
      </c>
      <c r="G145" t="str">
        <f t="shared" si="8"/>
        <v>11-12-2024 to 17-12-2024</v>
      </c>
    </row>
    <row r="146" spans="1:7">
      <c r="A146" s="1">
        <v>45637</v>
      </c>
      <c r="B146" s="6">
        <v>0.57013888888888886</v>
      </c>
      <c r="C146" s="10" t="s">
        <v>71</v>
      </c>
      <c r="D146" s="7">
        <f t="shared" si="6"/>
        <v>45637.570138888892</v>
      </c>
      <c r="E146" t="str">
        <f t="shared" si="7"/>
        <v>11-12-2024 to 17-12-2024</v>
      </c>
      <c r="F146" t="str">
        <f>IF(COUNTIF('Top5'!I:I, G146) &gt; 0, "Yes", "No")</f>
        <v>No</v>
      </c>
      <c r="G146" t="str">
        <f t="shared" si="8"/>
        <v>11-12-2024 to 17-12-2024</v>
      </c>
    </row>
    <row r="147" spans="1:7">
      <c r="A147" s="1">
        <v>45637</v>
      </c>
      <c r="B147" s="6">
        <v>0.64722222222222225</v>
      </c>
      <c r="C147" s="10" t="s">
        <v>71</v>
      </c>
      <c r="D147" s="7">
        <f t="shared" si="6"/>
        <v>45637.647222222222</v>
      </c>
      <c r="E147" t="str">
        <f t="shared" si="7"/>
        <v>11-12-2024 to 17-12-2024</v>
      </c>
      <c r="F147" t="str">
        <f>IF(COUNTIF('Top5'!I:I, G147) &gt; 0, "Yes", "No")</f>
        <v>No</v>
      </c>
      <c r="G147" t="str">
        <f t="shared" si="8"/>
        <v>11-12-2024 to 17-12-2024</v>
      </c>
    </row>
    <row r="148" spans="1:7">
      <c r="A148" s="1">
        <v>45637</v>
      </c>
      <c r="B148" s="6">
        <v>0.65625</v>
      </c>
      <c r="C148" s="10" t="s">
        <v>71</v>
      </c>
      <c r="D148" s="7">
        <f t="shared" si="6"/>
        <v>45637.65625</v>
      </c>
      <c r="E148" t="str">
        <f t="shared" si="7"/>
        <v>11-12-2024 to 17-12-2024</v>
      </c>
      <c r="F148" t="str">
        <f>IF(COUNTIF('Top5'!I:I, G148) &gt; 0, "Yes", "No")</f>
        <v>No</v>
      </c>
      <c r="G148" t="str">
        <f t="shared" si="8"/>
        <v>11-12-2024 to 17-12-2024</v>
      </c>
    </row>
    <row r="149" spans="1:7">
      <c r="A149" s="1">
        <v>45638</v>
      </c>
      <c r="B149" s="6">
        <v>0.33611111111111114</v>
      </c>
      <c r="C149" s="10" t="s">
        <v>22</v>
      </c>
      <c r="D149" s="7">
        <f t="shared" si="6"/>
        <v>45638.336111111108</v>
      </c>
      <c r="E149" t="str">
        <f t="shared" si="7"/>
        <v>12-12-2024 to 18-12-2024</v>
      </c>
      <c r="F149" t="str">
        <f>IF(COUNTIF('Top5'!I:I, G149) &gt; 0, "Yes", "No")</f>
        <v>No</v>
      </c>
      <c r="G149" t="str">
        <f t="shared" si="8"/>
        <v>12-12-2024 to 18-12-2024</v>
      </c>
    </row>
    <row r="150" spans="1:7">
      <c r="A150" s="1">
        <v>45638</v>
      </c>
      <c r="B150" s="6">
        <v>0.33611111111111114</v>
      </c>
      <c r="C150" s="10" t="s">
        <v>22</v>
      </c>
      <c r="D150" s="7">
        <f t="shared" si="6"/>
        <v>45638.336111111108</v>
      </c>
      <c r="E150" t="str">
        <f t="shared" si="7"/>
        <v>12-12-2024 to 18-12-2024</v>
      </c>
      <c r="F150" t="str">
        <f>IF(COUNTIF('Top5'!I:I, G150) &gt; 0, "Yes", "No")</f>
        <v>No</v>
      </c>
      <c r="G150" t="str">
        <f t="shared" si="8"/>
        <v>12-12-2024 to 18-12-2024</v>
      </c>
    </row>
    <row r="151" spans="1:7">
      <c r="A151" s="1">
        <v>45638</v>
      </c>
      <c r="B151" s="6">
        <v>0.42499999999999999</v>
      </c>
      <c r="C151" s="10" t="s">
        <v>22</v>
      </c>
      <c r="D151" s="7">
        <f t="shared" si="6"/>
        <v>45638.425000000003</v>
      </c>
      <c r="E151" t="str">
        <f t="shared" si="7"/>
        <v>12-12-2024 to 18-12-2024</v>
      </c>
      <c r="F151" t="str">
        <f>IF(COUNTIF('Top5'!I:I, G151) &gt; 0, "Yes", "No")</f>
        <v>No</v>
      </c>
      <c r="G151" t="str">
        <f t="shared" si="8"/>
        <v>12-12-2024 to 18-12-2024</v>
      </c>
    </row>
    <row r="152" spans="1:7">
      <c r="A152" s="1">
        <v>45638</v>
      </c>
      <c r="B152" s="6">
        <v>0.47916666666666669</v>
      </c>
      <c r="C152" s="10" t="s">
        <v>22</v>
      </c>
      <c r="D152" s="7">
        <f t="shared" si="6"/>
        <v>45638.479166666664</v>
      </c>
      <c r="E152" t="str">
        <f t="shared" si="7"/>
        <v>12-12-2024 to 18-12-2024</v>
      </c>
      <c r="F152" t="str">
        <f>IF(COUNTIF('Top5'!I:I, G152) &gt; 0, "Yes", "No")</f>
        <v>No</v>
      </c>
      <c r="G152" t="str">
        <f t="shared" si="8"/>
        <v>12-12-2024 to 18-12-2024</v>
      </c>
    </row>
    <row r="153" spans="1:7">
      <c r="A153" s="1">
        <v>45638</v>
      </c>
      <c r="B153" s="6">
        <v>0.48333333333333334</v>
      </c>
      <c r="C153" s="10" t="s">
        <v>22</v>
      </c>
      <c r="D153" s="7">
        <f t="shared" si="6"/>
        <v>45638.48333333333</v>
      </c>
      <c r="E153" t="str">
        <f t="shared" si="7"/>
        <v>12-12-2024 to 18-12-2024</v>
      </c>
      <c r="F153" t="str">
        <f>IF(COUNTIF('Top5'!I:I, G153) &gt; 0, "Yes", "No")</f>
        <v>No</v>
      </c>
      <c r="G153" t="str">
        <f t="shared" si="8"/>
        <v>12-12-2024 to 18-12-2024</v>
      </c>
    </row>
    <row r="154" spans="1:7">
      <c r="A154" s="1">
        <v>45638</v>
      </c>
      <c r="B154" s="6">
        <v>0.80486111111111114</v>
      </c>
      <c r="C154" s="10" t="s">
        <v>70</v>
      </c>
      <c r="D154" s="7">
        <f t="shared" si="6"/>
        <v>45638.804861111108</v>
      </c>
      <c r="E154" t="str">
        <f t="shared" si="7"/>
        <v>12-12-2024 to 18-12-2024</v>
      </c>
      <c r="F154" t="str">
        <f>IF(COUNTIF('Top5'!I:I, G154) &gt; 0, "Yes", "No")</f>
        <v>No</v>
      </c>
      <c r="G154" t="str">
        <f t="shared" si="8"/>
        <v>12-12-2024 to 18-12-2024</v>
      </c>
    </row>
    <row r="155" spans="1:7">
      <c r="A155" s="1">
        <v>45638</v>
      </c>
      <c r="B155" s="6">
        <v>0.82222222222222219</v>
      </c>
      <c r="C155" s="10" t="s">
        <v>70</v>
      </c>
      <c r="D155" s="7">
        <f t="shared" si="6"/>
        <v>45638.822222222225</v>
      </c>
      <c r="E155" t="str">
        <f t="shared" si="7"/>
        <v>12-12-2024 to 18-12-2024</v>
      </c>
      <c r="F155" t="str">
        <f>IF(COUNTIF('Top5'!I:I, G155) &gt; 0, "Yes", "No")</f>
        <v>No</v>
      </c>
      <c r="G155" t="str">
        <f t="shared" si="8"/>
        <v>12-12-2024 to 18-12-2024</v>
      </c>
    </row>
    <row r="156" spans="1:7">
      <c r="A156" s="1">
        <v>45638</v>
      </c>
      <c r="B156" s="6">
        <v>0.88611111111111107</v>
      </c>
      <c r="C156" s="10" t="s">
        <v>70</v>
      </c>
      <c r="D156" s="7">
        <f t="shared" si="6"/>
        <v>45638.886111111111</v>
      </c>
      <c r="E156" t="str">
        <f t="shared" si="7"/>
        <v>12-12-2024 to 18-12-2024</v>
      </c>
      <c r="F156" t="str">
        <f>IF(COUNTIF('Top5'!I:I, G156) &gt; 0, "Yes", "No")</f>
        <v>No</v>
      </c>
      <c r="G156" t="str">
        <f t="shared" si="8"/>
        <v>12-12-2024 to 18-12-2024</v>
      </c>
    </row>
    <row r="157" spans="1:7">
      <c r="A157" s="1">
        <v>45639</v>
      </c>
      <c r="B157" s="6">
        <v>0.43125000000000002</v>
      </c>
      <c r="C157" s="10" t="s">
        <v>22</v>
      </c>
      <c r="D157" s="7">
        <f t="shared" si="6"/>
        <v>45639.431250000001</v>
      </c>
      <c r="E157" t="str">
        <f t="shared" si="7"/>
        <v>13-12-2024 to 19-12-2024</v>
      </c>
      <c r="F157" t="str">
        <f>IF(COUNTIF('Top5'!I:I, G157) &gt; 0, "Yes", "No")</f>
        <v>No</v>
      </c>
      <c r="G157" t="str">
        <f t="shared" si="8"/>
        <v>13-12-2024 to 19-12-2024</v>
      </c>
    </row>
    <row r="158" spans="1:7">
      <c r="A158" s="1">
        <v>45640</v>
      </c>
      <c r="B158" s="6">
        <v>0.40486111111111112</v>
      </c>
      <c r="C158" s="10" t="s">
        <v>22</v>
      </c>
      <c r="D158" s="7">
        <f t="shared" si="6"/>
        <v>45640.404861111114</v>
      </c>
      <c r="E158" t="str">
        <f t="shared" si="7"/>
        <v>14-12-2024 to 20-12-2024</v>
      </c>
      <c r="F158" t="str">
        <f>IF(COUNTIF('Top5'!I:I, G158) &gt; 0, "Yes", "No")</f>
        <v>No</v>
      </c>
      <c r="G158" t="str">
        <f t="shared" si="8"/>
        <v>14-12-2024 to 20-12-2024</v>
      </c>
    </row>
    <row r="159" spans="1:7">
      <c r="A159" s="1">
        <v>45640</v>
      </c>
      <c r="B159" s="6">
        <v>0.42569444444444443</v>
      </c>
      <c r="C159" s="10" t="s">
        <v>22</v>
      </c>
      <c r="D159" s="7">
        <f t="shared" si="6"/>
        <v>45640.425694444442</v>
      </c>
      <c r="E159" t="str">
        <f t="shared" si="7"/>
        <v>14-12-2024 to 20-12-2024</v>
      </c>
      <c r="F159" t="str">
        <f>IF(COUNTIF('Top5'!I:I, G159) &gt; 0, "Yes", "No")</f>
        <v>No</v>
      </c>
      <c r="G159" t="str">
        <f t="shared" si="8"/>
        <v>14-12-2024 to 20-12-2024</v>
      </c>
    </row>
    <row r="160" spans="1:7">
      <c r="A160" s="1">
        <v>45640</v>
      </c>
      <c r="B160" s="6">
        <v>0.42708333333333331</v>
      </c>
      <c r="C160" s="10" t="s">
        <v>22</v>
      </c>
      <c r="D160" s="7">
        <f t="shared" si="6"/>
        <v>45640.427083333336</v>
      </c>
      <c r="E160" t="str">
        <f t="shared" si="7"/>
        <v>14-12-2024 to 20-12-2024</v>
      </c>
      <c r="F160" t="str">
        <f>IF(COUNTIF('Top5'!I:I, G160) &gt; 0, "Yes", "No")</f>
        <v>No</v>
      </c>
      <c r="G160" t="str">
        <f t="shared" si="8"/>
        <v>14-12-2024 to 20-12-2024</v>
      </c>
    </row>
    <row r="161" spans="1:7">
      <c r="A161" s="1">
        <v>45640</v>
      </c>
      <c r="B161" s="6">
        <v>0.45</v>
      </c>
      <c r="C161" s="10" t="s">
        <v>22</v>
      </c>
      <c r="D161" s="7">
        <f t="shared" si="6"/>
        <v>45640.45</v>
      </c>
      <c r="E161" t="str">
        <f t="shared" si="7"/>
        <v>14-12-2024 to 20-12-2024</v>
      </c>
      <c r="F161" t="str">
        <f>IF(COUNTIF('Top5'!I:I, G161) &gt; 0, "Yes", "No")</f>
        <v>No</v>
      </c>
      <c r="G161" t="str">
        <f t="shared" si="8"/>
        <v>14-12-2024 to 20-12-2024</v>
      </c>
    </row>
    <row r="162" spans="1:7">
      <c r="A162" s="1">
        <v>45640</v>
      </c>
      <c r="B162" s="6">
        <v>0.71388888888888891</v>
      </c>
      <c r="C162" s="10" t="s">
        <v>70</v>
      </c>
      <c r="D162" s="7">
        <f t="shared" si="6"/>
        <v>45640.713888888888</v>
      </c>
      <c r="E162" t="str">
        <f t="shared" si="7"/>
        <v>14-12-2024 to 20-12-2024</v>
      </c>
      <c r="F162" t="str">
        <f>IF(COUNTIF('Top5'!I:I, G162) &gt; 0, "Yes", "No")</f>
        <v>No</v>
      </c>
      <c r="G162" t="str">
        <f t="shared" si="8"/>
        <v>14-12-2024 to 20-12-2024</v>
      </c>
    </row>
    <row r="163" spans="1:7">
      <c r="A163" s="1">
        <v>45641</v>
      </c>
      <c r="B163" s="6">
        <v>0.4548611111111111</v>
      </c>
      <c r="C163" s="10" t="s">
        <v>22</v>
      </c>
      <c r="D163" s="7">
        <f t="shared" si="6"/>
        <v>45641.454861111109</v>
      </c>
      <c r="E163" t="str">
        <f t="shared" si="7"/>
        <v>15-12-2024 to 21-12-2024</v>
      </c>
      <c r="F163" t="str">
        <f>IF(COUNTIF('Top5'!I:I, G163) &gt; 0, "Yes", "No")</f>
        <v>No</v>
      </c>
      <c r="G163" t="str">
        <f t="shared" si="8"/>
        <v>15-12-2024 to 21-12-2024</v>
      </c>
    </row>
    <row r="164" spans="1:7">
      <c r="A164" s="1">
        <v>45642</v>
      </c>
      <c r="B164" s="6">
        <v>1.1111111111111112E-2</v>
      </c>
      <c r="C164" s="10" t="s">
        <v>70</v>
      </c>
      <c r="D164" s="7">
        <f t="shared" si="6"/>
        <v>45642.011111111111</v>
      </c>
      <c r="E164" t="str">
        <f t="shared" si="7"/>
        <v>16-12-2024 to 22-12-2024</v>
      </c>
      <c r="F164" t="str">
        <f>IF(COUNTIF('Top5'!I:I, G164) &gt; 0, "Yes", "No")</f>
        <v>No</v>
      </c>
      <c r="G164" t="str">
        <f t="shared" si="8"/>
        <v>16-12-2024 to 22-12-2024</v>
      </c>
    </row>
    <row r="165" spans="1:7">
      <c r="A165" s="1">
        <v>45642</v>
      </c>
      <c r="B165" s="6">
        <v>1.1805555555555555E-2</v>
      </c>
      <c r="C165" s="10" t="s">
        <v>70</v>
      </c>
      <c r="D165" s="7">
        <f t="shared" si="6"/>
        <v>45642.011805555558</v>
      </c>
      <c r="E165" t="str">
        <f t="shared" si="7"/>
        <v>16-12-2024 to 22-12-2024</v>
      </c>
      <c r="F165" t="str">
        <f>IF(COUNTIF('Top5'!I:I, G165) &gt; 0, "Yes", "No")</f>
        <v>No</v>
      </c>
      <c r="G165" t="str">
        <f t="shared" si="8"/>
        <v>16-12-2024 to 22-12-2024</v>
      </c>
    </row>
    <row r="166" spans="1:7">
      <c r="A166" s="1">
        <v>45642</v>
      </c>
      <c r="B166" s="6">
        <v>1.1805555555555555E-2</v>
      </c>
      <c r="C166" s="10" t="s">
        <v>70</v>
      </c>
      <c r="D166" s="7">
        <f t="shared" si="6"/>
        <v>45642.011805555558</v>
      </c>
      <c r="E166" t="str">
        <f t="shared" si="7"/>
        <v>16-12-2024 to 22-12-2024</v>
      </c>
      <c r="F166" t="str">
        <f>IF(COUNTIF('Top5'!I:I, G166) &gt; 0, "Yes", "No")</f>
        <v>No</v>
      </c>
      <c r="G166" t="str">
        <f t="shared" si="8"/>
        <v>16-12-2024 to 22-12-2024</v>
      </c>
    </row>
    <row r="167" spans="1:7">
      <c r="A167" s="1">
        <v>45642</v>
      </c>
      <c r="B167" s="6">
        <v>1.1805555555555555E-2</v>
      </c>
      <c r="C167" s="10" t="s">
        <v>70</v>
      </c>
      <c r="D167" s="7">
        <f t="shared" si="6"/>
        <v>45642.011805555558</v>
      </c>
      <c r="E167" t="str">
        <f t="shared" si="7"/>
        <v>16-12-2024 to 22-12-2024</v>
      </c>
      <c r="F167" t="str">
        <f>IF(COUNTIF('Top5'!I:I, G167) &gt; 0, "Yes", "No")</f>
        <v>No</v>
      </c>
      <c r="G167" t="str">
        <f t="shared" si="8"/>
        <v>16-12-2024 to 22-12-2024</v>
      </c>
    </row>
    <row r="168" spans="1:7">
      <c r="A168" s="1">
        <v>45642</v>
      </c>
      <c r="B168" s="6">
        <v>1.1805555555555555E-2</v>
      </c>
      <c r="C168" s="10" t="s">
        <v>70</v>
      </c>
      <c r="D168" s="7">
        <f t="shared" si="6"/>
        <v>45642.011805555558</v>
      </c>
      <c r="E168" t="str">
        <f t="shared" si="7"/>
        <v>16-12-2024 to 22-12-2024</v>
      </c>
      <c r="F168" t="str">
        <f>IF(COUNTIF('Top5'!I:I, G168) &gt; 0, "Yes", "No")</f>
        <v>No</v>
      </c>
      <c r="G168" t="str">
        <f t="shared" si="8"/>
        <v>16-12-2024 to 22-12-2024</v>
      </c>
    </row>
    <row r="169" spans="1:7">
      <c r="A169" s="1">
        <v>45642</v>
      </c>
      <c r="B169" s="6">
        <v>1.1805555555555555E-2</v>
      </c>
      <c r="C169" s="10" t="s">
        <v>70</v>
      </c>
      <c r="D169" s="7">
        <f t="shared" si="6"/>
        <v>45642.011805555558</v>
      </c>
      <c r="E169" t="str">
        <f t="shared" si="7"/>
        <v>16-12-2024 to 22-12-2024</v>
      </c>
      <c r="F169" t="str">
        <f>IF(COUNTIF('Top5'!I:I, G169) &gt; 0, "Yes", "No")</f>
        <v>No</v>
      </c>
      <c r="G169" t="str">
        <f t="shared" si="8"/>
        <v>16-12-2024 to 22-12-2024</v>
      </c>
    </row>
    <row r="170" spans="1:7">
      <c r="A170" s="1">
        <v>45642</v>
      </c>
      <c r="B170" s="6">
        <v>0.53472222222222221</v>
      </c>
      <c r="C170" s="10" t="s">
        <v>71</v>
      </c>
      <c r="D170" s="7">
        <f t="shared" si="6"/>
        <v>45642.534722222219</v>
      </c>
      <c r="E170" t="str">
        <f t="shared" si="7"/>
        <v>16-12-2024 to 22-12-2024</v>
      </c>
      <c r="F170" t="str">
        <f>IF(COUNTIF('Top5'!I:I, G170) &gt; 0, "Yes", "No")</f>
        <v>No</v>
      </c>
      <c r="G170" t="str">
        <f t="shared" si="8"/>
        <v>16-12-2024 to 22-12-2024</v>
      </c>
    </row>
    <row r="171" spans="1:7">
      <c r="A171" s="1">
        <v>45642</v>
      </c>
      <c r="B171" s="6">
        <v>0.66874999999999996</v>
      </c>
      <c r="C171" s="10" t="s">
        <v>71</v>
      </c>
      <c r="D171" s="7">
        <f t="shared" si="6"/>
        <v>45642.668749999997</v>
      </c>
      <c r="E171" t="str">
        <f t="shared" si="7"/>
        <v>16-12-2024 to 22-12-2024</v>
      </c>
      <c r="F171" t="str">
        <f>IF(COUNTIF('Top5'!I:I, G171) &gt; 0, "Yes", "No")</f>
        <v>No</v>
      </c>
      <c r="G171" t="str">
        <f t="shared" si="8"/>
        <v>16-12-2024 to 22-12-2024</v>
      </c>
    </row>
    <row r="172" spans="1:7">
      <c r="A172" s="1">
        <v>45642</v>
      </c>
      <c r="B172" s="6">
        <v>0.70138888888888884</v>
      </c>
      <c r="C172" s="10" t="s">
        <v>71</v>
      </c>
      <c r="D172" s="7">
        <f t="shared" si="6"/>
        <v>45642.701388888891</v>
      </c>
      <c r="E172" t="str">
        <f t="shared" si="7"/>
        <v>16-12-2024 to 22-12-2024</v>
      </c>
      <c r="F172" t="str">
        <f>IF(COUNTIF('Top5'!I:I, G172) &gt; 0, "Yes", "No")</f>
        <v>No</v>
      </c>
      <c r="G172" t="str">
        <f t="shared" si="8"/>
        <v>16-12-2024 to 22-12-2024</v>
      </c>
    </row>
    <row r="173" spans="1:7">
      <c r="A173" s="1">
        <v>45642</v>
      </c>
      <c r="B173" s="6">
        <v>0.71388888888888891</v>
      </c>
      <c r="C173" s="10" t="s">
        <v>70</v>
      </c>
      <c r="D173" s="7">
        <f t="shared" si="6"/>
        <v>45642.713888888888</v>
      </c>
      <c r="E173" t="str">
        <f t="shared" si="7"/>
        <v>16-12-2024 to 22-12-2024</v>
      </c>
      <c r="F173" t="str">
        <f>IF(COUNTIF('Top5'!I:I, G173) &gt; 0, "Yes", "No")</f>
        <v>No</v>
      </c>
      <c r="G173" t="str">
        <f t="shared" si="8"/>
        <v>16-12-2024 to 22-12-2024</v>
      </c>
    </row>
    <row r="174" spans="1:7">
      <c r="A174" s="1">
        <v>45642</v>
      </c>
      <c r="B174" s="6">
        <v>0.82152777777777775</v>
      </c>
      <c r="C174" s="10" t="s">
        <v>70</v>
      </c>
      <c r="D174" s="7">
        <f t="shared" si="6"/>
        <v>45642.821527777778</v>
      </c>
      <c r="E174" t="str">
        <f t="shared" si="7"/>
        <v>16-12-2024 to 22-12-2024</v>
      </c>
      <c r="F174" t="str">
        <f>IF(COUNTIF('Top5'!I:I, G174) &gt; 0, "Yes", "No")</f>
        <v>No</v>
      </c>
      <c r="G174" t="str">
        <f t="shared" si="8"/>
        <v>16-12-2024 to 22-12-2024</v>
      </c>
    </row>
    <row r="175" spans="1:7">
      <c r="A175" s="1">
        <v>45642</v>
      </c>
      <c r="B175" s="6">
        <v>0.84236111111111112</v>
      </c>
      <c r="C175" s="10" t="s">
        <v>70</v>
      </c>
      <c r="D175" s="7">
        <f t="shared" si="6"/>
        <v>45642.842361111114</v>
      </c>
      <c r="E175" t="str">
        <f t="shared" si="7"/>
        <v>16-12-2024 to 22-12-2024</v>
      </c>
      <c r="F175" t="str">
        <f>IF(COUNTIF('Top5'!I:I, G175) &gt; 0, "Yes", "No")</f>
        <v>No</v>
      </c>
      <c r="G175" t="str">
        <f t="shared" si="8"/>
        <v>16-12-2024 to 22-12-2024</v>
      </c>
    </row>
    <row r="176" spans="1:7">
      <c r="A176" s="1">
        <v>45642</v>
      </c>
      <c r="B176" s="6">
        <v>0.9819444444444444</v>
      </c>
      <c r="C176" s="10" t="s">
        <v>70</v>
      </c>
      <c r="D176" s="7">
        <f t="shared" si="6"/>
        <v>45642.981944444444</v>
      </c>
      <c r="E176" t="str">
        <f t="shared" si="7"/>
        <v>16-12-2024 to 22-12-2024</v>
      </c>
      <c r="F176" t="str">
        <f>IF(COUNTIF('Top5'!I:I, G176) &gt; 0, "Yes", "No")</f>
        <v>No</v>
      </c>
      <c r="G176" t="str">
        <f t="shared" si="8"/>
        <v>16-12-2024 to 22-12-2024</v>
      </c>
    </row>
    <row r="177" spans="1:7">
      <c r="A177" s="1">
        <v>45643</v>
      </c>
      <c r="B177" s="6">
        <v>0.625</v>
      </c>
      <c r="C177" s="10" t="s">
        <v>71</v>
      </c>
      <c r="D177" s="7">
        <f t="shared" si="6"/>
        <v>45643.625</v>
      </c>
      <c r="E177" t="str">
        <f t="shared" si="7"/>
        <v>17-12-2024 to 23-12-2024</v>
      </c>
      <c r="F177" t="str">
        <f>IF(COUNTIF('Top5'!I:I, G177) &gt; 0, "Yes", "No")</f>
        <v>No</v>
      </c>
      <c r="G177" t="str">
        <f t="shared" si="8"/>
        <v>17-12-2024 to 23-12-2024</v>
      </c>
    </row>
    <row r="178" spans="1:7">
      <c r="A178" s="1">
        <v>45644</v>
      </c>
      <c r="B178" s="6">
        <v>4.1666666666666666E-3</v>
      </c>
      <c r="C178" s="10" t="s">
        <v>70</v>
      </c>
      <c r="D178" s="7">
        <f t="shared" si="6"/>
        <v>45644.004166666666</v>
      </c>
      <c r="E178" t="str">
        <f t="shared" si="7"/>
        <v>18-12-2024 to 24-12-2024</v>
      </c>
      <c r="F178" t="str">
        <f>IF(COUNTIF('Top5'!I:I, G178) &gt; 0, "Yes", "No")</f>
        <v>No</v>
      </c>
      <c r="G178" t="str">
        <f t="shared" si="8"/>
        <v>18-12-2024 to 24-12-2024</v>
      </c>
    </row>
    <row r="179" spans="1:7">
      <c r="A179" s="1">
        <v>45644</v>
      </c>
      <c r="B179" s="6">
        <v>4.1666666666666666E-3</v>
      </c>
      <c r="C179" s="10" t="s">
        <v>70</v>
      </c>
      <c r="D179" s="7">
        <f t="shared" si="6"/>
        <v>45644.004166666666</v>
      </c>
      <c r="E179" t="str">
        <f t="shared" si="7"/>
        <v>18-12-2024 to 24-12-2024</v>
      </c>
      <c r="F179" t="str">
        <f>IF(COUNTIF('Top5'!I:I, G179) &gt; 0, "Yes", "No")</f>
        <v>No</v>
      </c>
      <c r="G179" t="str">
        <f t="shared" si="8"/>
        <v>18-12-2024 to 24-12-2024</v>
      </c>
    </row>
    <row r="180" spans="1:7">
      <c r="A180" s="1">
        <v>45644</v>
      </c>
      <c r="B180" s="6">
        <v>0.50624999999999998</v>
      </c>
      <c r="C180" s="10" t="s">
        <v>71</v>
      </c>
      <c r="D180" s="7">
        <f t="shared" si="6"/>
        <v>45644.506249999999</v>
      </c>
      <c r="E180" t="str">
        <f t="shared" si="7"/>
        <v>18-12-2024 to 24-12-2024</v>
      </c>
      <c r="F180" t="str">
        <f>IF(COUNTIF('Top5'!I:I, G180) &gt; 0, "Yes", "No")</f>
        <v>No</v>
      </c>
      <c r="G180" t="str">
        <f t="shared" si="8"/>
        <v>18-12-2024 to 24-12-2024</v>
      </c>
    </row>
    <row r="181" spans="1:7">
      <c r="A181" s="1">
        <v>45644</v>
      </c>
      <c r="B181" s="6">
        <v>0.90208333333333335</v>
      </c>
      <c r="C181" s="10" t="s">
        <v>70</v>
      </c>
      <c r="D181" s="7">
        <f t="shared" si="6"/>
        <v>45644.902083333334</v>
      </c>
      <c r="E181" t="str">
        <f t="shared" si="7"/>
        <v>18-12-2024 to 24-12-2024</v>
      </c>
      <c r="F181" t="str">
        <f>IF(COUNTIF('Top5'!I:I, G181) &gt; 0, "Yes", "No")</f>
        <v>No</v>
      </c>
      <c r="G181" t="str">
        <f t="shared" si="8"/>
        <v>18-12-2024 to 24-12-2024</v>
      </c>
    </row>
    <row r="182" spans="1:7">
      <c r="A182" s="1">
        <v>45645</v>
      </c>
      <c r="B182" s="6">
        <v>0.65347222222222223</v>
      </c>
      <c r="C182" s="10" t="s">
        <v>71</v>
      </c>
      <c r="D182" s="7">
        <f t="shared" si="6"/>
        <v>45645.65347222222</v>
      </c>
      <c r="E182" t="str">
        <f t="shared" si="7"/>
        <v>19-12-2024 to 25-12-2024</v>
      </c>
      <c r="F182" t="str">
        <f>IF(COUNTIF('Top5'!I:I, G182) &gt; 0, "Yes", "No")</f>
        <v>No</v>
      </c>
      <c r="G182" t="str">
        <f t="shared" si="8"/>
        <v>19-12-2024 to 25-12-2024</v>
      </c>
    </row>
    <row r="183" spans="1:7">
      <c r="A183" s="1">
        <v>45645</v>
      </c>
      <c r="B183" s="6">
        <v>0.66180555555555554</v>
      </c>
      <c r="C183" s="10" t="s">
        <v>71</v>
      </c>
      <c r="D183" s="7">
        <f t="shared" si="6"/>
        <v>45645.661805555559</v>
      </c>
      <c r="E183" t="str">
        <f t="shared" si="7"/>
        <v>19-12-2024 to 25-12-2024</v>
      </c>
      <c r="F183" t="str">
        <f>IF(COUNTIF('Top5'!I:I, G183) &gt; 0, "Yes", "No")</f>
        <v>No</v>
      </c>
      <c r="G183" t="str">
        <f t="shared" si="8"/>
        <v>19-12-2024 to 25-12-2024</v>
      </c>
    </row>
    <row r="184" spans="1:7">
      <c r="A184" s="1">
        <v>45645</v>
      </c>
      <c r="B184" s="6">
        <v>0.88124999999999998</v>
      </c>
      <c r="C184" s="10" t="s">
        <v>70</v>
      </c>
      <c r="D184" s="7">
        <f t="shared" si="6"/>
        <v>45645.881249999999</v>
      </c>
      <c r="E184" t="str">
        <f t="shared" si="7"/>
        <v>19-12-2024 to 25-12-2024</v>
      </c>
      <c r="F184" t="str">
        <f>IF(COUNTIF('Top5'!I:I, G184) &gt; 0, "Yes", "No")</f>
        <v>No</v>
      </c>
      <c r="G184" t="str">
        <f t="shared" si="8"/>
        <v>19-12-2024 to 25-12-2024</v>
      </c>
    </row>
    <row r="185" spans="1:7">
      <c r="A185" s="1">
        <v>45646</v>
      </c>
      <c r="B185" s="6">
        <v>0.44305555555555554</v>
      </c>
      <c r="C185" s="10" t="s">
        <v>22</v>
      </c>
      <c r="D185" s="7">
        <f t="shared" si="6"/>
        <v>45646.443055555559</v>
      </c>
      <c r="E185" t="str">
        <f t="shared" si="7"/>
        <v>20-12-2024 to 26-12-2024</v>
      </c>
      <c r="F185" t="str">
        <f>IF(COUNTIF('Top5'!I:I, G185) &gt; 0, "Yes", "No")</f>
        <v>No</v>
      </c>
      <c r="G185" t="str">
        <f t="shared" si="8"/>
        <v>20-12-2024 to 26-12-2024</v>
      </c>
    </row>
    <row r="186" spans="1:7">
      <c r="A186" s="1">
        <v>45647</v>
      </c>
      <c r="B186" s="6">
        <v>0.51597222222222228</v>
      </c>
      <c r="C186" s="10" t="s">
        <v>71</v>
      </c>
      <c r="D186" s="7">
        <f t="shared" si="6"/>
        <v>45647.515972222223</v>
      </c>
      <c r="E186" t="str">
        <f t="shared" si="7"/>
        <v>21-12-2024 to 27-12-2024</v>
      </c>
      <c r="F186" t="str">
        <f>IF(COUNTIF('Top5'!I:I, G186) &gt; 0, "Yes", "No")</f>
        <v>No</v>
      </c>
      <c r="G186" t="str">
        <f t="shared" si="8"/>
        <v>21-12-2024 to 27-12-2024</v>
      </c>
    </row>
    <row r="187" spans="1:7">
      <c r="A187" s="1">
        <v>45647</v>
      </c>
      <c r="B187" s="6">
        <v>0.51597222222222228</v>
      </c>
      <c r="C187" s="10" t="s">
        <v>71</v>
      </c>
      <c r="D187" s="7">
        <f t="shared" si="6"/>
        <v>45647.515972222223</v>
      </c>
      <c r="E187" t="str">
        <f t="shared" si="7"/>
        <v>21-12-2024 to 27-12-2024</v>
      </c>
      <c r="F187" t="str">
        <f>IF(COUNTIF('Top5'!I:I, G187) &gt; 0, "Yes", "No")</f>
        <v>No</v>
      </c>
      <c r="G187" t="str">
        <f t="shared" si="8"/>
        <v>21-12-2024 to 27-12-2024</v>
      </c>
    </row>
    <row r="188" spans="1:7">
      <c r="A188" s="1">
        <v>45648</v>
      </c>
      <c r="B188" s="6">
        <v>1.3888888888888889E-3</v>
      </c>
      <c r="C188" s="10" t="s">
        <v>70</v>
      </c>
      <c r="D188" s="7">
        <f t="shared" si="6"/>
        <v>45648.001388888886</v>
      </c>
      <c r="E188" t="str">
        <f t="shared" si="7"/>
        <v>22-12-2024 to 28-12-2024</v>
      </c>
      <c r="F188" t="str">
        <f>IF(COUNTIF('Top5'!I:I, G188) &gt; 0, "Yes", "No")</f>
        <v>No</v>
      </c>
      <c r="G188" t="str">
        <f t="shared" si="8"/>
        <v>22-12-2024 to 28-12-2024</v>
      </c>
    </row>
    <row r="189" spans="1:7">
      <c r="A189" s="1">
        <v>45648</v>
      </c>
      <c r="B189" s="6">
        <v>1.3888888888888889E-3</v>
      </c>
      <c r="C189" s="10" t="s">
        <v>70</v>
      </c>
      <c r="D189" s="7">
        <f t="shared" si="6"/>
        <v>45648.001388888886</v>
      </c>
      <c r="E189" t="str">
        <f t="shared" si="7"/>
        <v>22-12-2024 to 28-12-2024</v>
      </c>
      <c r="F189" t="str">
        <f>IF(COUNTIF('Top5'!I:I, G189) &gt; 0, "Yes", "No")</f>
        <v>No</v>
      </c>
      <c r="G189" t="str">
        <f t="shared" si="8"/>
        <v>22-12-2024 to 28-12-2024</v>
      </c>
    </row>
    <row r="190" spans="1:7">
      <c r="A190" s="1">
        <v>45648</v>
      </c>
      <c r="B190" s="6">
        <v>0.46250000000000002</v>
      </c>
      <c r="C190" s="10" t="s">
        <v>22</v>
      </c>
      <c r="D190" s="7">
        <f t="shared" si="6"/>
        <v>45648.462500000001</v>
      </c>
      <c r="E190" t="str">
        <f t="shared" si="7"/>
        <v>22-12-2024 to 28-12-2024</v>
      </c>
      <c r="F190" t="str">
        <f>IF(COUNTIF('Top5'!I:I, G190) &gt; 0, "Yes", "No")</f>
        <v>No</v>
      </c>
      <c r="G190" t="str">
        <f t="shared" si="8"/>
        <v>22-12-2024 to 28-12-2024</v>
      </c>
    </row>
    <row r="191" spans="1:7">
      <c r="A191" s="1">
        <v>45648</v>
      </c>
      <c r="B191" s="6">
        <v>0.71319444444444446</v>
      </c>
      <c r="C191" s="10" t="s">
        <v>70</v>
      </c>
      <c r="D191" s="7">
        <f t="shared" si="6"/>
        <v>45648.713194444441</v>
      </c>
      <c r="E191" t="str">
        <f t="shared" si="7"/>
        <v>22-12-2024 to 28-12-2024</v>
      </c>
      <c r="F191" t="str">
        <f>IF(COUNTIF('Top5'!I:I, G191) &gt; 0, "Yes", "No")</f>
        <v>No</v>
      </c>
      <c r="G191" t="str">
        <f t="shared" si="8"/>
        <v>22-12-2024 to 28-12-2024</v>
      </c>
    </row>
    <row r="192" spans="1:7">
      <c r="A192" s="1">
        <v>45650</v>
      </c>
      <c r="B192" s="6">
        <v>0.68125000000000002</v>
      </c>
      <c r="C192" s="10" t="s">
        <v>71</v>
      </c>
      <c r="D192" s="7">
        <f t="shared" si="6"/>
        <v>45650.681250000001</v>
      </c>
      <c r="E192" t="str">
        <f t="shared" si="7"/>
        <v>24-12-2024 to 30-12-2024</v>
      </c>
      <c r="F192" t="str">
        <f>IF(COUNTIF('Top5'!I:I, G192) &gt; 0, "Yes", "No")</f>
        <v>No</v>
      </c>
      <c r="G192" t="str">
        <f t="shared" si="8"/>
        <v>24-12-2024 to 30-12-2024</v>
      </c>
    </row>
    <row r="193" spans="1:7">
      <c r="A193" s="1">
        <v>45650</v>
      </c>
      <c r="B193" s="6">
        <v>0.80694444444444446</v>
      </c>
      <c r="C193" s="10" t="s">
        <v>70</v>
      </c>
      <c r="D193" s="7">
        <f t="shared" si="6"/>
        <v>45650.806944444441</v>
      </c>
      <c r="E193" t="str">
        <f t="shared" si="7"/>
        <v>24-12-2024 to 30-12-2024</v>
      </c>
      <c r="F193" t="str">
        <f>IF(COUNTIF('Top5'!I:I, G193) &gt; 0, "Yes", "No")</f>
        <v>No</v>
      </c>
      <c r="G193" t="str">
        <f t="shared" si="8"/>
        <v>24-12-2024 to 30-12-2024</v>
      </c>
    </row>
    <row r="194" spans="1:7">
      <c r="A194" s="1">
        <v>45651</v>
      </c>
      <c r="B194" s="6">
        <v>0.98958333333333337</v>
      </c>
      <c r="C194" s="10" t="s">
        <v>70</v>
      </c>
      <c r="D194" s="7">
        <f t="shared" si="6"/>
        <v>45651.989583333336</v>
      </c>
      <c r="E194" t="str">
        <f t="shared" si="7"/>
        <v>25-12-2024 to 31-12-2024</v>
      </c>
      <c r="F194" t="str">
        <f>IF(COUNTIF('Top5'!I:I, G194) &gt; 0, "Yes", "No")</f>
        <v>No</v>
      </c>
      <c r="G194" t="str">
        <f t="shared" si="8"/>
        <v>25-12-2024 to 31-12-2024</v>
      </c>
    </row>
    <row r="195" spans="1:7">
      <c r="A195" s="1">
        <v>45652</v>
      </c>
      <c r="B195" s="6">
        <v>0.47361111111111109</v>
      </c>
      <c r="C195" s="10" t="s">
        <v>22</v>
      </c>
      <c r="D195" s="7">
        <f t="shared" ref="D195:D258" si="9">VALUE(A195) + VALUE(B195)</f>
        <v>45652.473611111112</v>
      </c>
      <c r="E195" t="str">
        <f t="shared" ref="E195:E258" si="10">TEXT(D195, "dd-mm-yyyy") &amp; " to " &amp; TEXT(D195+6, "dd-mm-yyyy")</f>
        <v>26-12-2024 to 01-01-2025</v>
      </c>
      <c r="F195" t="str">
        <f>IF(COUNTIF('Top5'!I:I, G195) &gt; 0, "Yes", "No")</f>
        <v>No</v>
      </c>
      <c r="G195" t="str">
        <f t="shared" ref="G195:G258" si="11">TRIM(E195)</f>
        <v>26-12-2024 to 01-01-2025</v>
      </c>
    </row>
    <row r="196" spans="1:7">
      <c r="A196" s="1">
        <v>45652</v>
      </c>
      <c r="B196" s="6">
        <v>0.56458333333333333</v>
      </c>
      <c r="C196" s="10" t="s">
        <v>71</v>
      </c>
      <c r="D196" s="7">
        <f t="shared" si="9"/>
        <v>45652.564583333333</v>
      </c>
      <c r="E196" t="str">
        <f t="shared" si="10"/>
        <v>26-12-2024 to 01-01-2025</v>
      </c>
      <c r="F196" t="str">
        <f>IF(COUNTIF('Top5'!I:I, G196) &gt; 0, "Yes", "No")</f>
        <v>No</v>
      </c>
      <c r="G196" t="str">
        <f t="shared" si="11"/>
        <v>26-12-2024 to 01-01-2025</v>
      </c>
    </row>
    <row r="197" spans="1:7">
      <c r="A197" s="1">
        <v>45652</v>
      </c>
      <c r="B197" s="6">
        <v>0.59652777777777777</v>
      </c>
      <c r="C197" s="10" t="s">
        <v>71</v>
      </c>
      <c r="D197" s="7">
        <f t="shared" si="9"/>
        <v>45652.59652777778</v>
      </c>
      <c r="E197" t="str">
        <f t="shared" si="10"/>
        <v>26-12-2024 to 01-01-2025</v>
      </c>
      <c r="F197" t="str">
        <f>IF(COUNTIF('Top5'!I:I, G197) &gt; 0, "Yes", "No")</f>
        <v>No</v>
      </c>
      <c r="G197" t="str">
        <f t="shared" si="11"/>
        <v>26-12-2024 to 01-01-2025</v>
      </c>
    </row>
    <row r="198" spans="1:7">
      <c r="A198" s="1">
        <v>45652</v>
      </c>
      <c r="B198" s="6">
        <v>0.7729166666666667</v>
      </c>
      <c r="C198" s="10" t="s">
        <v>70</v>
      </c>
      <c r="D198" s="7">
        <f t="shared" si="9"/>
        <v>45652.772916666669</v>
      </c>
      <c r="E198" t="str">
        <f t="shared" si="10"/>
        <v>26-12-2024 to 01-01-2025</v>
      </c>
      <c r="F198" t="str">
        <f>IF(COUNTIF('Top5'!I:I, G198) &gt; 0, "Yes", "No")</f>
        <v>No</v>
      </c>
      <c r="G198" t="str">
        <f t="shared" si="11"/>
        <v>26-12-2024 to 01-01-2025</v>
      </c>
    </row>
    <row r="199" spans="1:7">
      <c r="A199" s="1">
        <v>45653</v>
      </c>
      <c r="B199" s="6">
        <v>0.4548611111111111</v>
      </c>
      <c r="C199" s="10" t="s">
        <v>22</v>
      </c>
      <c r="D199" s="7">
        <f t="shared" si="9"/>
        <v>45653.454861111109</v>
      </c>
      <c r="E199" t="str">
        <f t="shared" si="10"/>
        <v>27-12-2024 to 02-01-2025</v>
      </c>
      <c r="F199" t="str">
        <f>IF(COUNTIF('Top5'!I:I, G199) &gt; 0, "Yes", "No")</f>
        <v>No</v>
      </c>
      <c r="G199" t="str">
        <f t="shared" si="11"/>
        <v>27-12-2024 to 02-01-2025</v>
      </c>
    </row>
    <row r="200" spans="1:7">
      <c r="A200" s="1">
        <v>45653</v>
      </c>
      <c r="B200" s="6">
        <v>0.58819444444444446</v>
      </c>
      <c r="C200" s="10" t="s">
        <v>71</v>
      </c>
      <c r="D200" s="7">
        <f t="shared" si="9"/>
        <v>45653.588194444441</v>
      </c>
      <c r="E200" t="str">
        <f t="shared" si="10"/>
        <v>27-12-2024 to 02-01-2025</v>
      </c>
      <c r="F200" t="str">
        <f>IF(COUNTIF('Top5'!I:I, G200) &gt; 0, "Yes", "No")</f>
        <v>No</v>
      </c>
      <c r="G200" t="str">
        <f t="shared" si="11"/>
        <v>27-12-2024 to 02-01-2025</v>
      </c>
    </row>
    <row r="201" spans="1:7">
      <c r="A201" s="1">
        <v>45653</v>
      </c>
      <c r="B201" s="6">
        <v>0.58819444444444446</v>
      </c>
      <c r="C201" s="10" t="s">
        <v>71</v>
      </c>
      <c r="D201" s="7">
        <f t="shared" si="9"/>
        <v>45653.588194444441</v>
      </c>
      <c r="E201" t="str">
        <f t="shared" si="10"/>
        <v>27-12-2024 to 02-01-2025</v>
      </c>
      <c r="F201" t="str">
        <f>IF(COUNTIF('Top5'!I:I, G201) &gt; 0, "Yes", "No")</f>
        <v>No</v>
      </c>
      <c r="G201" t="str">
        <f t="shared" si="11"/>
        <v>27-12-2024 to 02-01-2025</v>
      </c>
    </row>
    <row r="202" spans="1:7">
      <c r="A202" s="1">
        <v>45653</v>
      </c>
      <c r="B202" s="6">
        <v>0.67847222222222225</v>
      </c>
      <c r="C202" s="10" t="s">
        <v>71</v>
      </c>
      <c r="D202" s="7">
        <f t="shared" si="9"/>
        <v>45653.678472222222</v>
      </c>
      <c r="E202" t="str">
        <f t="shared" si="10"/>
        <v>27-12-2024 to 02-01-2025</v>
      </c>
      <c r="F202" t="str">
        <f>IF(COUNTIF('Top5'!I:I, G202) &gt; 0, "Yes", "No")</f>
        <v>No</v>
      </c>
      <c r="G202" t="str">
        <f t="shared" si="11"/>
        <v>27-12-2024 to 02-01-2025</v>
      </c>
    </row>
    <row r="203" spans="1:7">
      <c r="A203" s="1">
        <v>45653</v>
      </c>
      <c r="B203" s="6">
        <v>0.7368055555555556</v>
      </c>
      <c r="C203" s="10" t="s">
        <v>70</v>
      </c>
      <c r="D203" s="7">
        <f t="shared" si="9"/>
        <v>45653.736805555556</v>
      </c>
      <c r="E203" t="str">
        <f t="shared" si="10"/>
        <v>27-12-2024 to 02-01-2025</v>
      </c>
      <c r="F203" t="str">
        <f>IF(COUNTIF('Top5'!I:I, G203) &gt; 0, "Yes", "No")</f>
        <v>No</v>
      </c>
      <c r="G203" t="str">
        <f t="shared" si="11"/>
        <v>27-12-2024 to 02-01-2025</v>
      </c>
    </row>
    <row r="204" spans="1:7">
      <c r="A204" s="1">
        <v>45653</v>
      </c>
      <c r="B204" s="6">
        <v>0.73750000000000004</v>
      </c>
      <c r="C204" s="10" t="s">
        <v>70</v>
      </c>
      <c r="D204" s="7">
        <f t="shared" si="9"/>
        <v>45653.737500000003</v>
      </c>
      <c r="E204" t="str">
        <f t="shared" si="10"/>
        <v>27-12-2024 to 02-01-2025</v>
      </c>
      <c r="F204" t="str">
        <f>IF(COUNTIF('Top5'!I:I, G204) &gt; 0, "Yes", "No")</f>
        <v>No</v>
      </c>
      <c r="G204" t="str">
        <f t="shared" si="11"/>
        <v>27-12-2024 to 02-01-2025</v>
      </c>
    </row>
    <row r="205" spans="1:7">
      <c r="A205" s="1">
        <v>45653</v>
      </c>
      <c r="B205" s="6">
        <v>0.89444444444444449</v>
      </c>
      <c r="C205" s="10" t="s">
        <v>70</v>
      </c>
      <c r="D205" s="7">
        <f t="shared" si="9"/>
        <v>45653.894444444442</v>
      </c>
      <c r="E205" t="str">
        <f t="shared" si="10"/>
        <v>27-12-2024 to 02-01-2025</v>
      </c>
      <c r="F205" t="str">
        <f>IF(COUNTIF('Top5'!I:I, G205) &gt; 0, "Yes", "No")</f>
        <v>No</v>
      </c>
      <c r="G205" t="str">
        <f t="shared" si="11"/>
        <v>27-12-2024 to 02-01-2025</v>
      </c>
    </row>
    <row r="206" spans="1:7">
      <c r="A206" s="1">
        <v>45654</v>
      </c>
      <c r="B206" s="6">
        <v>0.48402777777777778</v>
      </c>
      <c r="C206" s="10" t="s">
        <v>22</v>
      </c>
      <c r="D206" s="7">
        <f t="shared" si="9"/>
        <v>45654.484027777777</v>
      </c>
      <c r="E206" t="str">
        <f t="shared" si="10"/>
        <v>28-12-2024 to 03-01-2025</v>
      </c>
      <c r="F206" t="str">
        <f>IF(COUNTIF('Top5'!I:I, G206) &gt; 0, "Yes", "No")</f>
        <v>No</v>
      </c>
      <c r="G206" t="str">
        <f t="shared" si="11"/>
        <v>28-12-2024 to 03-01-2025</v>
      </c>
    </row>
    <row r="207" spans="1:7">
      <c r="A207" s="1">
        <v>45655</v>
      </c>
      <c r="B207" s="6">
        <v>1.3888888888888888E-2</v>
      </c>
      <c r="C207" s="10" t="s">
        <v>70</v>
      </c>
      <c r="D207" s="7">
        <f t="shared" si="9"/>
        <v>45655.013888888891</v>
      </c>
      <c r="E207" t="str">
        <f t="shared" si="10"/>
        <v>29-12-2024 to 04-01-2025</v>
      </c>
      <c r="F207" t="str">
        <f>IF(COUNTIF('Top5'!I:I, G207) &gt; 0, "Yes", "No")</f>
        <v>No</v>
      </c>
      <c r="G207" t="str">
        <f t="shared" si="11"/>
        <v>29-12-2024 to 04-01-2025</v>
      </c>
    </row>
    <row r="208" spans="1:7">
      <c r="A208" s="1">
        <v>45655</v>
      </c>
      <c r="B208" s="6">
        <v>0.98750000000000004</v>
      </c>
      <c r="C208" s="10" t="s">
        <v>70</v>
      </c>
      <c r="D208" s="7">
        <f t="shared" si="9"/>
        <v>45655.987500000003</v>
      </c>
      <c r="E208" t="str">
        <f t="shared" si="10"/>
        <v>29-12-2024 to 04-01-2025</v>
      </c>
      <c r="F208" t="str">
        <f>IF(COUNTIF('Top5'!I:I, G208) &gt; 0, "Yes", "No")</f>
        <v>No</v>
      </c>
      <c r="G208" t="str">
        <f t="shared" si="11"/>
        <v>29-12-2024 to 04-01-2025</v>
      </c>
    </row>
    <row r="209" spans="1:7">
      <c r="A209" s="1">
        <v>45656</v>
      </c>
      <c r="B209" s="6">
        <v>0.41875000000000001</v>
      </c>
      <c r="C209" s="10" t="s">
        <v>22</v>
      </c>
      <c r="D209" s="7">
        <f t="shared" si="9"/>
        <v>45656.418749999997</v>
      </c>
      <c r="E209" t="str">
        <f t="shared" si="10"/>
        <v>30-12-2024 to 05-01-2025</v>
      </c>
      <c r="F209" t="str">
        <f>IF(COUNTIF('Top5'!I:I, G209) &gt; 0, "Yes", "No")</f>
        <v>No</v>
      </c>
      <c r="G209" t="str">
        <f t="shared" si="11"/>
        <v>30-12-2024 to 05-01-2025</v>
      </c>
    </row>
    <row r="210" spans="1:7">
      <c r="A210" s="1">
        <v>45656</v>
      </c>
      <c r="B210" s="6">
        <v>0.51527777777777772</v>
      </c>
      <c r="C210" s="10" t="s">
        <v>71</v>
      </c>
      <c r="D210" s="7">
        <f t="shared" si="9"/>
        <v>45656.515277777777</v>
      </c>
      <c r="E210" t="str">
        <f t="shared" si="10"/>
        <v>30-12-2024 to 05-01-2025</v>
      </c>
      <c r="F210" t="str">
        <f>IF(COUNTIF('Top5'!I:I, G210) &gt; 0, "Yes", "No")</f>
        <v>No</v>
      </c>
      <c r="G210" t="str">
        <f t="shared" si="11"/>
        <v>30-12-2024 to 05-01-2025</v>
      </c>
    </row>
    <row r="211" spans="1:7">
      <c r="A211" s="1">
        <v>45656</v>
      </c>
      <c r="B211" s="6">
        <v>0.51666666666666672</v>
      </c>
      <c r="C211" s="10" t="s">
        <v>71</v>
      </c>
      <c r="D211" s="7">
        <f t="shared" si="9"/>
        <v>45656.51666666667</v>
      </c>
      <c r="E211" t="str">
        <f t="shared" si="10"/>
        <v>30-12-2024 to 05-01-2025</v>
      </c>
      <c r="F211" t="str">
        <f>IF(COUNTIF('Top5'!I:I, G211) &gt; 0, "Yes", "No")</f>
        <v>No</v>
      </c>
      <c r="G211" t="str">
        <f t="shared" si="11"/>
        <v>30-12-2024 to 05-01-2025</v>
      </c>
    </row>
    <row r="212" spans="1:7">
      <c r="A212" s="1">
        <v>45656</v>
      </c>
      <c r="B212" s="6">
        <v>0.82638888888888884</v>
      </c>
      <c r="C212" s="10" t="s">
        <v>70</v>
      </c>
      <c r="D212" s="7">
        <f t="shared" si="9"/>
        <v>45656.826388888891</v>
      </c>
      <c r="E212" t="str">
        <f t="shared" si="10"/>
        <v>30-12-2024 to 05-01-2025</v>
      </c>
      <c r="F212" t="str">
        <f>IF(COUNTIF('Top5'!I:I, G212) &gt; 0, "Yes", "No")</f>
        <v>No</v>
      </c>
      <c r="G212" t="str">
        <f t="shared" si="11"/>
        <v>30-12-2024 to 05-01-2025</v>
      </c>
    </row>
    <row r="213" spans="1:7">
      <c r="A213" s="1">
        <v>45656</v>
      </c>
      <c r="B213" s="6">
        <v>0.86805555555555558</v>
      </c>
      <c r="C213" s="10" t="s">
        <v>70</v>
      </c>
      <c r="D213" s="7">
        <f t="shared" si="9"/>
        <v>45656.868055555555</v>
      </c>
      <c r="E213" t="str">
        <f t="shared" si="10"/>
        <v>30-12-2024 to 05-01-2025</v>
      </c>
      <c r="F213" t="str">
        <f>IF(COUNTIF('Top5'!I:I, G213) &gt; 0, "Yes", "No")</f>
        <v>No</v>
      </c>
      <c r="G213" t="str">
        <f t="shared" si="11"/>
        <v>30-12-2024 to 05-01-2025</v>
      </c>
    </row>
    <row r="214" spans="1:7">
      <c r="A214" s="1">
        <v>45658</v>
      </c>
      <c r="B214" s="6">
        <v>0.5</v>
      </c>
      <c r="C214" s="10" t="s">
        <v>71</v>
      </c>
      <c r="D214" s="7">
        <f t="shared" si="9"/>
        <v>45658.5</v>
      </c>
      <c r="E214" t="str">
        <f t="shared" si="10"/>
        <v>01-01-2025 to 07-01-2025</v>
      </c>
      <c r="F214" t="str">
        <f>IF(COUNTIF('Top5'!I:I, G214) &gt; 0, "Yes", "No")</f>
        <v>No</v>
      </c>
      <c r="G214" t="str">
        <f t="shared" si="11"/>
        <v>01-01-2025 to 07-01-2025</v>
      </c>
    </row>
    <row r="215" spans="1:7">
      <c r="A215" s="1">
        <v>45658</v>
      </c>
      <c r="B215" s="6">
        <v>0.50902777777777775</v>
      </c>
      <c r="C215" s="10" t="s">
        <v>71</v>
      </c>
      <c r="D215" s="7">
        <f t="shared" si="9"/>
        <v>45658.509027777778</v>
      </c>
      <c r="E215" t="str">
        <f t="shared" si="10"/>
        <v>01-01-2025 to 07-01-2025</v>
      </c>
      <c r="F215" t="str">
        <f>IF(COUNTIF('Top5'!I:I, G215) &gt; 0, "Yes", "No")</f>
        <v>No</v>
      </c>
      <c r="G215" t="str">
        <f t="shared" si="11"/>
        <v>01-01-2025 to 07-01-2025</v>
      </c>
    </row>
    <row r="216" spans="1:7">
      <c r="A216" s="1">
        <v>45661</v>
      </c>
      <c r="B216" s="6">
        <v>0.99375000000000002</v>
      </c>
      <c r="C216" s="10" t="s">
        <v>70</v>
      </c>
      <c r="D216" s="7">
        <f t="shared" si="9"/>
        <v>45661.993750000001</v>
      </c>
      <c r="E216" t="str">
        <f t="shared" si="10"/>
        <v>04-01-2025 to 10-01-2025</v>
      </c>
      <c r="F216" t="str">
        <f>IF(COUNTIF('Top5'!I:I, G216) &gt; 0, "Yes", "No")</f>
        <v>No</v>
      </c>
      <c r="G216" t="str">
        <f t="shared" si="11"/>
        <v>04-01-2025 to 10-01-2025</v>
      </c>
    </row>
    <row r="217" spans="1:7">
      <c r="A217" s="1">
        <v>45661</v>
      </c>
      <c r="B217" s="6">
        <v>0.99375000000000002</v>
      </c>
      <c r="C217" s="10" t="s">
        <v>70</v>
      </c>
      <c r="D217" s="7">
        <f t="shared" si="9"/>
        <v>45661.993750000001</v>
      </c>
      <c r="E217" t="str">
        <f t="shared" si="10"/>
        <v>04-01-2025 to 10-01-2025</v>
      </c>
      <c r="F217" t="str">
        <f>IF(COUNTIF('Top5'!I:I, G217) &gt; 0, "Yes", "No")</f>
        <v>No</v>
      </c>
      <c r="G217" t="str">
        <f t="shared" si="11"/>
        <v>04-01-2025 to 10-01-2025</v>
      </c>
    </row>
    <row r="218" spans="1:7">
      <c r="A218" s="1">
        <v>45662</v>
      </c>
      <c r="B218" s="6">
        <v>1.4583333333333334E-2</v>
      </c>
      <c r="C218" s="10" t="s">
        <v>70</v>
      </c>
      <c r="D218" s="7">
        <f t="shared" si="9"/>
        <v>45662.01458333333</v>
      </c>
      <c r="E218" t="str">
        <f t="shared" si="10"/>
        <v>05-01-2025 to 11-01-2025</v>
      </c>
      <c r="F218" t="str">
        <f>IF(COUNTIF('Top5'!I:I, G218) &gt; 0, "Yes", "No")</f>
        <v>No</v>
      </c>
      <c r="G218" t="str">
        <f t="shared" si="11"/>
        <v>05-01-2025 to 11-01-2025</v>
      </c>
    </row>
    <row r="219" spans="1:7">
      <c r="A219" s="1">
        <v>45662</v>
      </c>
      <c r="B219" s="6">
        <v>1.4583333333333334E-2</v>
      </c>
      <c r="C219" s="10" t="s">
        <v>70</v>
      </c>
      <c r="D219" s="7">
        <f t="shared" si="9"/>
        <v>45662.01458333333</v>
      </c>
      <c r="E219" t="str">
        <f t="shared" si="10"/>
        <v>05-01-2025 to 11-01-2025</v>
      </c>
      <c r="F219" t="str">
        <f>IF(COUNTIF('Top5'!I:I, G219) &gt; 0, "Yes", "No")</f>
        <v>No</v>
      </c>
      <c r="G219" t="str">
        <f t="shared" si="11"/>
        <v>05-01-2025 to 11-01-2025</v>
      </c>
    </row>
    <row r="220" spans="1:7">
      <c r="A220" s="1">
        <v>45662</v>
      </c>
      <c r="B220" s="6">
        <v>1.4583333333333334E-2</v>
      </c>
      <c r="C220" s="10" t="s">
        <v>70</v>
      </c>
      <c r="D220" s="7">
        <f t="shared" si="9"/>
        <v>45662.01458333333</v>
      </c>
      <c r="E220" t="str">
        <f t="shared" si="10"/>
        <v>05-01-2025 to 11-01-2025</v>
      </c>
      <c r="F220" t="str">
        <f>IF(COUNTIF('Top5'!I:I, G220) &gt; 0, "Yes", "No")</f>
        <v>No</v>
      </c>
      <c r="G220" t="str">
        <f t="shared" si="11"/>
        <v>05-01-2025 to 11-01-2025</v>
      </c>
    </row>
    <row r="221" spans="1:7">
      <c r="A221" s="1">
        <v>45662</v>
      </c>
      <c r="B221" s="6">
        <v>1.4583333333333334E-2</v>
      </c>
      <c r="C221" s="10" t="s">
        <v>70</v>
      </c>
      <c r="D221" s="7">
        <f t="shared" si="9"/>
        <v>45662.01458333333</v>
      </c>
      <c r="E221" t="str">
        <f t="shared" si="10"/>
        <v>05-01-2025 to 11-01-2025</v>
      </c>
      <c r="F221" t="str">
        <f>IF(COUNTIF('Top5'!I:I, G221) &gt; 0, "Yes", "No")</f>
        <v>No</v>
      </c>
      <c r="G221" t="str">
        <f t="shared" si="11"/>
        <v>05-01-2025 to 11-01-2025</v>
      </c>
    </row>
    <row r="222" spans="1:7">
      <c r="A222" s="1">
        <v>45662</v>
      </c>
      <c r="B222" s="6">
        <v>1.4583333333333334E-2</v>
      </c>
      <c r="C222" s="10" t="s">
        <v>70</v>
      </c>
      <c r="D222" s="7">
        <f t="shared" si="9"/>
        <v>45662.01458333333</v>
      </c>
      <c r="E222" t="str">
        <f t="shared" si="10"/>
        <v>05-01-2025 to 11-01-2025</v>
      </c>
      <c r="F222" t="str">
        <f>IF(COUNTIF('Top5'!I:I, G222) &gt; 0, "Yes", "No")</f>
        <v>No</v>
      </c>
      <c r="G222" t="str">
        <f t="shared" si="11"/>
        <v>05-01-2025 to 11-01-2025</v>
      </c>
    </row>
    <row r="223" spans="1:7">
      <c r="A223" s="1">
        <v>45662</v>
      </c>
      <c r="B223" s="6">
        <v>1.4583333333333334E-2</v>
      </c>
      <c r="C223" s="10" t="s">
        <v>70</v>
      </c>
      <c r="D223" s="7">
        <f t="shared" si="9"/>
        <v>45662.01458333333</v>
      </c>
      <c r="E223" t="str">
        <f t="shared" si="10"/>
        <v>05-01-2025 to 11-01-2025</v>
      </c>
      <c r="F223" t="str">
        <f>IF(COUNTIF('Top5'!I:I, G223) &gt; 0, "Yes", "No")</f>
        <v>No</v>
      </c>
      <c r="G223" t="str">
        <f t="shared" si="11"/>
        <v>05-01-2025 to 11-01-2025</v>
      </c>
    </row>
    <row r="224" spans="1:7">
      <c r="A224" s="1">
        <v>45662</v>
      </c>
      <c r="B224" s="6">
        <v>1.4583333333333334E-2</v>
      </c>
      <c r="C224" s="10" t="s">
        <v>70</v>
      </c>
      <c r="D224" s="7">
        <f t="shared" si="9"/>
        <v>45662.01458333333</v>
      </c>
      <c r="E224" t="str">
        <f t="shared" si="10"/>
        <v>05-01-2025 to 11-01-2025</v>
      </c>
      <c r="F224" t="str">
        <f>IF(COUNTIF('Top5'!I:I, G224) &gt; 0, "Yes", "No")</f>
        <v>No</v>
      </c>
      <c r="G224" t="str">
        <f t="shared" si="11"/>
        <v>05-01-2025 to 11-01-2025</v>
      </c>
    </row>
    <row r="225" spans="1:7">
      <c r="A225" s="1">
        <v>45662</v>
      </c>
      <c r="B225" s="6">
        <v>1.4583333333333334E-2</v>
      </c>
      <c r="C225" s="10" t="s">
        <v>70</v>
      </c>
      <c r="D225" s="7">
        <f t="shared" si="9"/>
        <v>45662.01458333333</v>
      </c>
      <c r="E225" t="str">
        <f t="shared" si="10"/>
        <v>05-01-2025 to 11-01-2025</v>
      </c>
      <c r="F225" t="str">
        <f>IF(COUNTIF('Top5'!I:I, G225) &gt; 0, "Yes", "No")</f>
        <v>No</v>
      </c>
      <c r="G225" t="str">
        <f t="shared" si="11"/>
        <v>05-01-2025 to 11-01-2025</v>
      </c>
    </row>
    <row r="226" spans="1:7">
      <c r="A226" s="1">
        <v>45662</v>
      </c>
      <c r="B226" s="6">
        <v>1.4583333333333334E-2</v>
      </c>
      <c r="C226" s="10" t="s">
        <v>70</v>
      </c>
      <c r="D226" s="7">
        <f t="shared" si="9"/>
        <v>45662.01458333333</v>
      </c>
      <c r="E226" t="str">
        <f t="shared" si="10"/>
        <v>05-01-2025 to 11-01-2025</v>
      </c>
      <c r="F226" t="str">
        <f>IF(COUNTIF('Top5'!I:I, G226) &gt; 0, "Yes", "No")</f>
        <v>No</v>
      </c>
      <c r="G226" t="str">
        <f t="shared" si="11"/>
        <v>05-01-2025 to 11-01-2025</v>
      </c>
    </row>
    <row r="227" spans="1:7">
      <c r="A227" s="1">
        <v>45662</v>
      </c>
      <c r="B227" s="6">
        <v>0.7</v>
      </c>
      <c r="C227" s="10" t="s">
        <v>71</v>
      </c>
      <c r="D227" s="7">
        <f t="shared" si="9"/>
        <v>45662.7</v>
      </c>
      <c r="E227" t="str">
        <f t="shared" si="10"/>
        <v>05-01-2025 to 11-01-2025</v>
      </c>
      <c r="F227" t="str">
        <f>IF(COUNTIF('Top5'!I:I, G227) &gt; 0, "Yes", "No")</f>
        <v>No</v>
      </c>
      <c r="G227" t="str">
        <f t="shared" si="11"/>
        <v>05-01-2025 to 11-01-2025</v>
      </c>
    </row>
    <row r="228" spans="1:7">
      <c r="A228" s="1">
        <v>45663</v>
      </c>
      <c r="B228" s="6">
        <v>2.0833333333333333E-3</v>
      </c>
      <c r="C228" s="10" t="s">
        <v>70</v>
      </c>
      <c r="D228" s="7">
        <f t="shared" si="9"/>
        <v>45663.002083333333</v>
      </c>
      <c r="E228" t="str">
        <f t="shared" si="10"/>
        <v>06-01-2025 to 12-01-2025</v>
      </c>
      <c r="F228" t="str">
        <f>IF(COUNTIF('Top5'!I:I, G228) &gt; 0, "Yes", "No")</f>
        <v>No</v>
      </c>
      <c r="G228" t="str">
        <f t="shared" si="11"/>
        <v>06-01-2025 to 12-01-2025</v>
      </c>
    </row>
    <row r="229" spans="1:7">
      <c r="A229" s="1">
        <v>45663</v>
      </c>
      <c r="B229" s="6">
        <v>2.0833333333333333E-3</v>
      </c>
      <c r="C229" s="10" t="s">
        <v>70</v>
      </c>
      <c r="D229" s="7">
        <f t="shared" si="9"/>
        <v>45663.002083333333</v>
      </c>
      <c r="E229" t="str">
        <f t="shared" si="10"/>
        <v>06-01-2025 to 12-01-2025</v>
      </c>
      <c r="F229" t="str">
        <f>IF(COUNTIF('Top5'!I:I, G229) &gt; 0, "Yes", "No")</f>
        <v>No</v>
      </c>
      <c r="G229" t="str">
        <f t="shared" si="11"/>
        <v>06-01-2025 to 12-01-2025</v>
      </c>
    </row>
    <row r="230" spans="1:7">
      <c r="A230" s="1">
        <v>45663</v>
      </c>
      <c r="B230" s="6">
        <v>2.0833333333333333E-3</v>
      </c>
      <c r="C230" s="10" t="s">
        <v>70</v>
      </c>
      <c r="D230" s="7">
        <f t="shared" si="9"/>
        <v>45663.002083333333</v>
      </c>
      <c r="E230" t="str">
        <f t="shared" si="10"/>
        <v>06-01-2025 to 12-01-2025</v>
      </c>
      <c r="F230" t="str">
        <f>IF(COUNTIF('Top5'!I:I, G230) &gt; 0, "Yes", "No")</f>
        <v>No</v>
      </c>
      <c r="G230" t="str">
        <f t="shared" si="11"/>
        <v>06-01-2025 to 12-01-2025</v>
      </c>
    </row>
    <row r="231" spans="1:7">
      <c r="A231" s="1">
        <v>45663</v>
      </c>
      <c r="B231" s="6">
        <v>0.9916666666666667</v>
      </c>
      <c r="C231" s="10" t="s">
        <v>70</v>
      </c>
      <c r="D231" s="7">
        <f t="shared" si="9"/>
        <v>45663.991666666669</v>
      </c>
      <c r="E231" t="str">
        <f t="shared" si="10"/>
        <v>06-01-2025 to 12-01-2025</v>
      </c>
      <c r="F231" t="str">
        <f>IF(COUNTIF('Top5'!I:I, G231) &gt; 0, "Yes", "No")</f>
        <v>No</v>
      </c>
      <c r="G231" t="str">
        <f t="shared" si="11"/>
        <v>06-01-2025 to 12-01-2025</v>
      </c>
    </row>
    <row r="232" spans="1:7">
      <c r="A232" s="1">
        <v>45666</v>
      </c>
      <c r="B232" s="6">
        <v>1.3888888888888888E-2</v>
      </c>
      <c r="C232" s="10" t="s">
        <v>70</v>
      </c>
      <c r="D232" s="7">
        <f t="shared" si="9"/>
        <v>45666.013888888891</v>
      </c>
      <c r="E232" t="str">
        <f t="shared" si="10"/>
        <v>09-01-2025 to 15-01-2025</v>
      </c>
      <c r="F232" t="str">
        <f>IF(COUNTIF('Top5'!I:I, G232) &gt; 0, "Yes", "No")</f>
        <v>No</v>
      </c>
      <c r="G232" t="str">
        <f t="shared" si="11"/>
        <v>09-01-2025 to 15-01-2025</v>
      </c>
    </row>
    <row r="233" spans="1:7">
      <c r="A233" s="1">
        <v>45666</v>
      </c>
      <c r="B233" s="6">
        <v>1.3888888888888888E-2</v>
      </c>
      <c r="C233" s="10" t="s">
        <v>70</v>
      </c>
      <c r="D233" s="7">
        <f t="shared" si="9"/>
        <v>45666.013888888891</v>
      </c>
      <c r="E233" t="str">
        <f t="shared" si="10"/>
        <v>09-01-2025 to 15-01-2025</v>
      </c>
      <c r="F233" t="str">
        <f>IF(COUNTIF('Top5'!I:I, G233) &gt; 0, "Yes", "No")</f>
        <v>No</v>
      </c>
      <c r="G233" t="str">
        <f t="shared" si="11"/>
        <v>09-01-2025 to 15-01-2025</v>
      </c>
    </row>
    <row r="234" spans="1:7">
      <c r="A234" s="1">
        <v>45666</v>
      </c>
      <c r="B234" s="6">
        <v>1.3888888888888888E-2</v>
      </c>
      <c r="C234" s="10" t="s">
        <v>70</v>
      </c>
      <c r="D234" s="7">
        <f t="shared" si="9"/>
        <v>45666.013888888891</v>
      </c>
      <c r="E234" t="str">
        <f t="shared" si="10"/>
        <v>09-01-2025 to 15-01-2025</v>
      </c>
      <c r="F234" t="str">
        <f>IF(COUNTIF('Top5'!I:I, G234) &gt; 0, "Yes", "No")</f>
        <v>No</v>
      </c>
      <c r="G234" t="str">
        <f t="shared" si="11"/>
        <v>09-01-2025 to 15-01-2025</v>
      </c>
    </row>
    <row r="235" spans="1:7">
      <c r="A235" s="1">
        <v>45666</v>
      </c>
      <c r="B235" s="6">
        <v>1.3888888888888888E-2</v>
      </c>
      <c r="C235" s="10" t="s">
        <v>70</v>
      </c>
      <c r="D235" s="7">
        <f t="shared" si="9"/>
        <v>45666.013888888891</v>
      </c>
      <c r="E235" t="str">
        <f t="shared" si="10"/>
        <v>09-01-2025 to 15-01-2025</v>
      </c>
      <c r="F235" t="str">
        <f>IF(COUNTIF('Top5'!I:I, G235) &gt; 0, "Yes", "No")</f>
        <v>No</v>
      </c>
      <c r="G235" t="str">
        <f t="shared" si="11"/>
        <v>09-01-2025 to 15-01-2025</v>
      </c>
    </row>
    <row r="236" spans="1:7">
      <c r="A236" s="1">
        <v>45666</v>
      </c>
      <c r="B236" s="6">
        <v>1.3888888888888888E-2</v>
      </c>
      <c r="C236" s="10" t="s">
        <v>70</v>
      </c>
      <c r="D236" s="7">
        <f t="shared" si="9"/>
        <v>45666.013888888891</v>
      </c>
      <c r="E236" t="str">
        <f t="shared" si="10"/>
        <v>09-01-2025 to 15-01-2025</v>
      </c>
      <c r="F236" t="str">
        <f>IF(COUNTIF('Top5'!I:I, G236) &gt; 0, "Yes", "No")</f>
        <v>No</v>
      </c>
      <c r="G236" t="str">
        <f t="shared" si="11"/>
        <v>09-01-2025 to 15-01-2025</v>
      </c>
    </row>
    <row r="237" spans="1:7">
      <c r="A237" s="1">
        <v>45666</v>
      </c>
      <c r="B237" s="6">
        <v>1.3888888888888888E-2</v>
      </c>
      <c r="C237" s="10" t="s">
        <v>70</v>
      </c>
      <c r="D237" s="7">
        <f t="shared" si="9"/>
        <v>45666.013888888891</v>
      </c>
      <c r="E237" t="str">
        <f t="shared" si="10"/>
        <v>09-01-2025 to 15-01-2025</v>
      </c>
      <c r="F237" t="str">
        <f>IF(COUNTIF('Top5'!I:I, G237) &gt; 0, "Yes", "No")</f>
        <v>No</v>
      </c>
      <c r="G237" t="str">
        <f t="shared" si="11"/>
        <v>09-01-2025 to 15-01-2025</v>
      </c>
    </row>
    <row r="238" spans="1:7">
      <c r="A238" s="1">
        <v>45666</v>
      </c>
      <c r="B238" s="6">
        <v>1.3888888888888888E-2</v>
      </c>
      <c r="C238" s="10" t="s">
        <v>70</v>
      </c>
      <c r="D238" s="7">
        <f t="shared" si="9"/>
        <v>45666.013888888891</v>
      </c>
      <c r="E238" t="str">
        <f t="shared" si="10"/>
        <v>09-01-2025 to 15-01-2025</v>
      </c>
      <c r="F238" t="str">
        <f>IF(COUNTIF('Top5'!I:I, G238) &gt; 0, "Yes", "No")</f>
        <v>No</v>
      </c>
      <c r="G238" t="str">
        <f t="shared" si="11"/>
        <v>09-01-2025 to 15-01-2025</v>
      </c>
    </row>
    <row r="239" spans="1:7">
      <c r="A239" s="1">
        <v>45666</v>
      </c>
      <c r="B239" s="6">
        <v>1.3888888888888888E-2</v>
      </c>
      <c r="C239" s="10" t="s">
        <v>70</v>
      </c>
      <c r="D239" s="7">
        <f t="shared" si="9"/>
        <v>45666.013888888891</v>
      </c>
      <c r="E239" t="str">
        <f t="shared" si="10"/>
        <v>09-01-2025 to 15-01-2025</v>
      </c>
      <c r="F239" t="str">
        <f>IF(COUNTIF('Top5'!I:I, G239) &gt; 0, "Yes", "No")</f>
        <v>No</v>
      </c>
      <c r="G239" t="str">
        <f t="shared" si="11"/>
        <v>09-01-2025 to 15-01-2025</v>
      </c>
    </row>
    <row r="240" spans="1:7">
      <c r="A240" s="1">
        <v>45666</v>
      </c>
      <c r="B240" s="6">
        <v>0.43819444444444444</v>
      </c>
      <c r="C240" s="10" t="s">
        <v>22</v>
      </c>
      <c r="D240" s="7">
        <f t="shared" si="9"/>
        <v>45666.438194444447</v>
      </c>
      <c r="E240" t="str">
        <f t="shared" si="10"/>
        <v>09-01-2025 to 15-01-2025</v>
      </c>
      <c r="F240" t="str">
        <f>IF(COUNTIF('Top5'!I:I, G240) &gt; 0, "Yes", "No")</f>
        <v>No</v>
      </c>
      <c r="G240" t="str">
        <f t="shared" si="11"/>
        <v>09-01-2025 to 15-01-2025</v>
      </c>
    </row>
    <row r="241" spans="1:7">
      <c r="A241" s="1">
        <v>45666</v>
      </c>
      <c r="B241" s="6">
        <v>0.43819444444444444</v>
      </c>
      <c r="C241" s="10" t="s">
        <v>22</v>
      </c>
      <c r="D241" s="7">
        <f t="shared" si="9"/>
        <v>45666.438194444447</v>
      </c>
      <c r="E241" t="str">
        <f t="shared" si="10"/>
        <v>09-01-2025 to 15-01-2025</v>
      </c>
      <c r="F241" t="str">
        <f>IF(COUNTIF('Top5'!I:I, G241) &gt; 0, "Yes", "No")</f>
        <v>No</v>
      </c>
      <c r="G241" t="str">
        <f t="shared" si="11"/>
        <v>09-01-2025 to 15-01-2025</v>
      </c>
    </row>
    <row r="242" spans="1:7">
      <c r="A242" s="1">
        <v>45666</v>
      </c>
      <c r="B242" s="6">
        <v>0.44444444444444442</v>
      </c>
      <c r="C242" s="10" t="s">
        <v>22</v>
      </c>
      <c r="D242" s="7">
        <f t="shared" si="9"/>
        <v>45666.444444444445</v>
      </c>
      <c r="E242" t="str">
        <f t="shared" si="10"/>
        <v>09-01-2025 to 15-01-2025</v>
      </c>
      <c r="F242" t="str">
        <f>IF(COUNTIF('Top5'!I:I, G242) &gt; 0, "Yes", "No")</f>
        <v>No</v>
      </c>
      <c r="G242" t="str">
        <f t="shared" si="11"/>
        <v>09-01-2025 to 15-01-2025</v>
      </c>
    </row>
    <row r="243" spans="1:7">
      <c r="A243" s="1">
        <v>45666</v>
      </c>
      <c r="B243" s="6">
        <v>0.4513888888888889</v>
      </c>
      <c r="C243" s="10" t="s">
        <v>22</v>
      </c>
      <c r="D243" s="7">
        <f t="shared" si="9"/>
        <v>45666.451388888891</v>
      </c>
      <c r="E243" t="str">
        <f t="shared" si="10"/>
        <v>09-01-2025 to 15-01-2025</v>
      </c>
      <c r="F243" t="str">
        <f>IF(COUNTIF('Top5'!I:I, G243) &gt; 0, "Yes", "No")</f>
        <v>No</v>
      </c>
      <c r="G243" t="str">
        <f t="shared" si="11"/>
        <v>09-01-2025 to 15-01-2025</v>
      </c>
    </row>
    <row r="244" spans="1:7">
      <c r="A244" s="1">
        <v>45666</v>
      </c>
      <c r="B244" s="6">
        <v>0.76180555555555551</v>
      </c>
      <c r="C244" s="10" t="s">
        <v>70</v>
      </c>
      <c r="D244" s="7">
        <f t="shared" si="9"/>
        <v>45666.761805555558</v>
      </c>
      <c r="E244" t="str">
        <f t="shared" si="10"/>
        <v>09-01-2025 to 15-01-2025</v>
      </c>
      <c r="F244" t="str">
        <f>IF(COUNTIF('Top5'!I:I, G244) &gt; 0, "Yes", "No")</f>
        <v>No</v>
      </c>
      <c r="G244" t="str">
        <f t="shared" si="11"/>
        <v>09-01-2025 to 15-01-2025</v>
      </c>
    </row>
    <row r="245" spans="1:7">
      <c r="A245" s="1">
        <v>45666</v>
      </c>
      <c r="B245" s="6">
        <v>0.80555555555555558</v>
      </c>
      <c r="C245" s="10" t="s">
        <v>70</v>
      </c>
      <c r="D245" s="7">
        <f t="shared" si="9"/>
        <v>45666.805555555555</v>
      </c>
      <c r="E245" t="str">
        <f t="shared" si="10"/>
        <v>09-01-2025 to 15-01-2025</v>
      </c>
      <c r="F245" t="str">
        <f>IF(COUNTIF('Top5'!I:I, G245) &gt; 0, "Yes", "No")</f>
        <v>No</v>
      </c>
      <c r="G245" t="str">
        <f t="shared" si="11"/>
        <v>09-01-2025 to 15-01-2025</v>
      </c>
    </row>
    <row r="246" spans="1:7">
      <c r="A246" s="1">
        <v>45667</v>
      </c>
      <c r="B246" s="6">
        <v>4.1666666666666666E-3</v>
      </c>
      <c r="C246" s="10" t="s">
        <v>70</v>
      </c>
      <c r="D246" s="7">
        <f t="shared" si="9"/>
        <v>45667.004166666666</v>
      </c>
      <c r="E246" t="str">
        <f t="shared" si="10"/>
        <v>10-01-2025 to 16-01-2025</v>
      </c>
      <c r="F246" t="str">
        <f>IF(COUNTIF('Top5'!I:I, G246) &gt; 0, "Yes", "No")</f>
        <v>No</v>
      </c>
      <c r="G246" t="str">
        <f t="shared" si="11"/>
        <v>10-01-2025 to 16-01-2025</v>
      </c>
    </row>
    <row r="247" spans="1:7">
      <c r="A247" s="1">
        <v>45667</v>
      </c>
      <c r="B247" s="6">
        <v>0.48472222222222222</v>
      </c>
      <c r="C247" s="10" t="s">
        <v>22</v>
      </c>
      <c r="D247" s="7">
        <f t="shared" si="9"/>
        <v>45667.484722222223</v>
      </c>
      <c r="E247" t="str">
        <f t="shared" si="10"/>
        <v>10-01-2025 to 16-01-2025</v>
      </c>
      <c r="F247" t="str">
        <f>IF(COUNTIF('Top5'!I:I, G247) &gt; 0, "Yes", "No")</f>
        <v>No</v>
      </c>
      <c r="G247" t="str">
        <f t="shared" si="11"/>
        <v>10-01-2025 to 16-01-2025</v>
      </c>
    </row>
    <row r="248" spans="1:7">
      <c r="A248" s="1">
        <v>45667</v>
      </c>
      <c r="B248" s="6">
        <v>0.48472222222222222</v>
      </c>
      <c r="C248" s="10" t="s">
        <v>22</v>
      </c>
      <c r="D248" s="7">
        <f t="shared" si="9"/>
        <v>45667.484722222223</v>
      </c>
      <c r="E248" t="str">
        <f t="shared" si="10"/>
        <v>10-01-2025 to 16-01-2025</v>
      </c>
      <c r="F248" t="str">
        <f>IF(COUNTIF('Top5'!I:I, G248) &gt; 0, "Yes", "No")</f>
        <v>No</v>
      </c>
      <c r="G248" t="str">
        <f t="shared" si="11"/>
        <v>10-01-2025 to 16-01-2025</v>
      </c>
    </row>
    <row r="249" spans="1:7">
      <c r="A249" s="1">
        <v>45667</v>
      </c>
      <c r="B249" s="6">
        <v>0.75277777777777777</v>
      </c>
      <c r="C249" s="10" t="s">
        <v>70</v>
      </c>
      <c r="D249" s="7">
        <f t="shared" si="9"/>
        <v>45667.75277777778</v>
      </c>
      <c r="E249" t="str">
        <f t="shared" si="10"/>
        <v>10-01-2025 to 16-01-2025</v>
      </c>
      <c r="F249" t="str">
        <f>IF(COUNTIF('Top5'!I:I, G249) &gt; 0, "Yes", "No")</f>
        <v>No</v>
      </c>
      <c r="G249" t="str">
        <f t="shared" si="11"/>
        <v>10-01-2025 to 16-01-2025</v>
      </c>
    </row>
    <row r="250" spans="1:7">
      <c r="A250" s="1">
        <v>45667</v>
      </c>
      <c r="B250" s="6">
        <v>0.77361111111111114</v>
      </c>
      <c r="C250" s="10" t="s">
        <v>70</v>
      </c>
      <c r="D250" s="7">
        <f t="shared" si="9"/>
        <v>45667.773611111108</v>
      </c>
      <c r="E250" t="str">
        <f t="shared" si="10"/>
        <v>10-01-2025 to 16-01-2025</v>
      </c>
      <c r="F250" t="str">
        <f>IF(COUNTIF('Top5'!I:I, G250) &gt; 0, "Yes", "No")</f>
        <v>No</v>
      </c>
      <c r="G250" t="str">
        <f t="shared" si="11"/>
        <v>10-01-2025 to 16-01-2025</v>
      </c>
    </row>
    <row r="251" spans="1:7">
      <c r="A251" s="1">
        <v>45667</v>
      </c>
      <c r="B251" s="6">
        <v>0.77569444444444446</v>
      </c>
      <c r="C251" s="10" t="s">
        <v>70</v>
      </c>
      <c r="D251" s="7">
        <f t="shared" si="9"/>
        <v>45667.775694444441</v>
      </c>
      <c r="E251" t="str">
        <f t="shared" si="10"/>
        <v>10-01-2025 to 16-01-2025</v>
      </c>
      <c r="F251" t="str">
        <f>IF(COUNTIF('Top5'!I:I, G251) &gt; 0, "Yes", "No")</f>
        <v>No</v>
      </c>
      <c r="G251" t="str">
        <f t="shared" si="11"/>
        <v>10-01-2025 to 16-01-2025</v>
      </c>
    </row>
    <row r="252" spans="1:7">
      <c r="A252" s="1">
        <v>45667</v>
      </c>
      <c r="B252" s="6">
        <v>0.78888888888888886</v>
      </c>
      <c r="C252" s="10" t="s">
        <v>70</v>
      </c>
      <c r="D252" s="7">
        <f t="shared" si="9"/>
        <v>45667.788888888892</v>
      </c>
      <c r="E252" t="str">
        <f t="shared" si="10"/>
        <v>10-01-2025 to 16-01-2025</v>
      </c>
      <c r="F252" t="str">
        <f>IF(COUNTIF('Top5'!I:I, G252) &gt; 0, "Yes", "No")</f>
        <v>No</v>
      </c>
      <c r="G252" t="str">
        <f t="shared" si="11"/>
        <v>10-01-2025 to 16-01-2025</v>
      </c>
    </row>
    <row r="253" spans="1:7">
      <c r="A253" s="1">
        <v>45668</v>
      </c>
      <c r="B253" s="6">
        <v>1.3888888888888889E-3</v>
      </c>
      <c r="C253" s="10" t="s">
        <v>70</v>
      </c>
      <c r="D253" s="7">
        <f t="shared" si="9"/>
        <v>45668.001388888886</v>
      </c>
      <c r="E253" t="str">
        <f t="shared" si="10"/>
        <v>11-01-2025 to 17-01-2025</v>
      </c>
      <c r="F253" t="str">
        <f>IF(COUNTIF('Top5'!I:I, G253) &gt; 0, "Yes", "No")</f>
        <v>No</v>
      </c>
      <c r="G253" t="str">
        <f t="shared" si="11"/>
        <v>11-01-2025 to 17-01-2025</v>
      </c>
    </row>
    <row r="254" spans="1:7">
      <c r="A254" s="1">
        <v>45668</v>
      </c>
      <c r="B254" s="6">
        <v>2.0833333333333333E-3</v>
      </c>
      <c r="C254" s="10" t="s">
        <v>70</v>
      </c>
      <c r="D254" s="7">
        <f t="shared" si="9"/>
        <v>45668.002083333333</v>
      </c>
      <c r="E254" t="str">
        <f t="shared" si="10"/>
        <v>11-01-2025 to 17-01-2025</v>
      </c>
      <c r="F254" t="str">
        <f>IF(COUNTIF('Top5'!I:I, G254) &gt; 0, "Yes", "No")</f>
        <v>No</v>
      </c>
      <c r="G254" t="str">
        <f t="shared" si="11"/>
        <v>11-01-2025 to 17-01-2025</v>
      </c>
    </row>
    <row r="255" spans="1:7">
      <c r="A255" s="1">
        <v>45668</v>
      </c>
      <c r="B255" s="6">
        <v>2.0833333333333333E-3</v>
      </c>
      <c r="C255" s="10" t="s">
        <v>70</v>
      </c>
      <c r="D255" s="7">
        <f t="shared" si="9"/>
        <v>45668.002083333333</v>
      </c>
      <c r="E255" t="str">
        <f t="shared" si="10"/>
        <v>11-01-2025 to 17-01-2025</v>
      </c>
      <c r="F255" t="str">
        <f>IF(COUNTIF('Top5'!I:I, G255) &gt; 0, "Yes", "No")</f>
        <v>No</v>
      </c>
      <c r="G255" t="str">
        <f t="shared" si="11"/>
        <v>11-01-2025 to 17-01-2025</v>
      </c>
    </row>
    <row r="256" spans="1:7">
      <c r="A256" s="1">
        <v>45668</v>
      </c>
      <c r="B256" s="6">
        <v>3.472222222222222E-3</v>
      </c>
      <c r="C256" s="10" t="s">
        <v>70</v>
      </c>
      <c r="D256" s="7">
        <f t="shared" si="9"/>
        <v>45668.003472222219</v>
      </c>
      <c r="E256" t="str">
        <f t="shared" si="10"/>
        <v>11-01-2025 to 17-01-2025</v>
      </c>
      <c r="F256" t="str">
        <f>IF(COUNTIF('Top5'!I:I, G256) &gt; 0, "Yes", "No")</f>
        <v>No</v>
      </c>
      <c r="G256" t="str">
        <f t="shared" si="11"/>
        <v>11-01-2025 to 17-01-2025</v>
      </c>
    </row>
    <row r="257" spans="1:7">
      <c r="A257" s="1">
        <v>45668</v>
      </c>
      <c r="B257" s="6">
        <v>6.9444444444444441E-3</v>
      </c>
      <c r="C257" s="10" t="s">
        <v>70</v>
      </c>
      <c r="D257" s="7">
        <f t="shared" si="9"/>
        <v>45668.006944444445</v>
      </c>
      <c r="E257" t="str">
        <f t="shared" si="10"/>
        <v>11-01-2025 to 17-01-2025</v>
      </c>
      <c r="F257" t="str">
        <f>IF(COUNTIF('Top5'!I:I, G257) &gt; 0, "Yes", "No")</f>
        <v>No</v>
      </c>
      <c r="G257" t="str">
        <f t="shared" si="11"/>
        <v>11-01-2025 to 17-01-2025</v>
      </c>
    </row>
    <row r="258" spans="1:7">
      <c r="A258" s="1">
        <v>45668</v>
      </c>
      <c r="B258" s="6">
        <v>7.6388888888888886E-3</v>
      </c>
      <c r="C258" s="10" t="s">
        <v>70</v>
      </c>
      <c r="D258" s="7">
        <f t="shared" si="9"/>
        <v>45668.007638888892</v>
      </c>
      <c r="E258" t="str">
        <f t="shared" si="10"/>
        <v>11-01-2025 to 17-01-2025</v>
      </c>
      <c r="F258" t="str">
        <f>IF(COUNTIF('Top5'!I:I, G258) &gt; 0, "Yes", "No")</f>
        <v>No</v>
      </c>
      <c r="G258" t="str">
        <f t="shared" si="11"/>
        <v>11-01-2025 to 17-01-2025</v>
      </c>
    </row>
    <row r="259" spans="1:7">
      <c r="A259" s="1">
        <v>45668</v>
      </c>
      <c r="B259" s="6">
        <v>8.3333333333333332E-3</v>
      </c>
      <c r="C259" s="10" t="s">
        <v>70</v>
      </c>
      <c r="D259" s="7">
        <f t="shared" ref="D259:D322" si="12">VALUE(A259) + VALUE(B259)</f>
        <v>45668.008333333331</v>
      </c>
      <c r="E259" t="str">
        <f t="shared" ref="E259:E322" si="13">TEXT(D259, "dd-mm-yyyy") &amp; " to " &amp; TEXT(D259+6, "dd-mm-yyyy")</f>
        <v>11-01-2025 to 17-01-2025</v>
      </c>
      <c r="F259" t="str">
        <f>IF(COUNTIF('Top5'!I:I, G259) &gt; 0, "Yes", "No")</f>
        <v>No</v>
      </c>
      <c r="G259" t="str">
        <f t="shared" ref="G259:G322" si="14">TRIM(E259)</f>
        <v>11-01-2025 to 17-01-2025</v>
      </c>
    </row>
    <row r="260" spans="1:7">
      <c r="A260" s="1">
        <v>45668</v>
      </c>
      <c r="B260" s="6">
        <v>0.54583333333333328</v>
      </c>
      <c r="C260" s="10" t="s">
        <v>71</v>
      </c>
      <c r="D260" s="7">
        <f t="shared" si="12"/>
        <v>45668.54583333333</v>
      </c>
      <c r="E260" t="str">
        <f t="shared" si="13"/>
        <v>11-01-2025 to 17-01-2025</v>
      </c>
      <c r="F260" t="str">
        <f>IF(COUNTIF('Top5'!I:I, G260) &gt; 0, "Yes", "No")</f>
        <v>No</v>
      </c>
      <c r="G260" t="str">
        <f t="shared" si="14"/>
        <v>11-01-2025 to 17-01-2025</v>
      </c>
    </row>
    <row r="261" spans="1:7">
      <c r="A261" s="1">
        <v>45668</v>
      </c>
      <c r="B261" s="6">
        <v>0.54583333333333328</v>
      </c>
      <c r="C261" s="10" t="s">
        <v>71</v>
      </c>
      <c r="D261" s="7">
        <f t="shared" si="12"/>
        <v>45668.54583333333</v>
      </c>
      <c r="E261" t="str">
        <f t="shared" si="13"/>
        <v>11-01-2025 to 17-01-2025</v>
      </c>
      <c r="F261" t="str">
        <f>IF(COUNTIF('Top5'!I:I, G261) &gt; 0, "Yes", "No")</f>
        <v>No</v>
      </c>
      <c r="G261" t="str">
        <f t="shared" si="14"/>
        <v>11-01-2025 to 17-01-2025</v>
      </c>
    </row>
    <row r="262" spans="1:7">
      <c r="A262" s="1">
        <v>45668</v>
      </c>
      <c r="B262" s="6">
        <v>0.55902777777777779</v>
      </c>
      <c r="C262" s="10" t="s">
        <v>71</v>
      </c>
      <c r="D262" s="7">
        <f t="shared" si="12"/>
        <v>45668.559027777781</v>
      </c>
      <c r="E262" t="str">
        <f t="shared" si="13"/>
        <v>11-01-2025 to 17-01-2025</v>
      </c>
      <c r="F262" t="str">
        <f>IF(COUNTIF('Top5'!I:I, G262) &gt; 0, "Yes", "No")</f>
        <v>No</v>
      </c>
      <c r="G262" t="str">
        <f t="shared" si="14"/>
        <v>11-01-2025 to 17-01-2025</v>
      </c>
    </row>
    <row r="263" spans="1:7">
      <c r="A263" s="1">
        <v>45668</v>
      </c>
      <c r="B263" s="6">
        <v>0.72152777777777777</v>
      </c>
      <c r="C263" s="10" t="s">
        <v>70</v>
      </c>
      <c r="D263" s="7">
        <f t="shared" si="12"/>
        <v>45668.72152777778</v>
      </c>
      <c r="E263" t="str">
        <f t="shared" si="13"/>
        <v>11-01-2025 to 17-01-2025</v>
      </c>
      <c r="F263" t="str">
        <f>IF(COUNTIF('Top5'!I:I, G263) &gt; 0, "Yes", "No")</f>
        <v>No</v>
      </c>
      <c r="G263" t="str">
        <f t="shared" si="14"/>
        <v>11-01-2025 to 17-01-2025</v>
      </c>
    </row>
    <row r="264" spans="1:7">
      <c r="A264" s="1">
        <v>45668</v>
      </c>
      <c r="B264" s="6">
        <v>0.76041666666666663</v>
      </c>
      <c r="C264" s="10" t="s">
        <v>70</v>
      </c>
      <c r="D264" s="7">
        <f t="shared" si="12"/>
        <v>45668.760416666664</v>
      </c>
      <c r="E264" t="str">
        <f t="shared" si="13"/>
        <v>11-01-2025 to 17-01-2025</v>
      </c>
      <c r="F264" t="str">
        <f>IF(COUNTIF('Top5'!I:I, G264) &gt; 0, "Yes", "No")</f>
        <v>No</v>
      </c>
      <c r="G264" t="str">
        <f t="shared" si="14"/>
        <v>11-01-2025 to 17-01-2025</v>
      </c>
    </row>
    <row r="265" spans="1:7">
      <c r="A265" s="1">
        <v>45668</v>
      </c>
      <c r="B265" s="6">
        <v>0.76111111111111107</v>
      </c>
      <c r="C265" s="10" t="s">
        <v>70</v>
      </c>
      <c r="D265" s="7">
        <f t="shared" si="12"/>
        <v>45668.761111111111</v>
      </c>
      <c r="E265" t="str">
        <f t="shared" si="13"/>
        <v>11-01-2025 to 17-01-2025</v>
      </c>
      <c r="F265" t="str">
        <f>IF(COUNTIF('Top5'!I:I, G265) &gt; 0, "Yes", "No")</f>
        <v>No</v>
      </c>
      <c r="G265" t="str">
        <f t="shared" si="14"/>
        <v>11-01-2025 to 17-01-2025</v>
      </c>
    </row>
    <row r="266" spans="1:7">
      <c r="A266" s="1">
        <v>45668</v>
      </c>
      <c r="B266" s="6">
        <v>0.80208333333333337</v>
      </c>
      <c r="C266" s="10" t="s">
        <v>70</v>
      </c>
      <c r="D266" s="7">
        <f t="shared" si="12"/>
        <v>45668.802083333336</v>
      </c>
      <c r="E266" t="str">
        <f t="shared" si="13"/>
        <v>11-01-2025 to 17-01-2025</v>
      </c>
      <c r="F266" t="str">
        <f>IF(COUNTIF('Top5'!I:I, G266) &gt; 0, "Yes", "No")</f>
        <v>No</v>
      </c>
      <c r="G266" t="str">
        <f t="shared" si="14"/>
        <v>11-01-2025 to 17-01-2025</v>
      </c>
    </row>
    <row r="267" spans="1:7">
      <c r="A267" s="1">
        <v>45668</v>
      </c>
      <c r="B267" s="6">
        <v>0.96736111111111112</v>
      </c>
      <c r="C267" s="10" t="s">
        <v>70</v>
      </c>
      <c r="D267" s="7">
        <f t="shared" si="12"/>
        <v>45668.967361111114</v>
      </c>
      <c r="E267" t="str">
        <f t="shared" si="13"/>
        <v>11-01-2025 to 17-01-2025</v>
      </c>
      <c r="F267" t="str">
        <f>IF(COUNTIF('Top5'!I:I, G267) &gt; 0, "Yes", "No")</f>
        <v>No</v>
      </c>
      <c r="G267" t="str">
        <f t="shared" si="14"/>
        <v>11-01-2025 to 17-01-2025</v>
      </c>
    </row>
    <row r="268" spans="1:7">
      <c r="A268" s="1">
        <v>45669</v>
      </c>
      <c r="B268" s="6">
        <v>6.9444444444444447E-4</v>
      </c>
      <c r="C268" s="10" t="s">
        <v>70</v>
      </c>
      <c r="D268" s="7">
        <f t="shared" si="12"/>
        <v>45669.000694444447</v>
      </c>
      <c r="E268" t="str">
        <f t="shared" si="13"/>
        <v>12-01-2025 to 18-01-2025</v>
      </c>
      <c r="F268" t="str">
        <f>IF(COUNTIF('Top5'!I:I, G268) &gt; 0, "Yes", "No")</f>
        <v>No</v>
      </c>
      <c r="G268" t="str">
        <f t="shared" si="14"/>
        <v>12-01-2025 to 18-01-2025</v>
      </c>
    </row>
    <row r="269" spans="1:7">
      <c r="A269" s="1">
        <v>45669</v>
      </c>
      <c r="B269" s="6">
        <v>6.2500000000000003E-3</v>
      </c>
      <c r="C269" s="10" t="s">
        <v>70</v>
      </c>
      <c r="D269" s="7">
        <f t="shared" si="12"/>
        <v>45669.006249999999</v>
      </c>
      <c r="E269" t="str">
        <f t="shared" si="13"/>
        <v>12-01-2025 to 18-01-2025</v>
      </c>
      <c r="F269" t="str">
        <f>IF(COUNTIF('Top5'!I:I, G269) &gt; 0, "Yes", "No")</f>
        <v>No</v>
      </c>
      <c r="G269" t="str">
        <f t="shared" si="14"/>
        <v>12-01-2025 to 18-01-2025</v>
      </c>
    </row>
    <row r="270" spans="1:7">
      <c r="A270" s="1">
        <v>45669</v>
      </c>
      <c r="B270" s="6">
        <v>6.2500000000000003E-3</v>
      </c>
      <c r="C270" s="10" t="s">
        <v>70</v>
      </c>
      <c r="D270" s="7">
        <f t="shared" si="12"/>
        <v>45669.006249999999</v>
      </c>
      <c r="E270" t="str">
        <f t="shared" si="13"/>
        <v>12-01-2025 to 18-01-2025</v>
      </c>
      <c r="F270" t="str">
        <f>IF(COUNTIF('Top5'!I:I, G270) &gt; 0, "Yes", "No")</f>
        <v>No</v>
      </c>
      <c r="G270" t="str">
        <f t="shared" si="14"/>
        <v>12-01-2025 to 18-01-2025</v>
      </c>
    </row>
    <row r="271" spans="1:7">
      <c r="A271" s="1">
        <v>45669</v>
      </c>
      <c r="B271" s="6">
        <v>6.9444444444444441E-3</v>
      </c>
      <c r="C271" s="10" t="s">
        <v>70</v>
      </c>
      <c r="D271" s="7">
        <f t="shared" si="12"/>
        <v>45669.006944444445</v>
      </c>
      <c r="E271" t="str">
        <f t="shared" si="13"/>
        <v>12-01-2025 to 18-01-2025</v>
      </c>
      <c r="F271" t="str">
        <f>IF(COUNTIF('Top5'!I:I, G271) &gt; 0, "Yes", "No")</f>
        <v>No</v>
      </c>
      <c r="G271" t="str">
        <f t="shared" si="14"/>
        <v>12-01-2025 to 18-01-2025</v>
      </c>
    </row>
    <row r="272" spans="1:7">
      <c r="A272" s="1">
        <v>45669</v>
      </c>
      <c r="B272" s="6">
        <v>0.5805555555555556</v>
      </c>
      <c r="C272" s="10" t="s">
        <v>71</v>
      </c>
      <c r="D272" s="7">
        <f t="shared" si="12"/>
        <v>45669.580555555556</v>
      </c>
      <c r="E272" t="str">
        <f t="shared" si="13"/>
        <v>12-01-2025 to 18-01-2025</v>
      </c>
      <c r="F272" t="str">
        <f>IF(COUNTIF('Top5'!I:I, G272) &gt; 0, "Yes", "No")</f>
        <v>No</v>
      </c>
      <c r="G272" t="str">
        <f t="shared" si="14"/>
        <v>12-01-2025 to 18-01-2025</v>
      </c>
    </row>
    <row r="273" spans="1:7">
      <c r="A273" s="1">
        <v>45669</v>
      </c>
      <c r="B273" s="6">
        <v>0.80833333333333335</v>
      </c>
      <c r="C273" s="10" t="s">
        <v>70</v>
      </c>
      <c r="D273" s="7">
        <f t="shared" si="12"/>
        <v>45669.808333333334</v>
      </c>
      <c r="E273" t="str">
        <f t="shared" si="13"/>
        <v>12-01-2025 to 18-01-2025</v>
      </c>
      <c r="F273" t="str">
        <f>IF(COUNTIF('Top5'!I:I, G273) &gt; 0, "Yes", "No")</f>
        <v>No</v>
      </c>
      <c r="G273" t="str">
        <f t="shared" si="14"/>
        <v>12-01-2025 to 18-01-2025</v>
      </c>
    </row>
    <row r="274" spans="1:7">
      <c r="A274" s="1">
        <v>45670</v>
      </c>
      <c r="B274" s="6">
        <v>2.7777777777777779E-3</v>
      </c>
      <c r="C274" s="10" t="s">
        <v>70</v>
      </c>
      <c r="D274" s="7">
        <f t="shared" si="12"/>
        <v>45670.00277777778</v>
      </c>
      <c r="E274" t="str">
        <f t="shared" si="13"/>
        <v>13-01-2025 to 19-01-2025</v>
      </c>
      <c r="F274" t="str">
        <f>IF(COUNTIF('Top5'!I:I, G274) &gt; 0, "Yes", "No")</f>
        <v>No</v>
      </c>
      <c r="G274" t="str">
        <f t="shared" si="14"/>
        <v>13-01-2025 to 19-01-2025</v>
      </c>
    </row>
    <row r="275" spans="1:7">
      <c r="A275" s="1">
        <v>45670</v>
      </c>
      <c r="B275" s="6">
        <v>2.7777777777777779E-3</v>
      </c>
      <c r="C275" s="10" t="s">
        <v>70</v>
      </c>
      <c r="D275" s="7">
        <f t="shared" si="12"/>
        <v>45670.00277777778</v>
      </c>
      <c r="E275" t="str">
        <f t="shared" si="13"/>
        <v>13-01-2025 to 19-01-2025</v>
      </c>
      <c r="F275" t="str">
        <f>IF(COUNTIF('Top5'!I:I, G275) &gt; 0, "Yes", "No")</f>
        <v>No</v>
      </c>
      <c r="G275" t="str">
        <f t="shared" si="14"/>
        <v>13-01-2025 to 19-01-2025</v>
      </c>
    </row>
    <row r="276" spans="1:7">
      <c r="A276" s="1">
        <v>45670</v>
      </c>
      <c r="B276" s="6">
        <v>2.7777777777777779E-3</v>
      </c>
      <c r="C276" s="10" t="s">
        <v>70</v>
      </c>
      <c r="D276" s="7">
        <f t="shared" si="12"/>
        <v>45670.00277777778</v>
      </c>
      <c r="E276" t="str">
        <f t="shared" si="13"/>
        <v>13-01-2025 to 19-01-2025</v>
      </c>
      <c r="F276" t="str">
        <f>IF(COUNTIF('Top5'!I:I, G276) &gt; 0, "Yes", "No")</f>
        <v>No</v>
      </c>
      <c r="G276" t="str">
        <f t="shared" si="14"/>
        <v>13-01-2025 to 19-01-2025</v>
      </c>
    </row>
    <row r="277" spans="1:7">
      <c r="A277" s="1">
        <v>45670</v>
      </c>
      <c r="B277" s="6">
        <v>3.472222222222222E-3</v>
      </c>
      <c r="C277" s="10" t="s">
        <v>70</v>
      </c>
      <c r="D277" s="7">
        <f t="shared" si="12"/>
        <v>45670.003472222219</v>
      </c>
      <c r="E277" t="str">
        <f t="shared" si="13"/>
        <v>13-01-2025 to 19-01-2025</v>
      </c>
      <c r="F277" t="str">
        <f>IF(COUNTIF('Top5'!I:I, G277) &gt; 0, "Yes", "No")</f>
        <v>No</v>
      </c>
      <c r="G277" t="str">
        <f t="shared" si="14"/>
        <v>13-01-2025 to 19-01-2025</v>
      </c>
    </row>
    <row r="278" spans="1:7">
      <c r="A278" s="1">
        <v>45670</v>
      </c>
      <c r="B278" s="6">
        <v>4.1666666666666666E-3</v>
      </c>
      <c r="C278" s="10" t="s">
        <v>70</v>
      </c>
      <c r="D278" s="7">
        <f t="shared" si="12"/>
        <v>45670.004166666666</v>
      </c>
      <c r="E278" t="str">
        <f t="shared" si="13"/>
        <v>13-01-2025 to 19-01-2025</v>
      </c>
      <c r="F278" t="str">
        <f>IF(COUNTIF('Top5'!I:I, G278) &gt; 0, "Yes", "No")</f>
        <v>No</v>
      </c>
      <c r="G278" t="str">
        <f t="shared" si="14"/>
        <v>13-01-2025 to 19-01-2025</v>
      </c>
    </row>
    <row r="279" spans="1:7">
      <c r="A279" s="1">
        <v>45670</v>
      </c>
      <c r="B279" s="6">
        <v>4.1666666666666666E-3</v>
      </c>
      <c r="C279" s="10" t="s">
        <v>70</v>
      </c>
      <c r="D279" s="7">
        <f t="shared" si="12"/>
        <v>45670.004166666666</v>
      </c>
      <c r="E279" t="str">
        <f t="shared" si="13"/>
        <v>13-01-2025 to 19-01-2025</v>
      </c>
      <c r="F279" t="str">
        <f>IF(COUNTIF('Top5'!I:I, G279) &gt; 0, "Yes", "No")</f>
        <v>No</v>
      </c>
      <c r="G279" t="str">
        <f t="shared" si="14"/>
        <v>13-01-2025 to 19-01-2025</v>
      </c>
    </row>
    <row r="280" spans="1:7">
      <c r="A280" s="1">
        <v>45670</v>
      </c>
      <c r="B280" s="6">
        <v>4.1666666666666666E-3</v>
      </c>
      <c r="C280" s="10" t="s">
        <v>70</v>
      </c>
      <c r="D280" s="7">
        <f t="shared" si="12"/>
        <v>45670.004166666666</v>
      </c>
      <c r="E280" t="str">
        <f t="shared" si="13"/>
        <v>13-01-2025 to 19-01-2025</v>
      </c>
      <c r="F280" t="str">
        <f>IF(COUNTIF('Top5'!I:I, G280) &gt; 0, "Yes", "No")</f>
        <v>No</v>
      </c>
      <c r="G280" t="str">
        <f t="shared" si="14"/>
        <v>13-01-2025 to 19-01-2025</v>
      </c>
    </row>
    <row r="281" spans="1:7">
      <c r="A281" s="1">
        <v>45670</v>
      </c>
      <c r="B281" s="6">
        <v>4.1666666666666666E-3</v>
      </c>
      <c r="C281" s="10" t="s">
        <v>70</v>
      </c>
      <c r="D281" s="7">
        <f t="shared" si="12"/>
        <v>45670.004166666666</v>
      </c>
      <c r="E281" t="str">
        <f t="shared" si="13"/>
        <v>13-01-2025 to 19-01-2025</v>
      </c>
      <c r="F281" t="str">
        <f>IF(COUNTIF('Top5'!I:I, G281) &gt; 0, "Yes", "No")</f>
        <v>No</v>
      </c>
      <c r="G281" t="str">
        <f t="shared" si="14"/>
        <v>13-01-2025 to 19-01-2025</v>
      </c>
    </row>
    <row r="282" spans="1:7">
      <c r="A282" s="1">
        <v>45670</v>
      </c>
      <c r="B282" s="6">
        <v>4.8611111111111112E-3</v>
      </c>
      <c r="C282" s="10" t="s">
        <v>70</v>
      </c>
      <c r="D282" s="7">
        <f t="shared" si="12"/>
        <v>45670.004861111112</v>
      </c>
      <c r="E282" t="str">
        <f t="shared" si="13"/>
        <v>13-01-2025 to 19-01-2025</v>
      </c>
      <c r="F282" t="str">
        <f>IF(COUNTIF('Top5'!I:I, G282) &gt; 0, "Yes", "No")</f>
        <v>No</v>
      </c>
      <c r="G282" t="str">
        <f t="shared" si="14"/>
        <v>13-01-2025 to 19-01-2025</v>
      </c>
    </row>
    <row r="283" spans="1:7">
      <c r="A283" s="1">
        <v>45670</v>
      </c>
      <c r="B283" s="6">
        <v>5.5555555555555558E-3</v>
      </c>
      <c r="C283" s="10" t="s">
        <v>70</v>
      </c>
      <c r="D283" s="7">
        <f t="shared" si="12"/>
        <v>45670.005555555559</v>
      </c>
      <c r="E283" t="str">
        <f t="shared" si="13"/>
        <v>13-01-2025 to 19-01-2025</v>
      </c>
      <c r="F283" t="str">
        <f>IF(COUNTIF('Top5'!I:I, G283) &gt; 0, "Yes", "No")</f>
        <v>No</v>
      </c>
      <c r="G283" t="str">
        <f t="shared" si="14"/>
        <v>13-01-2025 to 19-01-2025</v>
      </c>
    </row>
    <row r="284" spans="1:7">
      <c r="A284" s="1">
        <v>45670</v>
      </c>
      <c r="B284" s="6">
        <v>6.2500000000000003E-3</v>
      </c>
      <c r="C284" s="10" t="s">
        <v>70</v>
      </c>
      <c r="D284" s="7">
        <f t="shared" si="12"/>
        <v>45670.006249999999</v>
      </c>
      <c r="E284" t="str">
        <f t="shared" si="13"/>
        <v>13-01-2025 to 19-01-2025</v>
      </c>
      <c r="F284" t="str">
        <f>IF(COUNTIF('Top5'!I:I, G284) &gt; 0, "Yes", "No")</f>
        <v>No</v>
      </c>
      <c r="G284" t="str">
        <f t="shared" si="14"/>
        <v>13-01-2025 to 19-01-2025</v>
      </c>
    </row>
    <row r="285" spans="1:7">
      <c r="A285" s="1">
        <v>45670</v>
      </c>
      <c r="B285" s="6">
        <v>6.9444444444444441E-3</v>
      </c>
      <c r="C285" s="10" t="s">
        <v>70</v>
      </c>
      <c r="D285" s="7">
        <f t="shared" si="12"/>
        <v>45670.006944444445</v>
      </c>
      <c r="E285" t="str">
        <f t="shared" si="13"/>
        <v>13-01-2025 to 19-01-2025</v>
      </c>
      <c r="F285" t="str">
        <f>IF(COUNTIF('Top5'!I:I, G285) &gt; 0, "Yes", "No")</f>
        <v>No</v>
      </c>
      <c r="G285" t="str">
        <f t="shared" si="14"/>
        <v>13-01-2025 to 19-01-2025</v>
      </c>
    </row>
    <row r="286" spans="1:7">
      <c r="A286" s="1">
        <v>45670</v>
      </c>
      <c r="B286" s="6">
        <v>6.9444444444444441E-3</v>
      </c>
      <c r="C286" s="10" t="s">
        <v>70</v>
      </c>
      <c r="D286" s="7">
        <f t="shared" si="12"/>
        <v>45670.006944444445</v>
      </c>
      <c r="E286" t="str">
        <f t="shared" si="13"/>
        <v>13-01-2025 to 19-01-2025</v>
      </c>
      <c r="F286" t="str">
        <f>IF(COUNTIF('Top5'!I:I, G286) &gt; 0, "Yes", "No")</f>
        <v>No</v>
      </c>
      <c r="G286" t="str">
        <f t="shared" si="14"/>
        <v>13-01-2025 to 19-01-2025</v>
      </c>
    </row>
    <row r="287" spans="1:7">
      <c r="A287" s="1">
        <v>45670</v>
      </c>
      <c r="B287" s="6">
        <v>7.6388888888888886E-3</v>
      </c>
      <c r="C287" s="10" t="s">
        <v>70</v>
      </c>
      <c r="D287" s="7">
        <f t="shared" si="12"/>
        <v>45670.007638888892</v>
      </c>
      <c r="E287" t="str">
        <f t="shared" si="13"/>
        <v>13-01-2025 to 19-01-2025</v>
      </c>
      <c r="F287" t="str">
        <f>IF(COUNTIF('Top5'!I:I, G287) &gt; 0, "Yes", "No")</f>
        <v>No</v>
      </c>
      <c r="G287" t="str">
        <f t="shared" si="14"/>
        <v>13-01-2025 to 19-01-2025</v>
      </c>
    </row>
    <row r="288" spans="1:7">
      <c r="A288" s="1">
        <v>45670</v>
      </c>
      <c r="B288" s="6">
        <v>7.6388888888888886E-3</v>
      </c>
      <c r="C288" s="10" t="s">
        <v>70</v>
      </c>
      <c r="D288" s="7">
        <f t="shared" si="12"/>
        <v>45670.007638888892</v>
      </c>
      <c r="E288" t="str">
        <f t="shared" si="13"/>
        <v>13-01-2025 to 19-01-2025</v>
      </c>
      <c r="F288" t="str">
        <f>IF(COUNTIF('Top5'!I:I, G288) &gt; 0, "Yes", "No")</f>
        <v>No</v>
      </c>
      <c r="G288" t="str">
        <f t="shared" si="14"/>
        <v>13-01-2025 to 19-01-2025</v>
      </c>
    </row>
    <row r="289" spans="1:7">
      <c r="A289" s="1">
        <v>45670</v>
      </c>
      <c r="B289" s="6">
        <v>7.6388888888888886E-3</v>
      </c>
      <c r="C289" s="10" t="s">
        <v>70</v>
      </c>
      <c r="D289" s="7">
        <f t="shared" si="12"/>
        <v>45670.007638888892</v>
      </c>
      <c r="E289" t="str">
        <f t="shared" si="13"/>
        <v>13-01-2025 to 19-01-2025</v>
      </c>
      <c r="F289" t="str">
        <f>IF(COUNTIF('Top5'!I:I, G289) &gt; 0, "Yes", "No")</f>
        <v>No</v>
      </c>
      <c r="G289" t="str">
        <f t="shared" si="14"/>
        <v>13-01-2025 to 19-01-2025</v>
      </c>
    </row>
    <row r="290" spans="1:7">
      <c r="A290" s="1">
        <v>45670</v>
      </c>
      <c r="B290" s="6">
        <v>9.0277777777777769E-3</v>
      </c>
      <c r="C290" s="10" t="s">
        <v>70</v>
      </c>
      <c r="D290" s="7">
        <f t="shared" si="12"/>
        <v>45670.009027777778</v>
      </c>
      <c r="E290" t="str">
        <f t="shared" si="13"/>
        <v>13-01-2025 to 19-01-2025</v>
      </c>
      <c r="F290" t="str">
        <f>IF(COUNTIF('Top5'!I:I, G290) &gt; 0, "Yes", "No")</f>
        <v>No</v>
      </c>
      <c r="G290" t="str">
        <f t="shared" si="14"/>
        <v>13-01-2025 to 19-01-2025</v>
      </c>
    </row>
    <row r="291" spans="1:7">
      <c r="A291" s="1">
        <v>45670</v>
      </c>
      <c r="B291" s="6">
        <v>9.7222222222222224E-3</v>
      </c>
      <c r="C291" s="10" t="s">
        <v>70</v>
      </c>
      <c r="D291" s="7">
        <f t="shared" si="12"/>
        <v>45670.009722222225</v>
      </c>
      <c r="E291" t="str">
        <f t="shared" si="13"/>
        <v>13-01-2025 to 19-01-2025</v>
      </c>
      <c r="F291" t="str">
        <f>IF(COUNTIF('Top5'!I:I, G291) &gt; 0, "Yes", "No")</f>
        <v>No</v>
      </c>
      <c r="G291" t="str">
        <f t="shared" si="14"/>
        <v>13-01-2025 to 19-01-2025</v>
      </c>
    </row>
    <row r="292" spans="1:7">
      <c r="A292" s="1">
        <v>45670</v>
      </c>
      <c r="B292" s="6">
        <v>9.7222222222222224E-3</v>
      </c>
      <c r="C292" s="10" t="s">
        <v>70</v>
      </c>
      <c r="D292" s="7">
        <f t="shared" si="12"/>
        <v>45670.009722222225</v>
      </c>
      <c r="E292" t="str">
        <f t="shared" si="13"/>
        <v>13-01-2025 to 19-01-2025</v>
      </c>
      <c r="F292" t="str">
        <f>IF(COUNTIF('Top5'!I:I, G292) &gt; 0, "Yes", "No")</f>
        <v>No</v>
      </c>
      <c r="G292" t="str">
        <f t="shared" si="14"/>
        <v>13-01-2025 to 19-01-2025</v>
      </c>
    </row>
    <row r="293" spans="1:7">
      <c r="A293" s="1">
        <v>45670</v>
      </c>
      <c r="B293" s="6">
        <v>1.0416666666666666E-2</v>
      </c>
      <c r="C293" s="10" t="s">
        <v>70</v>
      </c>
      <c r="D293" s="7">
        <f t="shared" si="12"/>
        <v>45670.010416666664</v>
      </c>
      <c r="E293" t="str">
        <f t="shared" si="13"/>
        <v>13-01-2025 to 19-01-2025</v>
      </c>
      <c r="F293" t="str">
        <f>IF(COUNTIF('Top5'!I:I, G293) &gt; 0, "Yes", "No")</f>
        <v>No</v>
      </c>
      <c r="G293" t="str">
        <f t="shared" si="14"/>
        <v>13-01-2025 to 19-01-2025</v>
      </c>
    </row>
    <row r="294" spans="1:7">
      <c r="A294" s="1">
        <v>45670</v>
      </c>
      <c r="B294" s="6">
        <v>1.1111111111111112E-2</v>
      </c>
      <c r="C294" s="10" t="s">
        <v>70</v>
      </c>
      <c r="D294" s="7">
        <f t="shared" si="12"/>
        <v>45670.011111111111</v>
      </c>
      <c r="E294" t="str">
        <f t="shared" si="13"/>
        <v>13-01-2025 to 19-01-2025</v>
      </c>
      <c r="F294" t="str">
        <f>IF(COUNTIF('Top5'!I:I, G294) &gt; 0, "Yes", "No")</f>
        <v>No</v>
      </c>
      <c r="G294" t="str">
        <f t="shared" si="14"/>
        <v>13-01-2025 to 19-01-2025</v>
      </c>
    </row>
    <row r="295" spans="1:7">
      <c r="A295" s="1">
        <v>45670</v>
      </c>
      <c r="B295" s="6">
        <v>1.3888888888888888E-2</v>
      </c>
      <c r="C295" s="10" t="s">
        <v>70</v>
      </c>
      <c r="D295" s="7">
        <f t="shared" si="12"/>
        <v>45670.013888888891</v>
      </c>
      <c r="E295" t="str">
        <f t="shared" si="13"/>
        <v>13-01-2025 to 19-01-2025</v>
      </c>
      <c r="F295" t="str">
        <f>IF(COUNTIF('Top5'!I:I, G295) &gt; 0, "Yes", "No")</f>
        <v>No</v>
      </c>
      <c r="G295" t="str">
        <f t="shared" si="14"/>
        <v>13-01-2025 to 19-01-2025</v>
      </c>
    </row>
    <row r="296" spans="1:7">
      <c r="A296" s="1">
        <v>45670</v>
      </c>
      <c r="B296" s="6">
        <v>1.8749999999999999E-2</v>
      </c>
      <c r="C296" s="10" t="s">
        <v>70</v>
      </c>
      <c r="D296" s="7">
        <f t="shared" si="12"/>
        <v>45670.018750000003</v>
      </c>
      <c r="E296" t="str">
        <f t="shared" si="13"/>
        <v>13-01-2025 to 19-01-2025</v>
      </c>
      <c r="F296" t="str">
        <f>IF(COUNTIF('Top5'!I:I, G296) &gt; 0, "Yes", "No")</f>
        <v>No</v>
      </c>
      <c r="G296" t="str">
        <f t="shared" si="14"/>
        <v>13-01-2025 to 19-01-2025</v>
      </c>
    </row>
    <row r="297" spans="1:7">
      <c r="A297" s="1">
        <v>45670</v>
      </c>
      <c r="B297" s="6">
        <v>2.2222222222222223E-2</v>
      </c>
      <c r="C297" s="10" t="s">
        <v>70</v>
      </c>
      <c r="D297" s="7">
        <f t="shared" si="12"/>
        <v>45670.022222222222</v>
      </c>
      <c r="E297" t="str">
        <f t="shared" si="13"/>
        <v>13-01-2025 to 19-01-2025</v>
      </c>
      <c r="F297" t="str">
        <f>IF(COUNTIF('Top5'!I:I, G297) &gt; 0, "Yes", "No")</f>
        <v>No</v>
      </c>
      <c r="G297" t="str">
        <f t="shared" si="14"/>
        <v>13-01-2025 to 19-01-2025</v>
      </c>
    </row>
    <row r="298" spans="1:7">
      <c r="A298" s="1">
        <v>45670</v>
      </c>
      <c r="B298" s="6">
        <v>2.6388888888888889E-2</v>
      </c>
      <c r="C298" s="10" t="s">
        <v>70</v>
      </c>
      <c r="D298" s="7">
        <f t="shared" si="12"/>
        <v>45670.026388888888</v>
      </c>
      <c r="E298" t="str">
        <f t="shared" si="13"/>
        <v>13-01-2025 to 19-01-2025</v>
      </c>
      <c r="F298" t="str">
        <f>IF(COUNTIF('Top5'!I:I, G298) &gt; 0, "Yes", "No")</f>
        <v>No</v>
      </c>
      <c r="G298" t="str">
        <f t="shared" si="14"/>
        <v>13-01-2025 to 19-01-2025</v>
      </c>
    </row>
    <row r="299" spans="1:7">
      <c r="A299" s="1">
        <v>45670</v>
      </c>
      <c r="B299" s="6">
        <v>2.8472222222222222E-2</v>
      </c>
      <c r="C299" s="10" t="s">
        <v>70</v>
      </c>
      <c r="D299" s="7">
        <f t="shared" si="12"/>
        <v>45670.02847222222</v>
      </c>
      <c r="E299" t="str">
        <f t="shared" si="13"/>
        <v>13-01-2025 to 19-01-2025</v>
      </c>
      <c r="F299" t="str">
        <f>IF(COUNTIF('Top5'!I:I, G299) &gt; 0, "Yes", "No")</f>
        <v>No</v>
      </c>
      <c r="G299" t="str">
        <f t="shared" si="14"/>
        <v>13-01-2025 to 19-01-2025</v>
      </c>
    </row>
    <row r="300" spans="1:7">
      <c r="A300" s="1">
        <v>45670</v>
      </c>
      <c r="B300" s="6">
        <v>0.53541666666666665</v>
      </c>
      <c r="C300" s="10" t="s">
        <v>71</v>
      </c>
      <c r="D300" s="7">
        <f t="shared" si="12"/>
        <v>45670.535416666666</v>
      </c>
      <c r="E300" t="str">
        <f t="shared" si="13"/>
        <v>13-01-2025 to 19-01-2025</v>
      </c>
      <c r="F300" t="str">
        <f>IF(COUNTIF('Top5'!I:I, G300) &gt; 0, "Yes", "No")</f>
        <v>No</v>
      </c>
      <c r="G300" t="str">
        <f t="shared" si="14"/>
        <v>13-01-2025 to 19-01-2025</v>
      </c>
    </row>
    <row r="301" spans="1:7">
      <c r="A301" s="1">
        <v>45670</v>
      </c>
      <c r="B301" s="6">
        <v>0.53541666666666665</v>
      </c>
      <c r="C301" s="10" t="s">
        <v>71</v>
      </c>
      <c r="D301" s="7">
        <f t="shared" si="12"/>
        <v>45670.535416666666</v>
      </c>
      <c r="E301" t="str">
        <f t="shared" si="13"/>
        <v>13-01-2025 to 19-01-2025</v>
      </c>
      <c r="F301" t="str">
        <f>IF(COUNTIF('Top5'!I:I, G301) &gt; 0, "Yes", "No")</f>
        <v>No</v>
      </c>
      <c r="G301" t="str">
        <f t="shared" si="14"/>
        <v>13-01-2025 to 19-01-2025</v>
      </c>
    </row>
    <row r="302" spans="1:7">
      <c r="A302" s="1">
        <v>45670</v>
      </c>
      <c r="B302" s="6">
        <v>0.55138888888888893</v>
      </c>
      <c r="C302" s="10" t="s">
        <v>71</v>
      </c>
      <c r="D302" s="7">
        <f t="shared" si="12"/>
        <v>45670.551388888889</v>
      </c>
      <c r="E302" t="str">
        <f t="shared" si="13"/>
        <v>13-01-2025 to 19-01-2025</v>
      </c>
      <c r="F302" t="str">
        <f>IF(COUNTIF('Top5'!I:I, G302) &gt; 0, "Yes", "No")</f>
        <v>No</v>
      </c>
      <c r="G302" t="str">
        <f t="shared" si="14"/>
        <v>13-01-2025 to 19-01-2025</v>
      </c>
    </row>
    <row r="303" spans="1:7">
      <c r="A303" s="1">
        <v>45670</v>
      </c>
      <c r="B303" s="6">
        <v>0.55277777777777781</v>
      </c>
      <c r="C303" s="10" t="s">
        <v>71</v>
      </c>
      <c r="D303" s="7">
        <f t="shared" si="12"/>
        <v>45670.552777777775</v>
      </c>
      <c r="E303" t="str">
        <f t="shared" si="13"/>
        <v>13-01-2025 to 19-01-2025</v>
      </c>
      <c r="F303" t="str">
        <f>IF(COUNTIF('Top5'!I:I, G303) &gt; 0, "Yes", "No")</f>
        <v>No</v>
      </c>
      <c r="G303" t="str">
        <f t="shared" si="14"/>
        <v>13-01-2025 to 19-01-2025</v>
      </c>
    </row>
    <row r="304" spans="1:7">
      <c r="A304" s="1">
        <v>45670</v>
      </c>
      <c r="B304" s="6">
        <v>0.7006944444444444</v>
      </c>
      <c r="C304" s="10" t="s">
        <v>71</v>
      </c>
      <c r="D304" s="7">
        <f t="shared" si="12"/>
        <v>45670.700694444444</v>
      </c>
      <c r="E304" t="str">
        <f t="shared" si="13"/>
        <v>13-01-2025 to 19-01-2025</v>
      </c>
      <c r="F304" t="str">
        <f>IF(COUNTIF('Top5'!I:I, G304) &gt; 0, "Yes", "No")</f>
        <v>No</v>
      </c>
      <c r="G304" t="str">
        <f t="shared" si="14"/>
        <v>13-01-2025 to 19-01-2025</v>
      </c>
    </row>
    <row r="305" spans="1:7">
      <c r="A305" s="1">
        <v>45670</v>
      </c>
      <c r="B305" s="6">
        <v>0.70972222222222225</v>
      </c>
      <c r="C305" s="10" t="s">
        <v>70</v>
      </c>
      <c r="D305" s="7">
        <f t="shared" si="12"/>
        <v>45670.709722222222</v>
      </c>
      <c r="E305" t="str">
        <f t="shared" si="13"/>
        <v>13-01-2025 to 19-01-2025</v>
      </c>
      <c r="F305" t="str">
        <f>IF(COUNTIF('Top5'!I:I, G305) &gt; 0, "Yes", "No")</f>
        <v>No</v>
      </c>
      <c r="G305" t="str">
        <f t="shared" si="14"/>
        <v>13-01-2025 to 19-01-2025</v>
      </c>
    </row>
    <row r="306" spans="1:7">
      <c r="A306" s="1">
        <v>45670</v>
      </c>
      <c r="B306" s="6">
        <v>0.80208333333333337</v>
      </c>
      <c r="C306" s="10" t="s">
        <v>70</v>
      </c>
      <c r="D306" s="7">
        <f t="shared" si="12"/>
        <v>45670.802083333336</v>
      </c>
      <c r="E306" t="str">
        <f t="shared" si="13"/>
        <v>13-01-2025 to 19-01-2025</v>
      </c>
      <c r="F306" t="str">
        <f>IF(COUNTIF('Top5'!I:I, G306) &gt; 0, "Yes", "No")</f>
        <v>No</v>
      </c>
      <c r="G306" t="str">
        <f t="shared" si="14"/>
        <v>13-01-2025 to 19-01-2025</v>
      </c>
    </row>
    <row r="307" spans="1:7">
      <c r="A307" s="1">
        <v>45671</v>
      </c>
      <c r="B307" s="6">
        <v>0.50277777777777777</v>
      </c>
      <c r="C307" s="10" t="s">
        <v>71</v>
      </c>
      <c r="D307" s="7">
        <f t="shared" si="12"/>
        <v>45671.50277777778</v>
      </c>
      <c r="E307" t="str">
        <f t="shared" si="13"/>
        <v>14-01-2025 to 20-01-2025</v>
      </c>
      <c r="F307" t="str">
        <f>IF(COUNTIF('Top5'!I:I, G307) &gt; 0, "Yes", "No")</f>
        <v>No</v>
      </c>
      <c r="G307" t="str">
        <f t="shared" si="14"/>
        <v>14-01-2025 to 20-01-2025</v>
      </c>
    </row>
    <row r="308" spans="1:7">
      <c r="A308" s="1">
        <v>45671</v>
      </c>
      <c r="B308" s="6">
        <v>0.50277777777777777</v>
      </c>
      <c r="C308" s="10" t="s">
        <v>71</v>
      </c>
      <c r="D308" s="7">
        <f t="shared" si="12"/>
        <v>45671.50277777778</v>
      </c>
      <c r="E308" t="str">
        <f t="shared" si="13"/>
        <v>14-01-2025 to 20-01-2025</v>
      </c>
      <c r="F308" t="str">
        <f>IF(COUNTIF('Top5'!I:I, G308) &gt; 0, "Yes", "No")</f>
        <v>No</v>
      </c>
      <c r="G308" t="str">
        <f t="shared" si="14"/>
        <v>14-01-2025 to 20-01-2025</v>
      </c>
    </row>
    <row r="309" spans="1:7">
      <c r="A309" s="1">
        <v>45671</v>
      </c>
      <c r="B309" s="6">
        <v>0.50277777777777777</v>
      </c>
      <c r="C309" s="10" t="s">
        <v>71</v>
      </c>
      <c r="D309" s="7">
        <f t="shared" si="12"/>
        <v>45671.50277777778</v>
      </c>
      <c r="E309" t="str">
        <f t="shared" si="13"/>
        <v>14-01-2025 to 20-01-2025</v>
      </c>
      <c r="F309" t="str">
        <f>IF(COUNTIF('Top5'!I:I, G309) &gt; 0, "Yes", "No")</f>
        <v>No</v>
      </c>
      <c r="G309" t="str">
        <f t="shared" si="14"/>
        <v>14-01-2025 to 20-01-2025</v>
      </c>
    </row>
    <row r="310" spans="1:7">
      <c r="A310" s="1">
        <v>45671</v>
      </c>
      <c r="B310" s="6">
        <v>0.50277777777777777</v>
      </c>
      <c r="C310" s="10" t="s">
        <v>71</v>
      </c>
      <c r="D310" s="7">
        <f t="shared" si="12"/>
        <v>45671.50277777778</v>
      </c>
      <c r="E310" t="str">
        <f t="shared" si="13"/>
        <v>14-01-2025 to 20-01-2025</v>
      </c>
      <c r="F310" t="str">
        <f>IF(COUNTIF('Top5'!I:I, G310) &gt; 0, "Yes", "No")</f>
        <v>No</v>
      </c>
      <c r="G310" t="str">
        <f t="shared" si="14"/>
        <v>14-01-2025 to 20-01-2025</v>
      </c>
    </row>
    <row r="311" spans="1:7">
      <c r="A311" s="1">
        <v>45671</v>
      </c>
      <c r="B311" s="6">
        <v>0.53680555555555554</v>
      </c>
      <c r="C311" s="10" t="s">
        <v>71</v>
      </c>
      <c r="D311" s="7">
        <f t="shared" si="12"/>
        <v>45671.536805555559</v>
      </c>
      <c r="E311" t="str">
        <f t="shared" si="13"/>
        <v>14-01-2025 to 20-01-2025</v>
      </c>
      <c r="F311" t="str">
        <f>IF(COUNTIF('Top5'!I:I, G311) &gt; 0, "Yes", "No")</f>
        <v>No</v>
      </c>
      <c r="G311" t="str">
        <f t="shared" si="14"/>
        <v>14-01-2025 to 20-01-2025</v>
      </c>
    </row>
    <row r="312" spans="1:7">
      <c r="A312" s="1">
        <v>45671</v>
      </c>
      <c r="B312" s="6">
        <v>0.53749999999999998</v>
      </c>
      <c r="C312" s="10" t="s">
        <v>71</v>
      </c>
      <c r="D312" s="7">
        <f t="shared" si="12"/>
        <v>45671.537499999999</v>
      </c>
      <c r="E312" t="str">
        <f t="shared" si="13"/>
        <v>14-01-2025 to 20-01-2025</v>
      </c>
      <c r="F312" t="str">
        <f>IF(COUNTIF('Top5'!I:I, G312) &gt; 0, "Yes", "No")</f>
        <v>No</v>
      </c>
      <c r="G312" t="str">
        <f t="shared" si="14"/>
        <v>14-01-2025 to 20-01-2025</v>
      </c>
    </row>
    <row r="313" spans="1:7">
      <c r="A313" s="1">
        <v>45671</v>
      </c>
      <c r="B313" s="6">
        <v>0.62569444444444444</v>
      </c>
      <c r="C313" s="10" t="s">
        <v>71</v>
      </c>
      <c r="D313" s="7">
        <f t="shared" si="12"/>
        <v>45671.625694444447</v>
      </c>
      <c r="E313" t="str">
        <f t="shared" si="13"/>
        <v>14-01-2025 to 20-01-2025</v>
      </c>
      <c r="F313" t="str">
        <f>IF(COUNTIF('Top5'!I:I, G313) &gt; 0, "Yes", "No")</f>
        <v>No</v>
      </c>
      <c r="G313" t="str">
        <f t="shared" si="14"/>
        <v>14-01-2025 to 20-01-2025</v>
      </c>
    </row>
    <row r="314" spans="1:7">
      <c r="A314" s="1">
        <v>45671</v>
      </c>
      <c r="B314" s="6">
        <v>0.9868055555555556</v>
      </c>
      <c r="C314" s="10" t="s">
        <v>70</v>
      </c>
      <c r="D314" s="7">
        <f t="shared" si="12"/>
        <v>45671.986805555556</v>
      </c>
      <c r="E314" t="str">
        <f t="shared" si="13"/>
        <v>14-01-2025 to 20-01-2025</v>
      </c>
      <c r="F314" t="str">
        <f>IF(COUNTIF('Top5'!I:I, G314) &gt; 0, "Yes", "No")</f>
        <v>No</v>
      </c>
      <c r="G314" t="str">
        <f t="shared" si="14"/>
        <v>14-01-2025 to 20-01-2025</v>
      </c>
    </row>
    <row r="315" spans="1:7">
      <c r="A315" s="1">
        <v>45671</v>
      </c>
      <c r="B315" s="6">
        <v>0.98750000000000004</v>
      </c>
      <c r="C315" s="10" t="s">
        <v>70</v>
      </c>
      <c r="D315" s="7">
        <f t="shared" si="12"/>
        <v>45671.987500000003</v>
      </c>
      <c r="E315" t="str">
        <f t="shared" si="13"/>
        <v>14-01-2025 to 20-01-2025</v>
      </c>
      <c r="F315" t="str">
        <f>IF(COUNTIF('Top5'!I:I, G315) &gt; 0, "Yes", "No")</f>
        <v>No</v>
      </c>
      <c r="G315" t="str">
        <f t="shared" si="14"/>
        <v>14-01-2025 to 20-01-2025</v>
      </c>
    </row>
    <row r="316" spans="1:7">
      <c r="A316" s="1">
        <v>45672</v>
      </c>
      <c r="B316" s="6">
        <v>3.472222222222222E-3</v>
      </c>
      <c r="C316" s="10" t="s">
        <v>70</v>
      </c>
      <c r="D316" s="7">
        <f t="shared" si="12"/>
        <v>45672.003472222219</v>
      </c>
      <c r="E316" t="str">
        <f t="shared" si="13"/>
        <v>15-01-2025 to 21-01-2025</v>
      </c>
      <c r="F316" t="str">
        <f>IF(COUNTIF('Top5'!I:I, G316) &gt; 0, "Yes", "No")</f>
        <v>No</v>
      </c>
      <c r="G316" t="str">
        <f t="shared" si="14"/>
        <v>15-01-2025 to 21-01-2025</v>
      </c>
    </row>
    <row r="317" spans="1:7">
      <c r="A317" s="1">
        <v>45672</v>
      </c>
      <c r="B317" s="6">
        <v>6.2500000000000003E-3</v>
      </c>
      <c r="C317" s="10" t="s">
        <v>70</v>
      </c>
      <c r="D317" s="7">
        <f t="shared" si="12"/>
        <v>45672.006249999999</v>
      </c>
      <c r="E317" t="str">
        <f t="shared" si="13"/>
        <v>15-01-2025 to 21-01-2025</v>
      </c>
      <c r="F317" t="str">
        <f>IF(COUNTIF('Top5'!I:I, G317) &gt; 0, "Yes", "No")</f>
        <v>No</v>
      </c>
      <c r="G317" t="str">
        <f t="shared" si="14"/>
        <v>15-01-2025 to 21-01-2025</v>
      </c>
    </row>
    <row r="318" spans="1:7">
      <c r="A318" s="1">
        <v>45672</v>
      </c>
      <c r="B318" s="6">
        <v>1.8749999999999999E-2</v>
      </c>
      <c r="C318" s="10" t="s">
        <v>70</v>
      </c>
      <c r="D318" s="7">
        <f t="shared" si="12"/>
        <v>45672.018750000003</v>
      </c>
      <c r="E318" t="str">
        <f t="shared" si="13"/>
        <v>15-01-2025 to 21-01-2025</v>
      </c>
      <c r="F318" t="str">
        <f>IF(COUNTIF('Top5'!I:I, G318) &gt; 0, "Yes", "No")</f>
        <v>No</v>
      </c>
      <c r="G318" t="str">
        <f t="shared" si="14"/>
        <v>15-01-2025 to 21-01-2025</v>
      </c>
    </row>
    <row r="319" spans="1:7">
      <c r="A319" s="1">
        <v>45672</v>
      </c>
      <c r="B319" s="6">
        <v>1.8749999999999999E-2</v>
      </c>
      <c r="C319" s="10" t="s">
        <v>70</v>
      </c>
      <c r="D319" s="7">
        <f t="shared" si="12"/>
        <v>45672.018750000003</v>
      </c>
      <c r="E319" t="str">
        <f t="shared" si="13"/>
        <v>15-01-2025 to 21-01-2025</v>
      </c>
      <c r="F319" t="str">
        <f>IF(COUNTIF('Top5'!I:I, G319) &gt; 0, "Yes", "No")</f>
        <v>No</v>
      </c>
      <c r="G319" t="str">
        <f t="shared" si="14"/>
        <v>15-01-2025 to 21-01-2025</v>
      </c>
    </row>
    <row r="320" spans="1:7">
      <c r="A320" s="1">
        <v>45672</v>
      </c>
      <c r="B320" s="6">
        <v>1.8749999999999999E-2</v>
      </c>
      <c r="C320" s="10" t="s">
        <v>70</v>
      </c>
      <c r="D320" s="7">
        <f t="shared" si="12"/>
        <v>45672.018750000003</v>
      </c>
      <c r="E320" t="str">
        <f t="shared" si="13"/>
        <v>15-01-2025 to 21-01-2025</v>
      </c>
      <c r="F320" t="str">
        <f>IF(COUNTIF('Top5'!I:I, G320) &gt; 0, "Yes", "No")</f>
        <v>No</v>
      </c>
      <c r="G320" t="str">
        <f t="shared" si="14"/>
        <v>15-01-2025 to 21-01-2025</v>
      </c>
    </row>
    <row r="321" spans="1:7">
      <c r="A321" s="1">
        <v>45672</v>
      </c>
      <c r="B321" s="6">
        <v>1.8749999999999999E-2</v>
      </c>
      <c r="C321" s="10" t="s">
        <v>70</v>
      </c>
      <c r="D321" s="7">
        <f t="shared" si="12"/>
        <v>45672.018750000003</v>
      </c>
      <c r="E321" t="str">
        <f t="shared" si="13"/>
        <v>15-01-2025 to 21-01-2025</v>
      </c>
      <c r="F321" t="str">
        <f>IF(COUNTIF('Top5'!I:I, G321) &gt; 0, "Yes", "No")</f>
        <v>No</v>
      </c>
      <c r="G321" t="str">
        <f t="shared" si="14"/>
        <v>15-01-2025 to 21-01-2025</v>
      </c>
    </row>
    <row r="322" spans="1:7">
      <c r="A322" s="1">
        <v>45672</v>
      </c>
      <c r="B322" s="6">
        <v>1.8749999999999999E-2</v>
      </c>
      <c r="C322" s="10" t="s">
        <v>70</v>
      </c>
      <c r="D322" s="7">
        <f t="shared" si="12"/>
        <v>45672.018750000003</v>
      </c>
      <c r="E322" t="str">
        <f t="shared" si="13"/>
        <v>15-01-2025 to 21-01-2025</v>
      </c>
      <c r="F322" t="str">
        <f>IF(COUNTIF('Top5'!I:I, G322) &gt; 0, "Yes", "No")</f>
        <v>No</v>
      </c>
      <c r="G322" t="str">
        <f t="shared" si="14"/>
        <v>15-01-2025 to 21-01-2025</v>
      </c>
    </row>
    <row r="323" spans="1:7">
      <c r="A323" s="1">
        <v>45672</v>
      </c>
      <c r="B323" s="6">
        <v>1.8749999999999999E-2</v>
      </c>
      <c r="C323" s="10" t="s">
        <v>70</v>
      </c>
      <c r="D323" s="7">
        <f t="shared" ref="D323:D386" si="15">VALUE(A323) + VALUE(B323)</f>
        <v>45672.018750000003</v>
      </c>
      <c r="E323" t="str">
        <f t="shared" ref="E323:E386" si="16">TEXT(D323, "dd-mm-yyyy") &amp; " to " &amp; TEXT(D323+6, "dd-mm-yyyy")</f>
        <v>15-01-2025 to 21-01-2025</v>
      </c>
      <c r="F323" t="str">
        <f>IF(COUNTIF('Top5'!I:I, G323) &gt; 0, "Yes", "No")</f>
        <v>No</v>
      </c>
      <c r="G323" t="str">
        <f t="shared" ref="G323:G386" si="17">TRIM(E323)</f>
        <v>15-01-2025 to 21-01-2025</v>
      </c>
    </row>
    <row r="324" spans="1:7">
      <c r="A324" s="1">
        <v>45672</v>
      </c>
      <c r="B324" s="6">
        <v>1.8749999999999999E-2</v>
      </c>
      <c r="C324" s="10" t="s">
        <v>70</v>
      </c>
      <c r="D324" s="7">
        <f t="shared" si="15"/>
        <v>45672.018750000003</v>
      </c>
      <c r="E324" t="str">
        <f t="shared" si="16"/>
        <v>15-01-2025 to 21-01-2025</v>
      </c>
      <c r="F324" t="str">
        <f>IF(COUNTIF('Top5'!I:I, G324) &gt; 0, "Yes", "No")</f>
        <v>No</v>
      </c>
      <c r="G324" t="str">
        <f t="shared" si="17"/>
        <v>15-01-2025 to 21-01-2025</v>
      </c>
    </row>
    <row r="325" spans="1:7">
      <c r="A325" s="1">
        <v>45672</v>
      </c>
      <c r="B325" s="6">
        <v>1.8749999999999999E-2</v>
      </c>
      <c r="C325" s="10" t="s">
        <v>70</v>
      </c>
      <c r="D325" s="7">
        <f t="shared" si="15"/>
        <v>45672.018750000003</v>
      </c>
      <c r="E325" t="str">
        <f t="shared" si="16"/>
        <v>15-01-2025 to 21-01-2025</v>
      </c>
      <c r="F325" t="str">
        <f>IF(COUNTIF('Top5'!I:I, G325) &gt; 0, "Yes", "No")</f>
        <v>No</v>
      </c>
      <c r="G325" t="str">
        <f t="shared" si="17"/>
        <v>15-01-2025 to 21-01-2025</v>
      </c>
    </row>
    <row r="326" spans="1:7">
      <c r="A326" s="1">
        <v>45672</v>
      </c>
      <c r="B326" s="6">
        <v>1.8749999999999999E-2</v>
      </c>
      <c r="C326" s="10" t="s">
        <v>70</v>
      </c>
      <c r="D326" s="7">
        <f t="shared" si="15"/>
        <v>45672.018750000003</v>
      </c>
      <c r="E326" t="str">
        <f t="shared" si="16"/>
        <v>15-01-2025 to 21-01-2025</v>
      </c>
      <c r="F326" t="str">
        <f>IF(COUNTIF('Top5'!I:I, G326) &gt; 0, "Yes", "No")</f>
        <v>No</v>
      </c>
      <c r="G326" t="str">
        <f t="shared" si="17"/>
        <v>15-01-2025 to 21-01-2025</v>
      </c>
    </row>
    <row r="327" spans="1:7">
      <c r="A327" s="1">
        <v>45672</v>
      </c>
      <c r="B327" s="6">
        <v>0.51458333333333328</v>
      </c>
      <c r="C327" s="10" t="s">
        <v>71</v>
      </c>
      <c r="D327" s="7">
        <f t="shared" si="15"/>
        <v>45672.51458333333</v>
      </c>
      <c r="E327" t="str">
        <f t="shared" si="16"/>
        <v>15-01-2025 to 21-01-2025</v>
      </c>
      <c r="F327" t="str">
        <f>IF(COUNTIF('Top5'!I:I, G327) &gt; 0, "Yes", "No")</f>
        <v>No</v>
      </c>
      <c r="G327" t="str">
        <f t="shared" si="17"/>
        <v>15-01-2025 to 21-01-2025</v>
      </c>
    </row>
    <row r="328" spans="1:7">
      <c r="A328" s="1">
        <v>45672</v>
      </c>
      <c r="B328" s="6">
        <v>0.52569444444444446</v>
      </c>
      <c r="C328" s="10" t="s">
        <v>71</v>
      </c>
      <c r="D328" s="7">
        <f t="shared" si="15"/>
        <v>45672.525694444441</v>
      </c>
      <c r="E328" t="str">
        <f t="shared" si="16"/>
        <v>15-01-2025 to 21-01-2025</v>
      </c>
      <c r="F328" t="str">
        <f>IF(COUNTIF('Top5'!I:I, G328) &gt; 0, "Yes", "No")</f>
        <v>No</v>
      </c>
      <c r="G328" t="str">
        <f t="shared" si="17"/>
        <v>15-01-2025 to 21-01-2025</v>
      </c>
    </row>
    <row r="329" spans="1:7">
      <c r="A329" s="1">
        <v>45672</v>
      </c>
      <c r="B329" s="6">
        <v>0.93055555555555558</v>
      </c>
      <c r="C329" s="10" t="s">
        <v>70</v>
      </c>
      <c r="D329" s="7">
        <f t="shared" si="15"/>
        <v>45672.930555555555</v>
      </c>
      <c r="E329" t="str">
        <f t="shared" si="16"/>
        <v>15-01-2025 to 21-01-2025</v>
      </c>
      <c r="F329" t="str">
        <f>IF(COUNTIF('Top5'!I:I, G329) &gt; 0, "Yes", "No")</f>
        <v>No</v>
      </c>
      <c r="G329" t="str">
        <f t="shared" si="17"/>
        <v>15-01-2025 to 21-01-2025</v>
      </c>
    </row>
    <row r="330" spans="1:7">
      <c r="A330" s="1">
        <v>45672</v>
      </c>
      <c r="B330" s="6">
        <v>0.93055555555555558</v>
      </c>
      <c r="C330" s="10" t="s">
        <v>70</v>
      </c>
      <c r="D330" s="7">
        <f t="shared" si="15"/>
        <v>45672.930555555555</v>
      </c>
      <c r="E330" t="str">
        <f t="shared" si="16"/>
        <v>15-01-2025 to 21-01-2025</v>
      </c>
      <c r="F330" t="str">
        <f>IF(COUNTIF('Top5'!I:I, G330) &gt; 0, "Yes", "No")</f>
        <v>No</v>
      </c>
      <c r="G330" t="str">
        <f t="shared" si="17"/>
        <v>15-01-2025 to 21-01-2025</v>
      </c>
    </row>
    <row r="331" spans="1:7">
      <c r="A331" s="1">
        <v>45672</v>
      </c>
      <c r="B331" s="6">
        <v>0.93194444444444446</v>
      </c>
      <c r="C331" s="10" t="s">
        <v>70</v>
      </c>
      <c r="D331" s="7">
        <f t="shared" si="15"/>
        <v>45672.931944444441</v>
      </c>
      <c r="E331" t="str">
        <f t="shared" si="16"/>
        <v>15-01-2025 to 21-01-2025</v>
      </c>
      <c r="F331" t="str">
        <f>IF(COUNTIF('Top5'!I:I, G331) &gt; 0, "Yes", "No")</f>
        <v>No</v>
      </c>
      <c r="G331" t="str">
        <f t="shared" si="17"/>
        <v>15-01-2025 to 21-01-2025</v>
      </c>
    </row>
    <row r="332" spans="1:7">
      <c r="A332" s="1">
        <v>45672</v>
      </c>
      <c r="B332" s="6">
        <v>0.93263888888888891</v>
      </c>
      <c r="C332" s="10" t="s">
        <v>70</v>
      </c>
      <c r="D332" s="7">
        <f t="shared" si="15"/>
        <v>45672.932638888888</v>
      </c>
      <c r="E332" t="str">
        <f t="shared" si="16"/>
        <v>15-01-2025 to 21-01-2025</v>
      </c>
      <c r="F332" t="str">
        <f>IF(COUNTIF('Top5'!I:I, G332) &gt; 0, "Yes", "No")</f>
        <v>No</v>
      </c>
      <c r="G332" t="str">
        <f t="shared" si="17"/>
        <v>15-01-2025 to 21-01-2025</v>
      </c>
    </row>
    <row r="333" spans="1:7">
      <c r="A333" s="1">
        <v>45673</v>
      </c>
      <c r="B333" s="6">
        <v>0.57361111111111107</v>
      </c>
      <c r="C333" s="10" t="s">
        <v>71</v>
      </c>
      <c r="D333" s="7">
        <f t="shared" si="15"/>
        <v>45673.573611111111</v>
      </c>
      <c r="E333" t="str">
        <f t="shared" si="16"/>
        <v>16-01-2025 to 22-01-2025</v>
      </c>
      <c r="F333" t="str">
        <f>IF(COUNTIF('Top5'!I:I, G333) &gt; 0, "Yes", "No")</f>
        <v>No</v>
      </c>
      <c r="G333" t="str">
        <f t="shared" si="17"/>
        <v>16-01-2025 to 22-01-2025</v>
      </c>
    </row>
    <row r="334" spans="1:7">
      <c r="A334" s="1">
        <v>45673</v>
      </c>
      <c r="B334" s="6">
        <v>0.72222222222222221</v>
      </c>
      <c r="C334" s="10" t="s">
        <v>70</v>
      </c>
      <c r="D334" s="7">
        <f t="shared" si="15"/>
        <v>45673.722222222219</v>
      </c>
      <c r="E334" t="str">
        <f t="shared" si="16"/>
        <v>16-01-2025 to 22-01-2025</v>
      </c>
      <c r="F334" t="str">
        <f>IF(COUNTIF('Top5'!I:I, G334) &gt; 0, "Yes", "No")</f>
        <v>No</v>
      </c>
      <c r="G334" t="str">
        <f t="shared" si="17"/>
        <v>16-01-2025 to 22-01-2025</v>
      </c>
    </row>
    <row r="335" spans="1:7">
      <c r="A335" s="1">
        <v>45673</v>
      </c>
      <c r="B335" s="6">
        <v>0.72222222222222221</v>
      </c>
      <c r="C335" s="10" t="s">
        <v>70</v>
      </c>
      <c r="D335" s="7">
        <f t="shared" si="15"/>
        <v>45673.722222222219</v>
      </c>
      <c r="E335" t="str">
        <f t="shared" si="16"/>
        <v>16-01-2025 to 22-01-2025</v>
      </c>
      <c r="F335" t="str">
        <f>IF(COUNTIF('Top5'!I:I, G335) &gt; 0, "Yes", "No")</f>
        <v>No</v>
      </c>
      <c r="G335" t="str">
        <f t="shared" si="17"/>
        <v>16-01-2025 to 22-01-2025</v>
      </c>
    </row>
    <row r="336" spans="1:7">
      <c r="A336" s="1">
        <v>45673</v>
      </c>
      <c r="B336" s="6">
        <v>0.8</v>
      </c>
      <c r="C336" s="10" t="s">
        <v>70</v>
      </c>
      <c r="D336" s="7">
        <f t="shared" si="15"/>
        <v>45673.8</v>
      </c>
      <c r="E336" t="str">
        <f t="shared" si="16"/>
        <v>16-01-2025 to 22-01-2025</v>
      </c>
      <c r="F336" t="str">
        <f>IF(COUNTIF('Top5'!I:I, G336) &gt; 0, "Yes", "No")</f>
        <v>No</v>
      </c>
      <c r="G336" t="str">
        <f t="shared" si="17"/>
        <v>16-01-2025 to 22-01-2025</v>
      </c>
    </row>
    <row r="337" spans="1:7">
      <c r="A337" s="1">
        <v>45674</v>
      </c>
      <c r="B337" s="6">
        <v>0.78541666666666665</v>
      </c>
      <c r="C337" s="10" t="s">
        <v>70</v>
      </c>
      <c r="D337" s="7">
        <f t="shared" si="15"/>
        <v>45674.785416666666</v>
      </c>
      <c r="E337" t="str">
        <f t="shared" si="16"/>
        <v>17-01-2025 to 23-01-2025</v>
      </c>
      <c r="F337" t="str">
        <f>IF(COUNTIF('Top5'!I:I, G337) &gt; 0, "Yes", "No")</f>
        <v>No</v>
      </c>
      <c r="G337" t="str">
        <f t="shared" si="17"/>
        <v>17-01-2025 to 23-01-2025</v>
      </c>
    </row>
    <row r="338" spans="1:7">
      <c r="A338" s="1">
        <v>45674</v>
      </c>
      <c r="B338" s="6">
        <v>0.92500000000000004</v>
      </c>
      <c r="C338" s="10" t="s">
        <v>70</v>
      </c>
      <c r="D338" s="7">
        <f t="shared" si="15"/>
        <v>45674.925000000003</v>
      </c>
      <c r="E338" t="str">
        <f t="shared" si="16"/>
        <v>17-01-2025 to 23-01-2025</v>
      </c>
      <c r="F338" t="str">
        <f>IF(COUNTIF('Top5'!I:I, G338) &gt; 0, "Yes", "No")</f>
        <v>No</v>
      </c>
      <c r="G338" t="str">
        <f t="shared" si="17"/>
        <v>17-01-2025 to 23-01-2025</v>
      </c>
    </row>
    <row r="339" spans="1:7">
      <c r="A339" s="1">
        <v>45675</v>
      </c>
      <c r="B339" s="6">
        <v>0.5756944444444444</v>
      </c>
      <c r="C339" s="10" t="s">
        <v>71</v>
      </c>
      <c r="D339" s="7">
        <f t="shared" si="15"/>
        <v>45675.575694444444</v>
      </c>
      <c r="E339" t="str">
        <f t="shared" si="16"/>
        <v>18-01-2025 to 24-01-2025</v>
      </c>
      <c r="F339" t="str">
        <f>IF(COUNTIF('Top5'!I:I, G339) &gt; 0, "Yes", "No")</f>
        <v>No</v>
      </c>
      <c r="G339" t="str">
        <f t="shared" si="17"/>
        <v>18-01-2025 to 24-01-2025</v>
      </c>
    </row>
    <row r="340" spans="1:7">
      <c r="A340" s="1">
        <v>45675</v>
      </c>
      <c r="B340" s="6">
        <v>0.5756944444444444</v>
      </c>
      <c r="C340" s="10" t="s">
        <v>71</v>
      </c>
      <c r="D340" s="7">
        <f t="shared" si="15"/>
        <v>45675.575694444444</v>
      </c>
      <c r="E340" t="str">
        <f t="shared" si="16"/>
        <v>18-01-2025 to 24-01-2025</v>
      </c>
      <c r="F340" t="str">
        <f>IF(COUNTIF('Top5'!I:I, G340) &gt; 0, "Yes", "No")</f>
        <v>No</v>
      </c>
      <c r="G340" t="str">
        <f t="shared" si="17"/>
        <v>18-01-2025 to 24-01-2025</v>
      </c>
    </row>
    <row r="341" spans="1:7">
      <c r="A341" s="1">
        <v>45675</v>
      </c>
      <c r="B341" s="6">
        <v>0.57777777777777772</v>
      </c>
      <c r="C341" s="10" t="s">
        <v>71</v>
      </c>
      <c r="D341" s="7">
        <f t="shared" si="15"/>
        <v>45675.577777777777</v>
      </c>
      <c r="E341" t="str">
        <f t="shared" si="16"/>
        <v>18-01-2025 to 24-01-2025</v>
      </c>
      <c r="F341" t="str">
        <f>IF(COUNTIF('Top5'!I:I, G341) &gt; 0, "Yes", "No")</f>
        <v>No</v>
      </c>
      <c r="G341" t="str">
        <f t="shared" si="17"/>
        <v>18-01-2025 to 24-01-2025</v>
      </c>
    </row>
    <row r="342" spans="1:7">
      <c r="A342" s="1">
        <v>45675</v>
      </c>
      <c r="B342" s="6">
        <v>0.77152777777777781</v>
      </c>
      <c r="C342" s="10" t="s">
        <v>70</v>
      </c>
      <c r="D342" s="7">
        <f t="shared" si="15"/>
        <v>45675.771527777775</v>
      </c>
      <c r="E342" t="str">
        <f t="shared" si="16"/>
        <v>18-01-2025 to 24-01-2025</v>
      </c>
      <c r="F342" t="str">
        <f>IF(COUNTIF('Top5'!I:I, G342) &gt; 0, "Yes", "No")</f>
        <v>No</v>
      </c>
      <c r="G342" t="str">
        <f t="shared" si="17"/>
        <v>18-01-2025 to 24-01-2025</v>
      </c>
    </row>
    <row r="343" spans="1:7">
      <c r="A343" s="1">
        <v>45675</v>
      </c>
      <c r="B343" s="6">
        <v>0.84097222222222223</v>
      </c>
      <c r="C343" s="10" t="s">
        <v>70</v>
      </c>
      <c r="D343" s="7">
        <f t="shared" si="15"/>
        <v>45675.84097222222</v>
      </c>
      <c r="E343" t="str">
        <f t="shared" si="16"/>
        <v>18-01-2025 to 24-01-2025</v>
      </c>
      <c r="F343" t="str">
        <f>IF(COUNTIF('Top5'!I:I, G343) &gt; 0, "Yes", "No")</f>
        <v>No</v>
      </c>
      <c r="G343" t="str">
        <f t="shared" si="17"/>
        <v>18-01-2025 to 24-01-2025</v>
      </c>
    </row>
    <row r="344" spans="1:7">
      <c r="A344" s="1">
        <v>45675</v>
      </c>
      <c r="B344" s="6">
        <v>0.84583333333333333</v>
      </c>
      <c r="C344" s="10" t="s">
        <v>70</v>
      </c>
      <c r="D344" s="7">
        <f t="shared" si="15"/>
        <v>45675.845833333333</v>
      </c>
      <c r="E344" t="str">
        <f t="shared" si="16"/>
        <v>18-01-2025 to 24-01-2025</v>
      </c>
      <c r="F344" t="str">
        <f>IF(COUNTIF('Top5'!I:I, G344) &gt; 0, "Yes", "No")</f>
        <v>No</v>
      </c>
      <c r="G344" t="str">
        <f t="shared" si="17"/>
        <v>18-01-2025 to 24-01-2025</v>
      </c>
    </row>
    <row r="345" spans="1:7">
      <c r="A345" s="1">
        <v>45675</v>
      </c>
      <c r="B345" s="6">
        <v>0.84791666666666665</v>
      </c>
      <c r="C345" s="10" t="s">
        <v>70</v>
      </c>
      <c r="D345" s="7">
        <f t="shared" si="15"/>
        <v>45675.847916666666</v>
      </c>
      <c r="E345" t="str">
        <f t="shared" si="16"/>
        <v>18-01-2025 to 24-01-2025</v>
      </c>
      <c r="F345" t="str">
        <f>IF(COUNTIF('Top5'!I:I, G345) &gt; 0, "Yes", "No")</f>
        <v>No</v>
      </c>
      <c r="G345" t="str">
        <f t="shared" si="17"/>
        <v>18-01-2025 to 24-01-2025</v>
      </c>
    </row>
    <row r="346" spans="1:7">
      <c r="A346" s="1">
        <v>45675</v>
      </c>
      <c r="B346" s="6">
        <v>0.84861111111111109</v>
      </c>
      <c r="C346" s="10" t="s">
        <v>70</v>
      </c>
      <c r="D346" s="7">
        <f t="shared" si="15"/>
        <v>45675.848611111112</v>
      </c>
      <c r="E346" t="str">
        <f t="shared" si="16"/>
        <v>18-01-2025 to 24-01-2025</v>
      </c>
      <c r="F346" t="str">
        <f>IF(COUNTIF('Top5'!I:I, G346) &gt; 0, "Yes", "No")</f>
        <v>No</v>
      </c>
      <c r="G346" t="str">
        <f t="shared" si="17"/>
        <v>18-01-2025 to 24-01-2025</v>
      </c>
    </row>
    <row r="347" spans="1:7">
      <c r="A347" s="1">
        <v>45675</v>
      </c>
      <c r="B347" s="6">
        <v>0.93819444444444444</v>
      </c>
      <c r="C347" s="10" t="s">
        <v>70</v>
      </c>
      <c r="D347" s="7">
        <f t="shared" si="15"/>
        <v>45675.938194444447</v>
      </c>
      <c r="E347" t="str">
        <f t="shared" si="16"/>
        <v>18-01-2025 to 24-01-2025</v>
      </c>
      <c r="F347" t="str">
        <f>IF(COUNTIF('Top5'!I:I, G347) &gt; 0, "Yes", "No")</f>
        <v>No</v>
      </c>
      <c r="G347" t="str">
        <f t="shared" si="17"/>
        <v>18-01-2025 to 24-01-2025</v>
      </c>
    </row>
    <row r="348" spans="1:7">
      <c r="A348" s="1">
        <v>45676</v>
      </c>
      <c r="B348" s="6">
        <v>1.0416666666666666E-2</v>
      </c>
      <c r="C348" s="10" t="s">
        <v>70</v>
      </c>
      <c r="D348" s="7">
        <f t="shared" si="15"/>
        <v>45676.010416666664</v>
      </c>
      <c r="E348" t="str">
        <f t="shared" si="16"/>
        <v>19-01-2025 to 25-01-2025</v>
      </c>
      <c r="F348" t="str">
        <f>IF(COUNTIF('Top5'!I:I, G348) &gt; 0, "Yes", "No")</f>
        <v>No</v>
      </c>
      <c r="G348" t="str">
        <f t="shared" si="17"/>
        <v>19-01-2025 to 25-01-2025</v>
      </c>
    </row>
    <row r="349" spans="1:7">
      <c r="A349" s="1">
        <v>45676</v>
      </c>
      <c r="B349" s="6">
        <v>1.0416666666666666E-2</v>
      </c>
      <c r="C349" s="10" t="s">
        <v>70</v>
      </c>
      <c r="D349" s="7">
        <f t="shared" si="15"/>
        <v>45676.010416666664</v>
      </c>
      <c r="E349" t="str">
        <f t="shared" si="16"/>
        <v>19-01-2025 to 25-01-2025</v>
      </c>
      <c r="F349" t="str">
        <f>IF(COUNTIF('Top5'!I:I, G349) &gt; 0, "Yes", "No")</f>
        <v>No</v>
      </c>
      <c r="G349" t="str">
        <f t="shared" si="17"/>
        <v>19-01-2025 to 25-01-2025</v>
      </c>
    </row>
    <row r="350" spans="1:7">
      <c r="A350" s="1">
        <v>45676</v>
      </c>
      <c r="B350" s="6">
        <v>1.0416666666666666E-2</v>
      </c>
      <c r="C350" s="10" t="s">
        <v>70</v>
      </c>
      <c r="D350" s="7">
        <f t="shared" si="15"/>
        <v>45676.010416666664</v>
      </c>
      <c r="E350" t="str">
        <f t="shared" si="16"/>
        <v>19-01-2025 to 25-01-2025</v>
      </c>
      <c r="F350" t="str">
        <f>IF(COUNTIF('Top5'!I:I, G350) &gt; 0, "Yes", "No")</f>
        <v>No</v>
      </c>
      <c r="G350" t="str">
        <f t="shared" si="17"/>
        <v>19-01-2025 to 25-01-2025</v>
      </c>
    </row>
    <row r="351" spans="1:7">
      <c r="A351" s="1">
        <v>45676</v>
      </c>
      <c r="B351" s="6">
        <v>1.0416666666666666E-2</v>
      </c>
      <c r="C351" s="10" t="s">
        <v>70</v>
      </c>
      <c r="D351" s="7">
        <f t="shared" si="15"/>
        <v>45676.010416666664</v>
      </c>
      <c r="E351" t="str">
        <f t="shared" si="16"/>
        <v>19-01-2025 to 25-01-2025</v>
      </c>
      <c r="F351" t="str">
        <f>IF(COUNTIF('Top5'!I:I, G351) &gt; 0, "Yes", "No")</f>
        <v>No</v>
      </c>
      <c r="G351" t="str">
        <f t="shared" si="17"/>
        <v>19-01-2025 to 25-01-2025</v>
      </c>
    </row>
    <row r="352" spans="1:7">
      <c r="A352" s="1">
        <v>45676</v>
      </c>
      <c r="B352" s="6">
        <v>1.3888888888888888E-2</v>
      </c>
      <c r="C352" s="10" t="s">
        <v>70</v>
      </c>
      <c r="D352" s="7">
        <f t="shared" si="15"/>
        <v>45676.013888888891</v>
      </c>
      <c r="E352" t="str">
        <f t="shared" si="16"/>
        <v>19-01-2025 to 25-01-2025</v>
      </c>
      <c r="F352" t="str">
        <f>IF(COUNTIF('Top5'!I:I, G352) &gt; 0, "Yes", "No")</f>
        <v>No</v>
      </c>
      <c r="G352" t="str">
        <f t="shared" si="17"/>
        <v>19-01-2025 to 25-01-2025</v>
      </c>
    </row>
    <row r="353" spans="1:7">
      <c r="A353" s="1">
        <v>45676</v>
      </c>
      <c r="B353" s="6">
        <v>1.5277777777777777E-2</v>
      </c>
      <c r="C353" s="10" t="s">
        <v>70</v>
      </c>
      <c r="D353" s="7">
        <f t="shared" si="15"/>
        <v>45676.015277777777</v>
      </c>
      <c r="E353" t="str">
        <f t="shared" si="16"/>
        <v>19-01-2025 to 25-01-2025</v>
      </c>
      <c r="F353" t="str">
        <f>IF(COUNTIF('Top5'!I:I, G353) &gt; 0, "Yes", "No")</f>
        <v>No</v>
      </c>
      <c r="G353" t="str">
        <f t="shared" si="17"/>
        <v>19-01-2025 to 25-01-2025</v>
      </c>
    </row>
    <row r="354" spans="1:7">
      <c r="A354" s="1">
        <v>45676</v>
      </c>
      <c r="B354" s="6">
        <v>0.67083333333333328</v>
      </c>
      <c r="C354" s="10" t="s">
        <v>71</v>
      </c>
      <c r="D354" s="7">
        <f t="shared" si="15"/>
        <v>45676.67083333333</v>
      </c>
      <c r="E354" t="str">
        <f t="shared" si="16"/>
        <v>19-01-2025 to 25-01-2025</v>
      </c>
      <c r="F354" t="str">
        <f>IF(COUNTIF('Top5'!I:I, G354) &gt; 0, "Yes", "No")</f>
        <v>No</v>
      </c>
      <c r="G354" t="str">
        <f t="shared" si="17"/>
        <v>19-01-2025 to 25-01-2025</v>
      </c>
    </row>
    <row r="355" spans="1:7">
      <c r="A355" s="1">
        <v>45676</v>
      </c>
      <c r="B355" s="6">
        <v>0.75277777777777777</v>
      </c>
      <c r="C355" s="10" t="s">
        <v>70</v>
      </c>
      <c r="D355" s="7">
        <f t="shared" si="15"/>
        <v>45676.75277777778</v>
      </c>
      <c r="E355" t="str">
        <f t="shared" si="16"/>
        <v>19-01-2025 to 25-01-2025</v>
      </c>
      <c r="F355" t="str">
        <f>IF(COUNTIF('Top5'!I:I, G355) &gt; 0, "Yes", "No")</f>
        <v>No</v>
      </c>
      <c r="G355" t="str">
        <f t="shared" si="17"/>
        <v>19-01-2025 to 25-01-2025</v>
      </c>
    </row>
    <row r="356" spans="1:7">
      <c r="A356" s="1">
        <v>45678</v>
      </c>
      <c r="B356" s="6">
        <v>0.48958333333333331</v>
      </c>
      <c r="C356" s="10" t="s">
        <v>22</v>
      </c>
      <c r="D356" s="7">
        <f t="shared" si="15"/>
        <v>45678.489583333336</v>
      </c>
      <c r="E356" t="str">
        <f t="shared" si="16"/>
        <v>21-01-2025 to 27-01-2025</v>
      </c>
      <c r="F356" t="str">
        <f>IF(COUNTIF('Top5'!I:I, G356) &gt; 0, "Yes", "No")</f>
        <v>No</v>
      </c>
      <c r="G356" t="str">
        <f t="shared" si="17"/>
        <v>21-01-2025 to 27-01-2025</v>
      </c>
    </row>
    <row r="357" spans="1:7">
      <c r="A357" s="1">
        <v>45681</v>
      </c>
      <c r="B357" s="6">
        <v>0.77013888888888893</v>
      </c>
      <c r="C357" s="10" t="s">
        <v>70</v>
      </c>
      <c r="D357" s="7">
        <f t="shared" si="15"/>
        <v>45681.770138888889</v>
      </c>
      <c r="E357" t="str">
        <f t="shared" si="16"/>
        <v>24-01-2025 to 30-01-2025</v>
      </c>
      <c r="F357" t="str">
        <f>IF(COUNTIF('Top5'!I:I, G357) &gt; 0, "Yes", "No")</f>
        <v>No</v>
      </c>
      <c r="G357" t="str">
        <f t="shared" si="17"/>
        <v>24-01-2025 to 30-01-2025</v>
      </c>
    </row>
    <row r="358" spans="1:7">
      <c r="A358" s="1">
        <v>45683</v>
      </c>
      <c r="B358" s="6">
        <v>0.46388888888888891</v>
      </c>
      <c r="C358" s="10" t="s">
        <v>22</v>
      </c>
      <c r="D358" s="7">
        <f t="shared" si="15"/>
        <v>45683.463888888888</v>
      </c>
      <c r="E358" t="str">
        <f t="shared" si="16"/>
        <v>26-01-2025 to 01-02-2025</v>
      </c>
      <c r="F358" t="str">
        <f>IF(COUNTIF('Top5'!I:I, G358) &gt; 0, "Yes", "No")</f>
        <v>No</v>
      </c>
      <c r="G358" t="str">
        <f t="shared" si="17"/>
        <v>26-01-2025 to 01-02-2025</v>
      </c>
    </row>
    <row r="359" spans="1:7">
      <c r="A359" s="1">
        <v>45683</v>
      </c>
      <c r="B359" s="6">
        <v>0.46875</v>
      </c>
      <c r="C359" s="10" t="s">
        <v>22</v>
      </c>
      <c r="D359" s="7">
        <f t="shared" si="15"/>
        <v>45683.46875</v>
      </c>
      <c r="E359" t="str">
        <f t="shared" si="16"/>
        <v>26-01-2025 to 01-02-2025</v>
      </c>
      <c r="F359" t="str">
        <f>IF(COUNTIF('Top5'!I:I, G359) &gt; 0, "Yes", "No")</f>
        <v>No</v>
      </c>
      <c r="G359" t="str">
        <f t="shared" si="17"/>
        <v>26-01-2025 to 01-02-2025</v>
      </c>
    </row>
    <row r="360" spans="1:7">
      <c r="A360" s="1">
        <v>45683</v>
      </c>
      <c r="B360" s="6">
        <v>0.98541666666666672</v>
      </c>
      <c r="C360" s="10" t="s">
        <v>70</v>
      </c>
      <c r="D360" s="7">
        <f t="shared" si="15"/>
        <v>45683.98541666667</v>
      </c>
      <c r="E360" t="str">
        <f t="shared" si="16"/>
        <v>26-01-2025 to 01-02-2025</v>
      </c>
      <c r="F360" t="str">
        <f>IF(COUNTIF('Top5'!I:I, G360) &gt; 0, "Yes", "No")</f>
        <v>No</v>
      </c>
      <c r="G360" t="str">
        <f t="shared" si="17"/>
        <v>26-01-2025 to 01-02-2025</v>
      </c>
    </row>
    <row r="361" spans="1:7">
      <c r="A361" s="1">
        <v>45683</v>
      </c>
      <c r="B361" s="6">
        <v>0.98611111111111116</v>
      </c>
      <c r="C361" s="10" t="s">
        <v>70</v>
      </c>
      <c r="D361" s="7">
        <f t="shared" si="15"/>
        <v>45683.986111111109</v>
      </c>
      <c r="E361" t="str">
        <f t="shared" si="16"/>
        <v>26-01-2025 to 01-02-2025</v>
      </c>
      <c r="F361" t="str">
        <f>IF(COUNTIF('Top5'!I:I, G361) &gt; 0, "Yes", "No")</f>
        <v>No</v>
      </c>
      <c r="G361" t="str">
        <f t="shared" si="17"/>
        <v>26-01-2025 to 01-02-2025</v>
      </c>
    </row>
    <row r="362" spans="1:7">
      <c r="A362" s="1">
        <v>45684</v>
      </c>
      <c r="B362" s="6">
        <v>2.0833333333333333E-3</v>
      </c>
      <c r="C362" s="10" t="s">
        <v>70</v>
      </c>
      <c r="D362" s="7">
        <f t="shared" si="15"/>
        <v>45684.002083333333</v>
      </c>
      <c r="E362" t="str">
        <f t="shared" si="16"/>
        <v>27-01-2025 to 02-02-2025</v>
      </c>
      <c r="F362" t="str">
        <f>IF(COUNTIF('Top5'!I:I, G362) &gt; 0, "Yes", "No")</f>
        <v>No</v>
      </c>
      <c r="G362" t="str">
        <f t="shared" si="17"/>
        <v>27-01-2025 to 02-02-2025</v>
      </c>
    </row>
    <row r="363" spans="1:7">
      <c r="A363" s="1">
        <v>45684</v>
      </c>
      <c r="B363" s="6">
        <v>2.7777777777777779E-3</v>
      </c>
      <c r="C363" s="10" t="s">
        <v>70</v>
      </c>
      <c r="D363" s="7">
        <f t="shared" si="15"/>
        <v>45684.00277777778</v>
      </c>
      <c r="E363" t="str">
        <f t="shared" si="16"/>
        <v>27-01-2025 to 02-02-2025</v>
      </c>
      <c r="F363" t="str">
        <f>IF(COUNTIF('Top5'!I:I, G363) &gt; 0, "Yes", "No")</f>
        <v>No</v>
      </c>
      <c r="G363" t="str">
        <f t="shared" si="17"/>
        <v>27-01-2025 to 02-02-2025</v>
      </c>
    </row>
    <row r="364" spans="1:7">
      <c r="A364" s="1">
        <v>45685</v>
      </c>
      <c r="B364" s="6">
        <v>0.53263888888888888</v>
      </c>
      <c r="C364" s="10" t="s">
        <v>71</v>
      </c>
      <c r="D364" s="7">
        <f t="shared" si="15"/>
        <v>45685.532638888886</v>
      </c>
      <c r="E364" t="str">
        <f t="shared" si="16"/>
        <v>28-01-2025 to 03-02-2025</v>
      </c>
      <c r="F364" t="str">
        <f>IF(COUNTIF('Top5'!I:I, G364) &gt; 0, "Yes", "No")</f>
        <v>No</v>
      </c>
      <c r="G364" t="str">
        <f t="shared" si="17"/>
        <v>28-01-2025 to 03-02-2025</v>
      </c>
    </row>
    <row r="365" spans="1:7">
      <c r="A365" s="1">
        <v>45686</v>
      </c>
      <c r="B365" s="6">
        <v>7.6388888888888886E-3</v>
      </c>
      <c r="C365" s="10" t="s">
        <v>70</v>
      </c>
      <c r="D365" s="7">
        <f t="shared" si="15"/>
        <v>45686.007638888892</v>
      </c>
      <c r="E365" t="str">
        <f t="shared" si="16"/>
        <v>29-01-2025 to 04-02-2025</v>
      </c>
      <c r="F365" t="str">
        <f>IF(COUNTIF('Top5'!I:I, G365) &gt; 0, "Yes", "No")</f>
        <v>No</v>
      </c>
      <c r="G365" t="str">
        <f t="shared" si="17"/>
        <v>29-01-2025 to 04-02-2025</v>
      </c>
    </row>
    <row r="366" spans="1:7">
      <c r="A366" s="1">
        <v>45686</v>
      </c>
      <c r="B366" s="6">
        <v>7.6388888888888886E-3</v>
      </c>
      <c r="C366" s="10" t="s">
        <v>70</v>
      </c>
      <c r="D366" s="7">
        <f t="shared" si="15"/>
        <v>45686.007638888892</v>
      </c>
      <c r="E366" t="str">
        <f t="shared" si="16"/>
        <v>29-01-2025 to 04-02-2025</v>
      </c>
      <c r="F366" t="str">
        <f>IF(COUNTIF('Top5'!I:I, G366) &gt; 0, "Yes", "No")</f>
        <v>No</v>
      </c>
      <c r="G366" t="str">
        <f t="shared" si="17"/>
        <v>29-01-2025 to 04-02-2025</v>
      </c>
    </row>
    <row r="367" spans="1:7">
      <c r="A367" s="1">
        <v>45686</v>
      </c>
      <c r="B367" s="6">
        <v>7.6388888888888886E-3</v>
      </c>
      <c r="C367" s="10" t="s">
        <v>70</v>
      </c>
      <c r="D367" s="7">
        <f t="shared" si="15"/>
        <v>45686.007638888892</v>
      </c>
      <c r="E367" t="str">
        <f t="shared" si="16"/>
        <v>29-01-2025 to 04-02-2025</v>
      </c>
      <c r="F367" t="str">
        <f>IF(COUNTIF('Top5'!I:I, G367) &gt; 0, "Yes", "No")</f>
        <v>No</v>
      </c>
      <c r="G367" t="str">
        <f t="shared" si="17"/>
        <v>29-01-2025 to 04-02-2025</v>
      </c>
    </row>
    <row r="368" spans="1:7">
      <c r="A368" s="1">
        <v>45686</v>
      </c>
      <c r="B368" s="6">
        <v>7.6388888888888886E-3</v>
      </c>
      <c r="C368" s="10" t="s">
        <v>70</v>
      </c>
      <c r="D368" s="7">
        <f t="shared" si="15"/>
        <v>45686.007638888892</v>
      </c>
      <c r="E368" t="str">
        <f t="shared" si="16"/>
        <v>29-01-2025 to 04-02-2025</v>
      </c>
      <c r="F368" t="str">
        <f>IF(COUNTIF('Top5'!I:I, G368) &gt; 0, "Yes", "No")</f>
        <v>No</v>
      </c>
      <c r="G368" t="str">
        <f t="shared" si="17"/>
        <v>29-01-2025 to 04-02-2025</v>
      </c>
    </row>
    <row r="369" spans="1:7">
      <c r="A369" s="1">
        <v>45686</v>
      </c>
      <c r="B369" s="6">
        <v>9.0277777777777769E-3</v>
      </c>
      <c r="C369" s="10" t="s">
        <v>70</v>
      </c>
      <c r="D369" s="7">
        <f t="shared" si="15"/>
        <v>45686.009027777778</v>
      </c>
      <c r="E369" t="str">
        <f t="shared" si="16"/>
        <v>29-01-2025 to 04-02-2025</v>
      </c>
      <c r="F369" t="str">
        <f>IF(COUNTIF('Top5'!I:I, G369) &gt; 0, "Yes", "No")</f>
        <v>No</v>
      </c>
      <c r="G369" t="str">
        <f t="shared" si="17"/>
        <v>29-01-2025 to 04-02-2025</v>
      </c>
    </row>
    <row r="370" spans="1:7">
      <c r="A370" s="1">
        <v>45686</v>
      </c>
      <c r="B370" s="6">
        <v>9.0277777777777769E-3</v>
      </c>
      <c r="C370" s="10" t="s">
        <v>70</v>
      </c>
      <c r="D370" s="7">
        <f t="shared" si="15"/>
        <v>45686.009027777778</v>
      </c>
      <c r="E370" t="str">
        <f t="shared" si="16"/>
        <v>29-01-2025 to 04-02-2025</v>
      </c>
      <c r="F370" t="str">
        <f>IF(COUNTIF('Top5'!I:I, G370) &gt; 0, "Yes", "No")</f>
        <v>No</v>
      </c>
      <c r="G370" t="str">
        <f t="shared" si="17"/>
        <v>29-01-2025 to 04-02-2025</v>
      </c>
    </row>
    <row r="371" spans="1:7">
      <c r="A371" s="1">
        <v>45686</v>
      </c>
      <c r="B371" s="6">
        <v>0.79583333333333328</v>
      </c>
      <c r="C371" s="10" t="s">
        <v>70</v>
      </c>
      <c r="D371" s="7">
        <f t="shared" si="15"/>
        <v>45686.79583333333</v>
      </c>
      <c r="E371" t="str">
        <f t="shared" si="16"/>
        <v>29-01-2025 to 04-02-2025</v>
      </c>
      <c r="F371" t="str">
        <f>IF(COUNTIF('Top5'!I:I, G371) &gt; 0, "Yes", "No")</f>
        <v>No</v>
      </c>
      <c r="G371" t="str">
        <f t="shared" si="17"/>
        <v>29-01-2025 to 04-02-2025</v>
      </c>
    </row>
    <row r="372" spans="1:7">
      <c r="A372" s="1">
        <v>45687</v>
      </c>
      <c r="B372" s="6">
        <v>0.65486111111111112</v>
      </c>
      <c r="C372" s="10" t="s">
        <v>71</v>
      </c>
      <c r="D372" s="7">
        <f t="shared" si="15"/>
        <v>45687.654861111114</v>
      </c>
      <c r="E372" t="str">
        <f t="shared" si="16"/>
        <v>30-01-2025 to 05-02-2025</v>
      </c>
      <c r="F372" t="str">
        <f>IF(COUNTIF('Top5'!I:I, G372) &gt; 0, "Yes", "No")</f>
        <v>No</v>
      </c>
      <c r="G372" t="str">
        <f t="shared" si="17"/>
        <v>30-01-2025 to 05-02-2025</v>
      </c>
    </row>
    <row r="373" spans="1:7">
      <c r="A373" s="1">
        <v>45687</v>
      </c>
      <c r="B373" s="6">
        <v>0.65486111111111112</v>
      </c>
      <c r="C373" s="10" t="s">
        <v>71</v>
      </c>
      <c r="D373" s="7">
        <f t="shared" si="15"/>
        <v>45687.654861111114</v>
      </c>
      <c r="E373" t="str">
        <f t="shared" si="16"/>
        <v>30-01-2025 to 05-02-2025</v>
      </c>
      <c r="F373" t="str">
        <f>IF(COUNTIF('Top5'!I:I, G373) &gt; 0, "Yes", "No")</f>
        <v>No</v>
      </c>
      <c r="G373" t="str">
        <f t="shared" si="17"/>
        <v>30-01-2025 to 05-02-2025</v>
      </c>
    </row>
    <row r="374" spans="1:7">
      <c r="A374" s="1">
        <v>45687</v>
      </c>
      <c r="B374" s="6">
        <v>0.65555555555555556</v>
      </c>
      <c r="C374" s="10" t="s">
        <v>71</v>
      </c>
      <c r="D374" s="7">
        <f t="shared" si="15"/>
        <v>45687.655555555553</v>
      </c>
      <c r="E374" t="str">
        <f t="shared" si="16"/>
        <v>30-01-2025 to 05-02-2025</v>
      </c>
      <c r="F374" t="str">
        <f>IF(COUNTIF('Top5'!I:I, G374) &gt; 0, "Yes", "No")</f>
        <v>No</v>
      </c>
      <c r="G374" t="str">
        <f t="shared" si="17"/>
        <v>30-01-2025 to 05-02-2025</v>
      </c>
    </row>
    <row r="375" spans="1:7">
      <c r="A375" s="1">
        <v>45687</v>
      </c>
      <c r="B375" s="6">
        <v>0.68472222222222223</v>
      </c>
      <c r="C375" s="10" t="s">
        <v>71</v>
      </c>
      <c r="D375" s="7">
        <f t="shared" si="15"/>
        <v>45687.68472222222</v>
      </c>
      <c r="E375" t="str">
        <f t="shared" si="16"/>
        <v>30-01-2025 to 05-02-2025</v>
      </c>
      <c r="F375" t="str">
        <f>IF(COUNTIF('Top5'!I:I, G375) &gt; 0, "Yes", "No")</f>
        <v>No</v>
      </c>
      <c r="G375" t="str">
        <f t="shared" si="17"/>
        <v>30-01-2025 to 05-02-2025</v>
      </c>
    </row>
    <row r="376" spans="1:7">
      <c r="A376" s="1">
        <v>45687</v>
      </c>
      <c r="B376" s="6">
        <v>0.92222222222222228</v>
      </c>
      <c r="C376" s="10" t="s">
        <v>70</v>
      </c>
      <c r="D376" s="7">
        <f t="shared" si="15"/>
        <v>45687.922222222223</v>
      </c>
      <c r="E376" t="str">
        <f t="shared" si="16"/>
        <v>30-01-2025 to 05-02-2025</v>
      </c>
      <c r="F376" t="str">
        <f>IF(COUNTIF('Top5'!I:I, G376) &gt; 0, "Yes", "No")</f>
        <v>No</v>
      </c>
      <c r="G376" t="str">
        <f t="shared" si="17"/>
        <v>30-01-2025 to 05-02-2025</v>
      </c>
    </row>
    <row r="377" spans="1:7">
      <c r="A377" s="1">
        <v>45688</v>
      </c>
      <c r="B377" s="6">
        <v>0.58611111111111114</v>
      </c>
      <c r="C377" s="10" t="s">
        <v>71</v>
      </c>
      <c r="D377" s="7">
        <f t="shared" si="15"/>
        <v>45688.586111111108</v>
      </c>
      <c r="E377" t="str">
        <f t="shared" si="16"/>
        <v>31-01-2025 to 06-02-2025</v>
      </c>
      <c r="F377" t="str">
        <f>IF(COUNTIF('Top5'!I:I, G377) &gt; 0, "Yes", "No")</f>
        <v>No</v>
      </c>
      <c r="G377" t="str">
        <f t="shared" si="17"/>
        <v>31-01-2025 to 06-02-2025</v>
      </c>
    </row>
    <row r="378" spans="1:7">
      <c r="A378" s="1">
        <v>45688</v>
      </c>
      <c r="B378" s="6">
        <v>0.61250000000000004</v>
      </c>
      <c r="C378" s="10" t="s">
        <v>71</v>
      </c>
      <c r="D378" s="7">
        <f t="shared" si="15"/>
        <v>45688.612500000003</v>
      </c>
      <c r="E378" t="str">
        <f t="shared" si="16"/>
        <v>31-01-2025 to 06-02-2025</v>
      </c>
      <c r="F378" t="str">
        <f>IF(COUNTIF('Top5'!I:I, G378) &gt; 0, "Yes", "No")</f>
        <v>No</v>
      </c>
      <c r="G378" t="str">
        <f t="shared" si="17"/>
        <v>31-01-2025 to 06-02-2025</v>
      </c>
    </row>
    <row r="379" spans="1:7">
      <c r="A379" s="1">
        <v>45689</v>
      </c>
      <c r="B379" s="6">
        <v>0.36249999999999999</v>
      </c>
      <c r="C379" s="10" t="s">
        <v>22</v>
      </c>
      <c r="D379" s="7">
        <f t="shared" si="15"/>
        <v>45689.362500000003</v>
      </c>
      <c r="E379" t="str">
        <f t="shared" si="16"/>
        <v>01-02-2025 to 07-02-2025</v>
      </c>
      <c r="F379" t="str">
        <f>IF(COUNTIF('Top5'!I:I, G379) &gt; 0, "Yes", "No")</f>
        <v>No</v>
      </c>
      <c r="G379" t="str">
        <f t="shared" si="17"/>
        <v>01-02-2025 to 07-02-2025</v>
      </c>
    </row>
    <row r="380" spans="1:7">
      <c r="A380" s="1">
        <v>45689</v>
      </c>
      <c r="B380" s="6">
        <v>0.36249999999999999</v>
      </c>
      <c r="C380" s="10" t="s">
        <v>22</v>
      </c>
      <c r="D380" s="7">
        <f t="shared" si="15"/>
        <v>45689.362500000003</v>
      </c>
      <c r="E380" t="str">
        <f t="shared" si="16"/>
        <v>01-02-2025 to 07-02-2025</v>
      </c>
      <c r="F380" t="str">
        <f>IF(COUNTIF('Top5'!I:I, G380) &gt; 0, "Yes", "No")</f>
        <v>No</v>
      </c>
      <c r="G380" t="str">
        <f t="shared" si="17"/>
        <v>01-02-2025 to 07-02-2025</v>
      </c>
    </row>
    <row r="381" spans="1:7">
      <c r="A381" s="1">
        <v>45689</v>
      </c>
      <c r="B381" s="6">
        <v>0.40416666666666667</v>
      </c>
      <c r="C381" s="10" t="s">
        <v>22</v>
      </c>
      <c r="D381" s="7">
        <f t="shared" si="15"/>
        <v>45689.404166666667</v>
      </c>
      <c r="E381" t="str">
        <f t="shared" si="16"/>
        <v>01-02-2025 to 07-02-2025</v>
      </c>
      <c r="F381" t="str">
        <f>IF(COUNTIF('Top5'!I:I, G381) &gt; 0, "Yes", "No")</f>
        <v>No</v>
      </c>
      <c r="G381" t="str">
        <f t="shared" si="17"/>
        <v>01-02-2025 to 07-02-2025</v>
      </c>
    </row>
    <row r="382" spans="1:7">
      <c r="A382" s="1">
        <v>45689</v>
      </c>
      <c r="B382" s="6">
        <v>0.44583333333333336</v>
      </c>
      <c r="C382" s="10" t="s">
        <v>22</v>
      </c>
      <c r="D382" s="7">
        <f t="shared" si="15"/>
        <v>45689.445833333331</v>
      </c>
      <c r="E382" t="str">
        <f t="shared" si="16"/>
        <v>01-02-2025 to 07-02-2025</v>
      </c>
      <c r="F382" t="str">
        <f>IF(COUNTIF('Top5'!I:I, G382) &gt; 0, "Yes", "No")</f>
        <v>No</v>
      </c>
      <c r="G382" t="str">
        <f t="shared" si="17"/>
        <v>01-02-2025 to 07-02-2025</v>
      </c>
    </row>
    <row r="383" spans="1:7">
      <c r="A383" s="1">
        <v>45689</v>
      </c>
      <c r="B383" s="6">
        <v>0.44583333333333336</v>
      </c>
      <c r="C383" s="10" t="s">
        <v>22</v>
      </c>
      <c r="D383" s="7">
        <f t="shared" si="15"/>
        <v>45689.445833333331</v>
      </c>
      <c r="E383" t="str">
        <f t="shared" si="16"/>
        <v>01-02-2025 to 07-02-2025</v>
      </c>
      <c r="F383" t="str">
        <f>IF(COUNTIF('Top5'!I:I, G383) &gt; 0, "Yes", "No")</f>
        <v>No</v>
      </c>
      <c r="G383" t="str">
        <f t="shared" si="17"/>
        <v>01-02-2025 to 07-02-2025</v>
      </c>
    </row>
    <row r="384" spans="1:7">
      <c r="A384" s="1">
        <v>45689</v>
      </c>
      <c r="B384" s="6">
        <v>0.4513888888888889</v>
      </c>
      <c r="C384" s="10" t="s">
        <v>22</v>
      </c>
      <c r="D384" s="7">
        <f t="shared" si="15"/>
        <v>45689.451388888891</v>
      </c>
      <c r="E384" t="str">
        <f t="shared" si="16"/>
        <v>01-02-2025 to 07-02-2025</v>
      </c>
      <c r="F384" t="str">
        <f>IF(COUNTIF('Top5'!I:I, G384) &gt; 0, "Yes", "No")</f>
        <v>No</v>
      </c>
      <c r="G384" t="str">
        <f t="shared" si="17"/>
        <v>01-02-2025 to 07-02-2025</v>
      </c>
    </row>
    <row r="385" spans="1:7">
      <c r="A385" s="1">
        <v>45689</v>
      </c>
      <c r="B385" s="6">
        <v>0.64027777777777772</v>
      </c>
      <c r="C385" s="10" t="s">
        <v>71</v>
      </c>
      <c r="D385" s="7">
        <f t="shared" si="15"/>
        <v>45689.640277777777</v>
      </c>
      <c r="E385" t="str">
        <f t="shared" si="16"/>
        <v>01-02-2025 to 07-02-2025</v>
      </c>
      <c r="F385" t="str">
        <f>IF(COUNTIF('Top5'!I:I, G385) &gt; 0, "Yes", "No")</f>
        <v>No</v>
      </c>
      <c r="G385" t="str">
        <f t="shared" si="17"/>
        <v>01-02-2025 to 07-02-2025</v>
      </c>
    </row>
    <row r="386" spans="1:7">
      <c r="A386" s="1">
        <v>45690</v>
      </c>
      <c r="B386" s="6">
        <v>0.39791666666666664</v>
      </c>
      <c r="C386" s="10" t="s">
        <v>22</v>
      </c>
      <c r="D386" s="7">
        <f t="shared" si="15"/>
        <v>45690.397916666669</v>
      </c>
      <c r="E386" t="str">
        <f t="shared" si="16"/>
        <v>02-02-2025 to 08-02-2025</v>
      </c>
      <c r="F386" t="str">
        <f>IF(COUNTIF('Top5'!I:I, G386) &gt; 0, "Yes", "No")</f>
        <v>No</v>
      </c>
      <c r="G386" t="str">
        <f t="shared" si="17"/>
        <v>02-02-2025 to 08-02-2025</v>
      </c>
    </row>
    <row r="387" spans="1:7">
      <c r="A387" s="1">
        <v>45690</v>
      </c>
      <c r="B387" s="6">
        <v>0.4</v>
      </c>
      <c r="C387" s="10" t="s">
        <v>22</v>
      </c>
      <c r="D387" s="7">
        <f t="shared" ref="D387:D450" si="18">VALUE(A387) + VALUE(B387)</f>
        <v>45690.400000000001</v>
      </c>
      <c r="E387" t="str">
        <f t="shared" ref="E387:E450" si="19">TEXT(D387, "dd-mm-yyyy") &amp; " to " &amp; TEXT(D387+6, "dd-mm-yyyy")</f>
        <v>02-02-2025 to 08-02-2025</v>
      </c>
      <c r="F387" t="str">
        <f>IF(COUNTIF('Top5'!I:I, G387) &gt; 0, "Yes", "No")</f>
        <v>No</v>
      </c>
      <c r="G387" t="str">
        <f t="shared" ref="G387:G450" si="20">TRIM(E387)</f>
        <v>02-02-2025 to 08-02-2025</v>
      </c>
    </row>
    <row r="388" spans="1:7">
      <c r="A388" s="1">
        <v>45690</v>
      </c>
      <c r="B388" s="6">
        <v>0.4</v>
      </c>
      <c r="C388" s="10" t="s">
        <v>22</v>
      </c>
      <c r="D388" s="7">
        <f t="shared" si="18"/>
        <v>45690.400000000001</v>
      </c>
      <c r="E388" t="str">
        <f t="shared" si="19"/>
        <v>02-02-2025 to 08-02-2025</v>
      </c>
      <c r="F388" t="str">
        <f>IF(COUNTIF('Top5'!I:I, G388) &gt; 0, "Yes", "No")</f>
        <v>No</v>
      </c>
      <c r="G388" t="str">
        <f t="shared" si="20"/>
        <v>02-02-2025 to 08-02-2025</v>
      </c>
    </row>
    <row r="389" spans="1:7">
      <c r="A389" s="1">
        <v>45690</v>
      </c>
      <c r="B389" s="6">
        <v>0.40972222222222221</v>
      </c>
      <c r="C389" s="10" t="s">
        <v>22</v>
      </c>
      <c r="D389" s="7">
        <f t="shared" si="18"/>
        <v>45690.409722222219</v>
      </c>
      <c r="E389" t="str">
        <f t="shared" si="19"/>
        <v>02-02-2025 to 08-02-2025</v>
      </c>
      <c r="F389" t="str">
        <f>IF(COUNTIF('Top5'!I:I, G389) &gt; 0, "Yes", "No")</f>
        <v>No</v>
      </c>
      <c r="G389" t="str">
        <f t="shared" si="20"/>
        <v>02-02-2025 to 08-02-2025</v>
      </c>
    </row>
    <row r="390" spans="1:7">
      <c r="A390" s="1">
        <v>45692</v>
      </c>
      <c r="B390" s="6">
        <v>0.49652777777777779</v>
      </c>
      <c r="C390" s="10" t="s">
        <v>22</v>
      </c>
      <c r="D390" s="7">
        <f t="shared" si="18"/>
        <v>45692.496527777781</v>
      </c>
      <c r="E390" t="str">
        <f t="shared" si="19"/>
        <v>04-02-2025 to 10-02-2025</v>
      </c>
      <c r="F390" t="str">
        <f>IF(COUNTIF('Top5'!I:I, G390) &gt; 0, "Yes", "No")</f>
        <v>No</v>
      </c>
      <c r="G390" t="str">
        <f t="shared" si="20"/>
        <v>04-02-2025 to 10-02-2025</v>
      </c>
    </row>
    <row r="391" spans="1:7">
      <c r="A391" s="1">
        <v>45692</v>
      </c>
      <c r="B391" s="6">
        <v>0.97986111111111107</v>
      </c>
      <c r="C391" s="10" t="s">
        <v>70</v>
      </c>
      <c r="D391" s="7">
        <f t="shared" si="18"/>
        <v>45692.979861111111</v>
      </c>
      <c r="E391" t="str">
        <f t="shared" si="19"/>
        <v>04-02-2025 to 10-02-2025</v>
      </c>
      <c r="F391" t="str">
        <f>IF(COUNTIF('Top5'!I:I, G391) &gt; 0, "Yes", "No")</f>
        <v>No</v>
      </c>
      <c r="G391" t="str">
        <f t="shared" si="20"/>
        <v>04-02-2025 to 10-02-2025</v>
      </c>
    </row>
    <row r="392" spans="1:7">
      <c r="A392" s="1">
        <v>45693</v>
      </c>
      <c r="B392" s="6">
        <v>2.7777777777777779E-3</v>
      </c>
      <c r="C392" s="10" t="s">
        <v>70</v>
      </c>
      <c r="D392" s="7">
        <f t="shared" si="18"/>
        <v>45693.00277777778</v>
      </c>
      <c r="E392" t="str">
        <f t="shared" si="19"/>
        <v>05-02-2025 to 11-02-2025</v>
      </c>
      <c r="F392" t="str">
        <f>IF(COUNTIF('Top5'!I:I, G392) &gt; 0, "Yes", "No")</f>
        <v>No</v>
      </c>
      <c r="G392" t="str">
        <f t="shared" si="20"/>
        <v>05-02-2025 to 11-02-2025</v>
      </c>
    </row>
    <row r="393" spans="1:7">
      <c r="A393" s="1">
        <v>45693</v>
      </c>
      <c r="B393" s="6">
        <v>0.39791666666666664</v>
      </c>
      <c r="C393" s="10" t="s">
        <v>22</v>
      </c>
      <c r="D393" s="7">
        <f t="shared" si="18"/>
        <v>45693.397916666669</v>
      </c>
      <c r="E393" t="str">
        <f t="shared" si="19"/>
        <v>05-02-2025 to 11-02-2025</v>
      </c>
      <c r="F393" t="str">
        <f>IF(COUNTIF('Top5'!I:I, G393) &gt; 0, "Yes", "No")</f>
        <v>No</v>
      </c>
      <c r="G393" t="str">
        <f t="shared" si="20"/>
        <v>05-02-2025 to 11-02-2025</v>
      </c>
    </row>
    <row r="394" spans="1:7">
      <c r="A394" s="1">
        <v>45693</v>
      </c>
      <c r="B394" s="6">
        <v>0.62430555555555556</v>
      </c>
      <c r="C394" s="10" t="s">
        <v>71</v>
      </c>
      <c r="D394" s="7">
        <f t="shared" si="18"/>
        <v>45693.624305555553</v>
      </c>
      <c r="E394" t="str">
        <f t="shared" si="19"/>
        <v>05-02-2025 to 11-02-2025</v>
      </c>
      <c r="F394" t="str">
        <f>IF(COUNTIF('Top5'!I:I, G394) &gt; 0, "Yes", "No")</f>
        <v>No</v>
      </c>
      <c r="G394" t="str">
        <f t="shared" si="20"/>
        <v>05-02-2025 to 11-02-2025</v>
      </c>
    </row>
    <row r="395" spans="1:7">
      <c r="A395" s="1">
        <v>45694</v>
      </c>
      <c r="B395" s="6">
        <v>0.42986111111111114</v>
      </c>
      <c r="C395" s="10" t="s">
        <v>22</v>
      </c>
      <c r="D395" s="7">
        <f t="shared" si="18"/>
        <v>45694.429861111108</v>
      </c>
      <c r="E395" t="str">
        <f t="shared" si="19"/>
        <v>06-02-2025 to 12-02-2025</v>
      </c>
      <c r="F395" t="str">
        <f>IF(COUNTIF('Top5'!I:I, G395) &gt; 0, "Yes", "No")</f>
        <v>No</v>
      </c>
      <c r="G395" t="str">
        <f t="shared" si="20"/>
        <v>06-02-2025 to 12-02-2025</v>
      </c>
    </row>
    <row r="396" spans="1:7">
      <c r="A396" s="1">
        <v>45694</v>
      </c>
      <c r="B396" s="6">
        <v>0.86597222222222225</v>
      </c>
      <c r="C396" s="10" t="s">
        <v>70</v>
      </c>
      <c r="D396" s="7">
        <f t="shared" si="18"/>
        <v>45694.865972222222</v>
      </c>
      <c r="E396" t="str">
        <f t="shared" si="19"/>
        <v>06-02-2025 to 12-02-2025</v>
      </c>
      <c r="F396" t="str">
        <f>IF(COUNTIF('Top5'!I:I, G396) &gt; 0, "Yes", "No")</f>
        <v>No</v>
      </c>
      <c r="G396" t="str">
        <f t="shared" si="20"/>
        <v>06-02-2025 to 12-02-2025</v>
      </c>
    </row>
    <row r="397" spans="1:7">
      <c r="A397" s="1">
        <v>45694</v>
      </c>
      <c r="B397" s="6">
        <v>0.88958333333333328</v>
      </c>
      <c r="C397" s="10" t="s">
        <v>70</v>
      </c>
      <c r="D397" s="7">
        <f t="shared" si="18"/>
        <v>45694.88958333333</v>
      </c>
      <c r="E397" t="str">
        <f t="shared" si="19"/>
        <v>06-02-2025 to 12-02-2025</v>
      </c>
      <c r="F397" t="str">
        <f>IF(COUNTIF('Top5'!I:I, G397) &gt; 0, "Yes", "No")</f>
        <v>No</v>
      </c>
      <c r="G397" t="str">
        <f t="shared" si="20"/>
        <v>06-02-2025 to 12-02-2025</v>
      </c>
    </row>
    <row r="398" spans="1:7">
      <c r="A398" s="1">
        <v>45694</v>
      </c>
      <c r="B398" s="6">
        <v>0.89027777777777772</v>
      </c>
      <c r="C398" s="10" t="s">
        <v>70</v>
      </c>
      <c r="D398" s="7">
        <f t="shared" si="18"/>
        <v>45694.890277777777</v>
      </c>
      <c r="E398" t="str">
        <f t="shared" si="19"/>
        <v>06-02-2025 to 12-02-2025</v>
      </c>
      <c r="F398" t="str">
        <f>IF(COUNTIF('Top5'!I:I, G398) &gt; 0, "Yes", "No")</f>
        <v>No</v>
      </c>
      <c r="G398" t="str">
        <f t="shared" si="20"/>
        <v>06-02-2025 to 12-02-2025</v>
      </c>
    </row>
    <row r="399" spans="1:7">
      <c r="A399" s="1">
        <v>45694</v>
      </c>
      <c r="B399" s="6">
        <v>0.95</v>
      </c>
      <c r="C399" s="10" t="s">
        <v>70</v>
      </c>
      <c r="D399" s="7">
        <f t="shared" si="18"/>
        <v>45694.95</v>
      </c>
      <c r="E399" t="str">
        <f t="shared" si="19"/>
        <v>06-02-2025 to 12-02-2025</v>
      </c>
      <c r="F399" t="str">
        <f>IF(COUNTIF('Top5'!I:I, G399) &gt; 0, "Yes", "No")</f>
        <v>No</v>
      </c>
      <c r="G399" t="str">
        <f t="shared" si="20"/>
        <v>06-02-2025 to 12-02-2025</v>
      </c>
    </row>
    <row r="400" spans="1:7">
      <c r="A400" s="1">
        <v>45695</v>
      </c>
      <c r="B400" s="6">
        <v>0.44027777777777777</v>
      </c>
      <c r="C400" s="10" t="s">
        <v>22</v>
      </c>
      <c r="D400" s="7">
        <f t="shared" si="18"/>
        <v>45695.44027777778</v>
      </c>
      <c r="E400" t="str">
        <f t="shared" si="19"/>
        <v>07-02-2025 to 13-02-2025</v>
      </c>
      <c r="F400" t="str">
        <f>IF(COUNTIF('Top5'!I:I, G400) &gt; 0, "Yes", "No")</f>
        <v>No</v>
      </c>
      <c r="G400" t="str">
        <f t="shared" si="20"/>
        <v>07-02-2025 to 13-02-2025</v>
      </c>
    </row>
    <row r="401" spans="1:7">
      <c r="A401" s="1">
        <v>45695</v>
      </c>
      <c r="B401" s="6">
        <v>0.60902777777777772</v>
      </c>
      <c r="C401" s="10" t="s">
        <v>71</v>
      </c>
      <c r="D401" s="7">
        <f t="shared" si="18"/>
        <v>45695.609027777777</v>
      </c>
      <c r="E401" t="str">
        <f t="shared" si="19"/>
        <v>07-02-2025 to 13-02-2025</v>
      </c>
      <c r="F401" t="str">
        <f>IF(COUNTIF('Top5'!I:I, G401) &gt; 0, "Yes", "No")</f>
        <v>No</v>
      </c>
      <c r="G401" t="str">
        <f t="shared" si="20"/>
        <v>07-02-2025 to 13-02-2025</v>
      </c>
    </row>
    <row r="402" spans="1:7">
      <c r="A402" s="1">
        <v>45695</v>
      </c>
      <c r="B402" s="6">
        <v>0.83819444444444446</v>
      </c>
      <c r="C402" s="10" t="s">
        <v>70</v>
      </c>
      <c r="D402" s="7">
        <f t="shared" si="18"/>
        <v>45695.838194444441</v>
      </c>
      <c r="E402" t="str">
        <f t="shared" si="19"/>
        <v>07-02-2025 to 13-02-2025</v>
      </c>
      <c r="F402" t="str">
        <f>IF(COUNTIF('Top5'!I:I, G402) &gt; 0, "Yes", "No")</f>
        <v>No</v>
      </c>
      <c r="G402" t="str">
        <f t="shared" si="20"/>
        <v>07-02-2025 to 13-02-2025</v>
      </c>
    </row>
    <row r="403" spans="1:7">
      <c r="A403" s="1">
        <v>45695</v>
      </c>
      <c r="B403" s="6">
        <v>0.94930555555555551</v>
      </c>
      <c r="C403" s="10" t="s">
        <v>70</v>
      </c>
      <c r="D403" s="7">
        <f t="shared" si="18"/>
        <v>45695.949305555558</v>
      </c>
      <c r="E403" t="str">
        <f t="shared" si="19"/>
        <v>07-02-2025 to 13-02-2025</v>
      </c>
      <c r="F403" t="str">
        <f>IF(COUNTIF('Top5'!I:I, G403) &gt; 0, "Yes", "No")</f>
        <v>No</v>
      </c>
      <c r="G403" t="str">
        <f t="shared" si="20"/>
        <v>07-02-2025 to 13-02-2025</v>
      </c>
    </row>
    <row r="404" spans="1:7">
      <c r="A404" s="1">
        <v>45695</v>
      </c>
      <c r="B404" s="6">
        <v>0.9506944444444444</v>
      </c>
      <c r="C404" s="10" t="s">
        <v>70</v>
      </c>
      <c r="D404" s="7">
        <f t="shared" si="18"/>
        <v>45695.950694444444</v>
      </c>
      <c r="E404" t="str">
        <f t="shared" si="19"/>
        <v>07-02-2025 to 13-02-2025</v>
      </c>
      <c r="F404" t="str">
        <f>IF(COUNTIF('Top5'!I:I, G404) &gt; 0, "Yes", "No")</f>
        <v>No</v>
      </c>
      <c r="G404" t="str">
        <f t="shared" si="20"/>
        <v>07-02-2025 to 13-02-2025</v>
      </c>
    </row>
    <row r="405" spans="1:7">
      <c r="A405" s="1">
        <v>45695</v>
      </c>
      <c r="B405" s="6">
        <v>0.95486111111111116</v>
      </c>
      <c r="C405" s="10" t="s">
        <v>70</v>
      </c>
      <c r="D405" s="7">
        <f t="shared" si="18"/>
        <v>45695.954861111109</v>
      </c>
      <c r="E405" t="str">
        <f t="shared" si="19"/>
        <v>07-02-2025 to 13-02-2025</v>
      </c>
      <c r="F405" t="str">
        <f>IF(COUNTIF('Top5'!I:I, G405) &gt; 0, "Yes", "No")</f>
        <v>No</v>
      </c>
      <c r="G405" t="str">
        <f t="shared" si="20"/>
        <v>07-02-2025 to 13-02-2025</v>
      </c>
    </row>
    <row r="406" spans="1:7">
      <c r="A406" s="1">
        <v>45695</v>
      </c>
      <c r="B406" s="6">
        <v>0.98541666666666672</v>
      </c>
      <c r="C406" s="10" t="s">
        <v>70</v>
      </c>
      <c r="D406" s="7">
        <f t="shared" si="18"/>
        <v>45695.98541666667</v>
      </c>
      <c r="E406" t="str">
        <f t="shared" si="19"/>
        <v>07-02-2025 to 13-02-2025</v>
      </c>
      <c r="F406" t="str">
        <f>IF(COUNTIF('Top5'!I:I, G406) &gt; 0, "Yes", "No")</f>
        <v>No</v>
      </c>
      <c r="G406" t="str">
        <f t="shared" si="20"/>
        <v>07-02-2025 to 13-02-2025</v>
      </c>
    </row>
    <row r="407" spans="1:7">
      <c r="A407" s="1">
        <v>45696</v>
      </c>
      <c r="B407" s="6">
        <v>0.97013888888888888</v>
      </c>
      <c r="C407" s="10" t="s">
        <v>70</v>
      </c>
      <c r="D407" s="7">
        <f t="shared" si="18"/>
        <v>45696.970138888886</v>
      </c>
      <c r="E407" t="str">
        <f t="shared" si="19"/>
        <v>08-02-2025 to 14-02-2025</v>
      </c>
      <c r="F407" t="str">
        <f>IF(COUNTIF('Top5'!I:I, G407) &gt; 0, "Yes", "No")</f>
        <v>No</v>
      </c>
      <c r="G407" t="str">
        <f t="shared" si="20"/>
        <v>08-02-2025 to 14-02-2025</v>
      </c>
    </row>
    <row r="408" spans="1:7">
      <c r="A408" s="1">
        <v>45696</v>
      </c>
      <c r="B408" s="6">
        <v>0.9770833333333333</v>
      </c>
      <c r="C408" s="10" t="s">
        <v>70</v>
      </c>
      <c r="D408" s="7">
        <f t="shared" si="18"/>
        <v>45696.977083333331</v>
      </c>
      <c r="E408" t="str">
        <f t="shared" si="19"/>
        <v>08-02-2025 to 14-02-2025</v>
      </c>
      <c r="F408" t="str">
        <f>IF(COUNTIF('Top5'!I:I, G408) &gt; 0, "Yes", "No")</f>
        <v>No</v>
      </c>
      <c r="G408" t="str">
        <f t="shared" si="20"/>
        <v>08-02-2025 to 14-02-2025</v>
      </c>
    </row>
    <row r="409" spans="1:7">
      <c r="A409" s="1">
        <v>45697</v>
      </c>
      <c r="B409" s="6">
        <v>5.5555555555555558E-3</v>
      </c>
      <c r="C409" s="10" t="s">
        <v>70</v>
      </c>
      <c r="D409" s="7">
        <f t="shared" si="18"/>
        <v>45697.005555555559</v>
      </c>
      <c r="E409" t="str">
        <f t="shared" si="19"/>
        <v>09-02-2025 to 15-02-2025</v>
      </c>
      <c r="F409" t="str">
        <f>IF(COUNTIF('Top5'!I:I, G409) &gt; 0, "Yes", "No")</f>
        <v>No</v>
      </c>
      <c r="G409" t="str">
        <f t="shared" si="20"/>
        <v>09-02-2025 to 15-02-2025</v>
      </c>
    </row>
    <row r="410" spans="1:7">
      <c r="A410" s="1">
        <v>45697</v>
      </c>
      <c r="B410" s="6">
        <v>1.0416666666666666E-2</v>
      </c>
      <c r="C410" s="10" t="s">
        <v>70</v>
      </c>
      <c r="D410" s="7">
        <f t="shared" si="18"/>
        <v>45697.010416666664</v>
      </c>
      <c r="E410" t="str">
        <f t="shared" si="19"/>
        <v>09-02-2025 to 15-02-2025</v>
      </c>
      <c r="F410" t="str">
        <f>IF(COUNTIF('Top5'!I:I, G410) &gt; 0, "Yes", "No")</f>
        <v>No</v>
      </c>
      <c r="G410" t="str">
        <f t="shared" si="20"/>
        <v>09-02-2025 to 15-02-2025</v>
      </c>
    </row>
    <row r="411" spans="1:7">
      <c r="A411" s="1">
        <v>45697</v>
      </c>
      <c r="B411" s="6">
        <v>1.1111111111111112E-2</v>
      </c>
      <c r="C411" s="10" t="s">
        <v>70</v>
      </c>
      <c r="D411" s="7">
        <f t="shared" si="18"/>
        <v>45697.011111111111</v>
      </c>
      <c r="E411" t="str">
        <f t="shared" si="19"/>
        <v>09-02-2025 to 15-02-2025</v>
      </c>
      <c r="F411" t="str">
        <f>IF(COUNTIF('Top5'!I:I, G411) &gt; 0, "Yes", "No")</f>
        <v>No</v>
      </c>
      <c r="G411" t="str">
        <f t="shared" si="20"/>
        <v>09-02-2025 to 15-02-2025</v>
      </c>
    </row>
    <row r="412" spans="1:7">
      <c r="A412" s="1">
        <v>45697</v>
      </c>
      <c r="B412" s="6">
        <v>1.1111111111111112E-2</v>
      </c>
      <c r="C412" s="10" t="s">
        <v>70</v>
      </c>
      <c r="D412" s="7">
        <f t="shared" si="18"/>
        <v>45697.011111111111</v>
      </c>
      <c r="E412" t="str">
        <f t="shared" si="19"/>
        <v>09-02-2025 to 15-02-2025</v>
      </c>
      <c r="F412" t="str">
        <f>IF(COUNTIF('Top5'!I:I, G412) &gt; 0, "Yes", "No")</f>
        <v>No</v>
      </c>
      <c r="G412" t="str">
        <f t="shared" si="20"/>
        <v>09-02-2025 to 15-02-2025</v>
      </c>
    </row>
    <row r="413" spans="1:7">
      <c r="A413" s="1">
        <v>45697</v>
      </c>
      <c r="B413" s="6">
        <v>1.5277777777777777E-2</v>
      </c>
      <c r="C413" s="10" t="s">
        <v>70</v>
      </c>
      <c r="D413" s="7">
        <f t="shared" si="18"/>
        <v>45697.015277777777</v>
      </c>
      <c r="E413" t="str">
        <f t="shared" si="19"/>
        <v>09-02-2025 to 15-02-2025</v>
      </c>
      <c r="F413" t="str">
        <f>IF(COUNTIF('Top5'!I:I, G413) &gt; 0, "Yes", "No")</f>
        <v>No</v>
      </c>
      <c r="G413" t="str">
        <f t="shared" si="20"/>
        <v>09-02-2025 to 15-02-2025</v>
      </c>
    </row>
    <row r="414" spans="1:7">
      <c r="A414" s="1">
        <v>45697</v>
      </c>
      <c r="B414" s="6">
        <v>0.63888888888888884</v>
      </c>
      <c r="C414" s="10" t="s">
        <v>71</v>
      </c>
      <c r="D414" s="7">
        <f t="shared" si="18"/>
        <v>45697.638888888891</v>
      </c>
      <c r="E414" t="str">
        <f t="shared" si="19"/>
        <v>09-02-2025 to 15-02-2025</v>
      </c>
      <c r="F414" t="str">
        <f>IF(COUNTIF('Top5'!I:I, G414) &gt; 0, "Yes", "No")</f>
        <v>No</v>
      </c>
      <c r="G414" t="str">
        <f t="shared" si="20"/>
        <v>09-02-2025 to 15-02-2025</v>
      </c>
    </row>
    <row r="415" spans="1:7">
      <c r="A415" s="1">
        <v>45697</v>
      </c>
      <c r="B415" s="6">
        <v>0.95625000000000004</v>
      </c>
      <c r="C415" s="10" t="s">
        <v>70</v>
      </c>
      <c r="D415" s="7">
        <f t="shared" si="18"/>
        <v>45697.956250000003</v>
      </c>
      <c r="E415" t="str">
        <f t="shared" si="19"/>
        <v>09-02-2025 to 15-02-2025</v>
      </c>
      <c r="F415" t="str">
        <f>IF(COUNTIF('Top5'!I:I, G415) &gt; 0, "Yes", "No")</f>
        <v>No</v>
      </c>
      <c r="G415" t="str">
        <f t="shared" si="20"/>
        <v>09-02-2025 to 15-02-2025</v>
      </c>
    </row>
    <row r="416" spans="1:7">
      <c r="A416" s="1">
        <v>45698</v>
      </c>
      <c r="B416" s="6">
        <v>0.89097222222222228</v>
      </c>
      <c r="C416" s="10" t="s">
        <v>70</v>
      </c>
      <c r="D416" s="7">
        <f t="shared" si="18"/>
        <v>45698.890972222223</v>
      </c>
      <c r="E416" t="str">
        <f t="shared" si="19"/>
        <v>10-02-2025 to 16-02-2025</v>
      </c>
      <c r="F416" t="str">
        <f>IF(COUNTIF('Top5'!I:I, G416) &gt; 0, "Yes", "No")</f>
        <v>No</v>
      </c>
      <c r="G416" t="str">
        <f t="shared" si="20"/>
        <v>10-02-2025 to 16-02-2025</v>
      </c>
    </row>
    <row r="417" spans="1:7">
      <c r="A417" s="1">
        <v>45699</v>
      </c>
      <c r="B417" s="6">
        <v>0.50624999999999998</v>
      </c>
      <c r="C417" s="10" t="s">
        <v>71</v>
      </c>
      <c r="D417" s="7">
        <f t="shared" si="18"/>
        <v>45699.506249999999</v>
      </c>
      <c r="E417" t="str">
        <f t="shared" si="19"/>
        <v>11-02-2025 to 17-02-2025</v>
      </c>
      <c r="F417" t="str">
        <f>IF(COUNTIF('Top5'!I:I, G417) &gt; 0, "Yes", "No")</f>
        <v>No</v>
      </c>
      <c r="G417" t="str">
        <f t="shared" si="20"/>
        <v>11-02-2025 to 17-02-2025</v>
      </c>
    </row>
    <row r="418" spans="1:7">
      <c r="A418" s="1">
        <v>45700</v>
      </c>
      <c r="B418" s="6">
        <v>1.6666666666666666E-2</v>
      </c>
      <c r="C418" s="10" t="s">
        <v>70</v>
      </c>
      <c r="D418" s="7">
        <f t="shared" si="18"/>
        <v>45700.01666666667</v>
      </c>
      <c r="E418" t="str">
        <f t="shared" si="19"/>
        <v>12-02-2025 to 18-02-2025</v>
      </c>
      <c r="F418" t="str">
        <f>IF(COUNTIF('Top5'!I:I, G418) &gt; 0, "Yes", "No")</f>
        <v>No</v>
      </c>
      <c r="G418" t="str">
        <f t="shared" si="20"/>
        <v>12-02-2025 to 18-02-2025</v>
      </c>
    </row>
    <row r="419" spans="1:7">
      <c r="A419" s="1">
        <v>45700</v>
      </c>
      <c r="B419" s="6">
        <v>1.9444444444444445E-2</v>
      </c>
      <c r="C419" s="10" t="s">
        <v>70</v>
      </c>
      <c r="D419" s="7">
        <f t="shared" si="18"/>
        <v>45700.019444444442</v>
      </c>
      <c r="E419" t="str">
        <f t="shared" si="19"/>
        <v>12-02-2025 to 18-02-2025</v>
      </c>
      <c r="F419" t="str">
        <f>IF(COUNTIF('Top5'!I:I, G419) &gt; 0, "Yes", "No")</f>
        <v>No</v>
      </c>
      <c r="G419" t="str">
        <f t="shared" si="20"/>
        <v>12-02-2025 to 18-02-2025</v>
      </c>
    </row>
    <row r="420" spans="1:7">
      <c r="A420" s="1">
        <v>45700</v>
      </c>
      <c r="B420" s="6">
        <v>0.50138888888888888</v>
      </c>
      <c r="C420" s="10" t="s">
        <v>71</v>
      </c>
      <c r="D420" s="7">
        <f t="shared" si="18"/>
        <v>45700.501388888886</v>
      </c>
      <c r="E420" t="str">
        <f t="shared" si="19"/>
        <v>12-02-2025 to 18-02-2025</v>
      </c>
      <c r="F420" t="str">
        <f>IF(COUNTIF('Top5'!I:I, G420) &gt; 0, "Yes", "No")</f>
        <v>No</v>
      </c>
      <c r="G420" t="str">
        <f t="shared" si="20"/>
        <v>12-02-2025 to 18-02-2025</v>
      </c>
    </row>
    <row r="421" spans="1:7">
      <c r="A421" s="1">
        <v>45700</v>
      </c>
      <c r="B421" s="6">
        <v>0.52430555555555558</v>
      </c>
      <c r="C421" s="10" t="s">
        <v>71</v>
      </c>
      <c r="D421" s="7">
        <f t="shared" si="18"/>
        <v>45700.524305555555</v>
      </c>
      <c r="E421" t="str">
        <f t="shared" si="19"/>
        <v>12-02-2025 to 18-02-2025</v>
      </c>
      <c r="F421" t="str">
        <f>IF(COUNTIF('Top5'!I:I, G421) &gt; 0, "Yes", "No")</f>
        <v>No</v>
      </c>
      <c r="G421" t="str">
        <f t="shared" si="20"/>
        <v>12-02-2025 to 18-02-2025</v>
      </c>
    </row>
    <row r="422" spans="1:7">
      <c r="A422" s="1">
        <v>45700</v>
      </c>
      <c r="B422" s="6">
        <v>0.54374999999999996</v>
      </c>
      <c r="C422" s="10" t="s">
        <v>71</v>
      </c>
      <c r="D422" s="7">
        <f t="shared" si="18"/>
        <v>45700.543749999997</v>
      </c>
      <c r="E422" t="str">
        <f t="shared" si="19"/>
        <v>12-02-2025 to 18-02-2025</v>
      </c>
      <c r="F422" t="str">
        <f>IF(COUNTIF('Top5'!I:I, G422) &gt; 0, "Yes", "No")</f>
        <v>No</v>
      </c>
      <c r="G422" t="str">
        <f t="shared" si="20"/>
        <v>12-02-2025 to 18-02-2025</v>
      </c>
    </row>
    <row r="423" spans="1:7">
      <c r="A423" s="1">
        <v>45700</v>
      </c>
      <c r="B423" s="6">
        <v>0.61527777777777781</v>
      </c>
      <c r="C423" s="10" t="s">
        <v>71</v>
      </c>
      <c r="D423" s="7">
        <f t="shared" si="18"/>
        <v>45700.615277777775</v>
      </c>
      <c r="E423" t="str">
        <f t="shared" si="19"/>
        <v>12-02-2025 to 18-02-2025</v>
      </c>
      <c r="F423" t="str">
        <f>IF(COUNTIF('Top5'!I:I, G423) &gt; 0, "Yes", "No")</f>
        <v>No</v>
      </c>
      <c r="G423" t="str">
        <f t="shared" si="20"/>
        <v>12-02-2025 to 18-02-2025</v>
      </c>
    </row>
    <row r="424" spans="1:7">
      <c r="A424" s="1">
        <v>45700</v>
      </c>
      <c r="B424" s="6">
        <v>0.9458333333333333</v>
      </c>
      <c r="C424" s="10" t="s">
        <v>70</v>
      </c>
      <c r="D424" s="7">
        <f t="shared" si="18"/>
        <v>45700.945833333331</v>
      </c>
      <c r="E424" t="str">
        <f t="shared" si="19"/>
        <v>12-02-2025 to 18-02-2025</v>
      </c>
      <c r="F424" t="str">
        <f>IF(COUNTIF('Top5'!I:I, G424) &gt; 0, "Yes", "No")</f>
        <v>No</v>
      </c>
      <c r="G424" t="str">
        <f t="shared" si="20"/>
        <v>12-02-2025 to 18-02-2025</v>
      </c>
    </row>
    <row r="425" spans="1:7">
      <c r="A425" s="1">
        <v>45700</v>
      </c>
      <c r="B425" s="6">
        <v>0.99236111111111114</v>
      </c>
      <c r="C425" s="10" t="s">
        <v>70</v>
      </c>
      <c r="D425" s="7">
        <f t="shared" si="18"/>
        <v>45700.992361111108</v>
      </c>
      <c r="E425" t="str">
        <f t="shared" si="19"/>
        <v>12-02-2025 to 18-02-2025</v>
      </c>
      <c r="F425" t="str">
        <f>IF(COUNTIF('Top5'!I:I, G425) &gt; 0, "Yes", "No")</f>
        <v>No</v>
      </c>
      <c r="G425" t="str">
        <f t="shared" si="20"/>
        <v>12-02-2025 to 18-02-2025</v>
      </c>
    </row>
    <row r="426" spans="1:7">
      <c r="A426" s="1">
        <v>45701</v>
      </c>
      <c r="B426" s="6">
        <v>0.42708333333333331</v>
      </c>
      <c r="C426" s="10" t="s">
        <v>22</v>
      </c>
      <c r="D426" s="7">
        <f t="shared" si="18"/>
        <v>45701.427083333336</v>
      </c>
      <c r="E426" t="str">
        <f t="shared" si="19"/>
        <v>13-02-2025 to 19-02-2025</v>
      </c>
      <c r="F426" t="str">
        <f>IF(COUNTIF('Top5'!I:I, G426) &gt; 0, "Yes", "No")</f>
        <v>No</v>
      </c>
      <c r="G426" t="str">
        <f t="shared" si="20"/>
        <v>13-02-2025 to 19-02-2025</v>
      </c>
    </row>
    <row r="427" spans="1:7">
      <c r="A427" s="1">
        <v>45701</v>
      </c>
      <c r="B427" s="6">
        <v>0.86041666666666672</v>
      </c>
      <c r="C427" s="10" t="s">
        <v>70</v>
      </c>
      <c r="D427" s="7">
        <f t="shared" si="18"/>
        <v>45701.86041666667</v>
      </c>
      <c r="E427" t="str">
        <f t="shared" si="19"/>
        <v>13-02-2025 to 19-02-2025</v>
      </c>
      <c r="F427" t="str">
        <f>IF(COUNTIF('Top5'!I:I, G427) &gt; 0, "Yes", "No")</f>
        <v>No</v>
      </c>
      <c r="G427" t="str">
        <f t="shared" si="20"/>
        <v>13-02-2025 to 19-02-2025</v>
      </c>
    </row>
    <row r="428" spans="1:7">
      <c r="A428" s="1">
        <v>45701</v>
      </c>
      <c r="B428" s="6">
        <v>0.86458333333333337</v>
      </c>
      <c r="C428" s="10" t="s">
        <v>70</v>
      </c>
      <c r="D428" s="7">
        <f t="shared" si="18"/>
        <v>45701.864583333336</v>
      </c>
      <c r="E428" t="str">
        <f t="shared" si="19"/>
        <v>13-02-2025 to 19-02-2025</v>
      </c>
      <c r="F428" t="str">
        <f>IF(COUNTIF('Top5'!I:I, G428) &gt; 0, "Yes", "No")</f>
        <v>No</v>
      </c>
      <c r="G428" t="str">
        <f t="shared" si="20"/>
        <v>13-02-2025 to 19-02-2025</v>
      </c>
    </row>
    <row r="429" spans="1:7">
      <c r="A429" s="1">
        <v>45701</v>
      </c>
      <c r="B429" s="6">
        <v>0.86458333333333337</v>
      </c>
      <c r="C429" s="10" t="s">
        <v>70</v>
      </c>
      <c r="D429" s="7">
        <f t="shared" si="18"/>
        <v>45701.864583333336</v>
      </c>
      <c r="E429" t="str">
        <f t="shared" si="19"/>
        <v>13-02-2025 to 19-02-2025</v>
      </c>
      <c r="F429" t="str">
        <f>IF(COUNTIF('Top5'!I:I, G429) &gt; 0, "Yes", "No")</f>
        <v>No</v>
      </c>
      <c r="G429" t="str">
        <f t="shared" si="20"/>
        <v>13-02-2025 to 19-02-2025</v>
      </c>
    </row>
    <row r="430" spans="1:7">
      <c r="A430" s="1">
        <v>45701</v>
      </c>
      <c r="B430" s="6">
        <v>0.88680555555555551</v>
      </c>
      <c r="C430" s="10" t="s">
        <v>70</v>
      </c>
      <c r="D430" s="7">
        <f t="shared" si="18"/>
        <v>45701.886805555558</v>
      </c>
      <c r="E430" t="str">
        <f t="shared" si="19"/>
        <v>13-02-2025 to 19-02-2025</v>
      </c>
      <c r="F430" t="str">
        <f>IF(COUNTIF('Top5'!I:I, G430) &gt; 0, "Yes", "No")</f>
        <v>No</v>
      </c>
      <c r="G430" t="str">
        <f t="shared" si="20"/>
        <v>13-02-2025 to 19-02-2025</v>
      </c>
    </row>
    <row r="431" spans="1:7">
      <c r="A431" s="1">
        <v>45702</v>
      </c>
      <c r="B431" s="6">
        <v>0.37847222222222221</v>
      </c>
      <c r="C431" s="10" t="s">
        <v>22</v>
      </c>
      <c r="D431" s="7">
        <f t="shared" si="18"/>
        <v>45702.378472222219</v>
      </c>
      <c r="E431" t="str">
        <f t="shared" si="19"/>
        <v>14-02-2025 to 20-02-2025</v>
      </c>
      <c r="F431" t="str">
        <f>IF(COUNTIF('Top5'!I:I, G431) &gt; 0, "Yes", "No")</f>
        <v>No</v>
      </c>
      <c r="G431" t="str">
        <f t="shared" si="20"/>
        <v>14-02-2025 to 20-02-2025</v>
      </c>
    </row>
    <row r="432" spans="1:7">
      <c r="A432" s="1">
        <v>45702</v>
      </c>
      <c r="B432" s="6">
        <v>0.38472222222222224</v>
      </c>
      <c r="C432" s="10" t="s">
        <v>22</v>
      </c>
      <c r="D432" s="7">
        <f t="shared" si="18"/>
        <v>45702.384722222225</v>
      </c>
      <c r="E432" t="str">
        <f t="shared" si="19"/>
        <v>14-02-2025 to 20-02-2025</v>
      </c>
      <c r="F432" t="str">
        <f>IF(COUNTIF('Top5'!I:I, G432) &gt; 0, "Yes", "No")</f>
        <v>No</v>
      </c>
      <c r="G432" t="str">
        <f t="shared" si="20"/>
        <v>14-02-2025 to 20-02-2025</v>
      </c>
    </row>
    <row r="433" spans="1:7">
      <c r="A433" s="1">
        <v>45702</v>
      </c>
      <c r="B433" s="6">
        <v>0.39444444444444443</v>
      </c>
      <c r="C433" s="10" t="s">
        <v>22</v>
      </c>
      <c r="D433" s="7">
        <f t="shared" si="18"/>
        <v>45702.394444444442</v>
      </c>
      <c r="E433" t="str">
        <f t="shared" si="19"/>
        <v>14-02-2025 to 20-02-2025</v>
      </c>
      <c r="F433" t="str">
        <f>IF(COUNTIF('Top5'!I:I, G433) &gt; 0, "Yes", "No")</f>
        <v>No</v>
      </c>
      <c r="G433" t="str">
        <f t="shared" si="20"/>
        <v>14-02-2025 to 20-02-2025</v>
      </c>
    </row>
    <row r="434" spans="1:7">
      <c r="A434" s="1">
        <v>45702</v>
      </c>
      <c r="B434" s="6">
        <v>0.40833333333333333</v>
      </c>
      <c r="C434" s="10" t="s">
        <v>22</v>
      </c>
      <c r="D434" s="7">
        <f t="shared" si="18"/>
        <v>45702.408333333333</v>
      </c>
      <c r="E434" t="str">
        <f t="shared" si="19"/>
        <v>14-02-2025 to 20-02-2025</v>
      </c>
      <c r="F434" t="str">
        <f>IF(COUNTIF('Top5'!I:I, G434) &gt; 0, "Yes", "No")</f>
        <v>No</v>
      </c>
      <c r="G434" t="str">
        <f t="shared" si="20"/>
        <v>14-02-2025 to 20-02-2025</v>
      </c>
    </row>
    <row r="435" spans="1:7">
      <c r="A435" s="1">
        <v>45703</v>
      </c>
      <c r="B435" s="6">
        <v>1.1111111111111112E-2</v>
      </c>
      <c r="C435" s="10" t="s">
        <v>70</v>
      </c>
      <c r="D435" s="7">
        <f t="shared" si="18"/>
        <v>45703.011111111111</v>
      </c>
      <c r="E435" t="str">
        <f t="shared" si="19"/>
        <v>15-02-2025 to 21-02-2025</v>
      </c>
      <c r="F435" t="str">
        <f>IF(COUNTIF('Top5'!I:I, G435) &gt; 0, "Yes", "No")</f>
        <v>No</v>
      </c>
      <c r="G435" t="str">
        <f t="shared" si="20"/>
        <v>15-02-2025 to 21-02-2025</v>
      </c>
    </row>
    <row r="436" spans="1:7">
      <c r="A436" s="1">
        <v>45703</v>
      </c>
      <c r="B436" s="6">
        <v>1.1111111111111112E-2</v>
      </c>
      <c r="C436" s="10" t="s">
        <v>70</v>
      </c>
      <c r="D436" s="7">
        <f t="shared" si="18"/>
        <v>45703.011111111111</v>
      </c>
      <c r="E436" t="str">
        <f t="shared" si="19"/>
        <v>15-02-2025 to 21-02-2025</v>
      </c>
      <c r="F436" t="str">
        <f>IF(COUNTIF('Top5'!I:I, G436) &gt; 0, "Yes", "No")</f>
        <v>No</v>
      </c>
      <c r="G436" t="str">
        <f t="shared" si="20"/>
        <v>15-02-2025 to 21-02-2025</v>
      </c>
    </row>
    <row r="437" spans="1:7">
      <c r="A437" s="1">
        <v>45703</v>
      </c>
      <c r="B437" s="6">
        <v>1.8055555555555554E-2</v>
      </c>
      <c r="C437" s="10" t="s">
        <v>70</v>
      </c>
      <c r="D437" s="7">
        <f t="shared" si="18"/>
        <v>45703.018055555556</v>
      </c>
      <c r="E437" t="str">
        <f t="shared" si="19"/>
        <v>15-02-2025 to 21-02-2025</v>
      </c>
      <c r="F437" t="str">
        <f>IF(COUNTIF('Top5'!I:I, G437) &gt; 0, "Yes", "No")</f>
        <v>No</v>
      </c>
      <c r="G437" t="str">
        <f t="shared" si="20"/>
        <v>15-02-2025 to 21-02-2025</v>
      </c>
    </row>
    <row r="438" spans="1:7">
      <c r="A438" s="1">
        <v>45703</v>
      </c>
      <c r="B438" s="6">
        <v>0.58472222222222225</v>
      </c>
      <c r="C438" s="10" t="s">
        <v>71</v>
      </c>
      <c r="D438" s="7">
        <f t="shared" si="18"/>
        <v>45703.584722222222</v>
      </c>
      <c r="E438" t="str">
        <f t="shared" si="19"/>
        <v>15-02-2025 to 21-02-2025</v>
      </c>
      <c r="F438" t="str">
        <f>IF(COUNTIF('Top5'!I:I, G438) &gt; 0, "Yes", "No")</f>
        <v>No</v>
      </c>
      <c r="G438" t="str">
        <f t="shared" si="20"/>
        <v>15-02-2025 to 21-02-2025</v>
      </c>
    </row>
    <row r="439" spans="1:7">
      <c r="A439" s="1">
        <v>45703</v>
      </c>
      <c r="B439" s="6">
        <v>0.59513888888888888</v>
      </c>
      <c r="C439" s="10" t="s">
        <v>71</v>
      </c>
      <c r="D439" s="7">
        <f t="shared" si="18"/>
        <v>45703.595138888886</v>
      </c>
      <c r="E439" t="str">
        <f t="shared" si="19"/>
        <v>15-02-2025 to 21-02-2025</v>
      </c>
      <c r="F439" t="str">
        <f>IF(COUNTIF('Top5'!I:I, G439) &gt; 0, "Yes", "No")</f>
        <v>No</v>
      </c>
      <c r="G439" t="str">
        <f t="shared" si="20"/>
        <v>15-02-2025 to 21-02-2025</v>
      </c>
    </row>
    <row r="440" spans="1:7">
      <c r="A440" s="1">
        <v>45703</v>
      </c>
      <c r="B440" s="6">
        <v>0.59583333333333333</v>
      </c>
      <c r="C440" s="10" t="s">
        <v>71</v>
      </c>
      <c r="D440" s="7">
        <f t="shared" si="18"/>
        <v>45703.595833333333</v>
      </c>
      <c r="E440" t="str">
        <f t="shared" si="19"/>
        <v>15-02-2025 to 21-02-2025</v>
      </c>
      <c r="F440" t="str">
        <f>IF(COUNTIF('Top5'!I:I, G440) &gt; 0, "Yes", "No")</f>
        <v>No</v>
      </c>
      <c r="G440" t="str">
        <f t="shared" si="20"/>
        <v>15-02-2025 to 21-02-2025</v>
      </c>
    </row>
    <row r="441" spans="1:7">
      <c r="A441" s="1">
        <v>45704</v>
      </c>
      <c r="B441" s="6">
        <v>0.71111111111111114</v>
      </c>
      <c r="C441" s="10" t="s">
        <v>70</v>
      </c>
      <c r="D441" s="7">
        <f t="shared" si="18"/>
        <v>45704.711111111108</v>
      </c>
      <c r="E441" t="str">
        <f t="shared" si="19"/>
        <v>16-02-2025 to 22-02-2025</v>
      </c>
      <c r="F441" t="str">
        <f>IF(COUNTIF('Top5'!I:I, G441) &gt; 0, "Yes", "No")</f>
        <v>No</v>
      </c>
      <c r="G441" t="str">
        <f t="shared" si="20"/>
        <v>16-02-2025 to 22-02-2025</v>
      </c>
    </row>
    <row r="442" spans="1:7">
      <c r="A442" s="1">
        <v>45704</v>
      </c>
      <c r="B442" s="6">
        <v>0.71250000000000002</v>
      </c>
      <c r="C442" s="10" t="s">
        <v>70</v>
      </c>
      <c r="D442" s="7">
        <f t="shared" si="18"/>
        <v>45704.712500000001</v>
      </c>
      <c r="E442" t="str">
        <f t="shared" si="19"/>
        <v>16-02-2025 to 22-02-2025</v>
      </c>
      <c r="F442" t="str">
        <f>IF(COUNTIF('Top5'!I:I, G442) &gt; 0, "Yes", "No")</f>
        <v>No</v>
      </c>
      <c r="G442" t="str">
        <f t="shared" si="20"/>
        <v>16-02-2025 to 22-02-2025</v>
      </c>
    </row>
    <row r="443" spans="1:7">
      <c r="A443" s="1">
        <v>45704</v>
      </c>
      <c r="B443" s="6">
        <v>0.71388888888888891</v>
      </c>
      <c r="C443" s="10" t="s">
        <v>70</v>
      </c>
      <c r="D443" s="7">
        <f t="shared" si="18"/>
        <v>45704.713888888888</v>
      </c>
      <c r="E443" t="str">
        <f t="shared" si="19"/>
        <v>16-02-2025 to 22-02-2025</v>
      </c>
      <c r="F443" t="str">
        <f>IF(COUNTIF('Top5'!I:I, G443) &gt; 0, "Yes", "No")</f>
        <v>No</v>
      </c>
      <c r="G443" t="str">
        <f t="shared" si="20"/>
        <v>16-02-2025 to 22-02-2025</v>
      </c>
    </row>
    <row r="444" spans="1:7">
      <c r="A444" s="1">
        <v>45704</v>
      </c>
      <c r="B444" s="6">
        <v>0.71805555555555556</v>
      </c>
      <c r="C444" s="10" t="s">
        <v>70</v>
      </c>
      <c r="D444" s="7">
        <f t="shared" si="18"/>
        <v>45704.718055555553</v>
      </c>
      <c r="E444" t="str">
        <f t="shared" si="19"/>
        <v>16-02-2025 to 22-02-2025</v>
      </c>
      <c r="F444" t="str">
        <f>IF(COUNTIF('Top5'!I:I, G444) &gt; 0, "Yes", "No")</f>
        <v>No</v>
      </c>
      <c r="G444" t="str">
        <f t="shared" si="20"/>
        <v>16-02-2025 to 22-02-2025</v>
      </c>
    </row>
    <row r="445" spans="1:7">
      <c r="A445" s="1">
        <v>45704</v>
      </c>
      <c r="B445" s="6">
        <v>0.72430555555555554</v>
      </c>
      <c r="C445" s="10" t="s">
        <v>70</v>
      </c>
      <c r="D445" s="7">
        <f t="shared" si="18"/>
        <v>45704.724305555559</v>
      </c>
      <c r="E445" t="str">
        <f t="shared" si="19"/>
        <v>16-02-2025 to 22-02-2025</v>
      </c>
      <c r="F445" t="str">
        <f>IF(COUNTIF('Top5'!I:I, G445) &gt; 0, "Yes", "No")</f>
        <v>No</v>
      </c>
      <c r="G445" t="str">
        <f t="shared" si="20"/>
        <v>16-02-2025 to 22-02-2025</v>
      </c>
    </row>
    <row r="446" spans="1:7">
      <c r="A446" s="1">
        <v>45704</v>
      </c>
      <c r="B446" s="6">
        <v>0.99791666666666667</v>
      </c>
      <c r="C446" s="10" t="s">
        <v>70</v>
      </c>
      <c r="D446" s="7">
        <f t="shared" si="18"/>
        <v>45704.997916666667</v>
      </c>
      <c r="E446" t="str">
        <f t="shared" si="19"/>
        <v>16-02-2025 to 22-02-2025</v>
      </c>
      <c r="F446" t="str">
        <f>IF(COUNTIF('Top5'!I:I, G446) &gt; 0, "Yes", "No")</f>
        <v>No</v>
      </c>
      <c r="G446" t="str">
        <f t="shared" si="20"/>
        <v>16-02-2025 to 22-02-2025</v>
      </c>
    </row>
    <row r="447" spans="1:7">
      <c r="A447" s="1">
        <v>45705</v>
      </c>
      <c r="B447" s="6">
        <v>3.472222222222222E-3</v>
      </c>
      <c r="C447" s="10" t="s">
        <v>70</v>
      </c>
      <c r="D447" s="7">
        <f t="shared" si="18"/>
        <v>45705.003472222219</v>
      </c>
      <c r="E447" t="str">
        <f t="shared" si="19"/>
        <v>17-02-2025 to 23-02-2025</v>
      </c>
      <c r="F447" t="str">
        <f>IF(COUNTIF('Top5'!I:I, G447) &gt; 0, "Yes", "No")</f>
        <v>No</v>
      </c>
      <c r="G447" t="str">
        <f t="shared" si="20"/>
        <v>17-02-2025 to 23-02-2025</v>
      </c>
    </row>
    <row r="448" spans="1:7">
      <c r="A448" s="1">
        <v>45705</v>
      </c>
      <c r="B448" s="6">
        <v>0.96805555555555556</v>
      </c>
      <c r="C448" s="10" t="s">
        <v>70</v>
      </c>
      <c r="D448" s="7">
        <f t="shared" si="18"/>
        <v>45705.968055555553</v>
      </c>
      <c r="E448" t="str">
        <f t="shared" si="19"/>
        <v>17-02-2025 to 23-02-2025</v>
      </c>
      <c r="F448" t="str">
        <f>IF(COUNTIF('Top5'!I:I, G448) &gt; 0, "Yes", "No")</f>
        <v>No</v>
      </c>
      <c r="G448" t="str">
        <f t="shared" si="20"/>
        <v>17-02-2025 to 23-02-2025</v>
      </c>
    </row>
    <row r="449" spans="1:7">
      <c r="A449" s="1">
        <v>45707</v>
      </c>
      <c r="B449" s="6">
        <v>0.42083333333333334</v>
      </c>
      <c r="C449" s="10" t="s">
        <v>22</v>
      </c>
      <c r="D449" s="7">
        <f t="shared" si="18"/>
        <v>45707.42083333333</v>
      </c>
      <c r="E449" t="str">
        <f t="shared" si="19"/>
        <v>19-02-2025 to 25-02-2025</v>
      </c>
      <c r="F449" t="str">
        <f>IF(COUNTIF('Top5'!I:I, G449) &gt; 0, "Yes", "No")</f>
        <v>No</v>
      </c>
      <c r="G449" t="str">
        <f t="shared" si="20"/>
        <v>19-02-2025 to 25-02-2025</v>
      </c>
    </row>
    <row r="450" spans="1:7">
      <c r="A450" s="1">
        <v>45707</v>
      </c>
      <c r="B450" s="6">
        <v>0.45069444444444445</v>
      </c>
      <c r="C450" s="10" t="s">
        <v>22</v>
      </c>
      <c r="D450" s="7">
        <f t="shared" si="18"/>
        <v>45707.450694444444</v>
      </c>
      <c r="E450" t="str">
        <f t="shared" si="19"/>
        <v>19-02-2025 to 25-02-2025</v>
      </c>
      <c r="F450" t="str">
        <f>IF(COUNTIF('Top5'!I:I, G450) &gt; 0, "Yes", "No")</f>
        <v>No</v>
      </c>
      <c r="G450" t="str">
        <f t="shared" si="20"/>
        <v>19-02-2025 to 25-02-2025</v>
      </c>
    </row>
    <row r="451" spans="1:7">
      <c r="A451" s="1">
        <v>45707</v>
      </c>
      <c r="B451" s="6">
        <v>0.66736111111111107</v>
      </c>
      <c r="C451" s="10" t="s">
        <v>71</v>
      </c>
      <c r="D451" s="7">
        <f t="shared" ref="D451:D514" si="21">VALUE(A451) + VALUE(B451)</f>
        <v>45707.667361111111</v>
      </c>
      <c r="E451" t="str">
        <f t="shared" ref="E451:E514" si="22">TEXT(D451, "dd-mm-yyyy") &amp; " to " &amp; TEXT(D451+6, "dd-mm-yyyy")</f>
        <v>19-02-2025 to 25-02-2025</v>
      </c>
      <c r="F451" t="str">
        <f>IF(COUNTIF('Top5'!I:I, G451) &gt; 0, "Yes", "No")</f>
        <v>No</v>
      </c>
      <c r="G451" t="str">
        <f t="shared" ref="G451:G514" si="23">TRIM(E451)</f>
        <v>19-02-2025 to 25-02-2025</v>
      </c>
    </row>
    <row r="452" spans="1:7">
      <c r="A452" s="1">
        <v>45707</v>
      </c>
      <c r="B452" s="6">
        <v>0.66736111111111107</v>
      </c>
      <c r="C452" s="10" t="s">
        <v>71</v>
      </c>
      <c r="D452" s="7">
        <f t="shared" si="21"/>
        <v>45707.667361111111</v>
      </c>
      <c r="E452" t="str">
        <f t="shared" si="22"/>
        <v>19-02-2025 to 25-02-2025</v>
      </c>
      <c r="F452" t="str">
        <f>IF(COUNTIF('Top5'!I:I, G452) &gt; 0, "Yes", "No")</f>
        <v>No</v>
      </c>
      <c r="G452" t="str">
        <f t="shared" si="23"/>
        <v>19-02-2025 to 25-02-2025</v>
      </c>
    </row>
    <row r="453" spans="1:7">
      <c r="A453" s="1">
        <v>45707</v>
      </c>
      <c r="B453" s="6">
        <v>0.78055555555555556</v>
      </c>
      <c r="C453" s="10" t="s">
        <v>70</v>
      </c>
      <c r="D453" s="7">
        <f t="shared" si="21"/>
        <v>45707.780555555553</v>
      </c>
      <c r="E453" t="str">
        <f t="shared" si="22"/>
        <v>19-02-2025 to 25-02-2025</v>
      </c>
      <c r="F453" t="str">
        <f>IF(COUNTIF('Top5'!I:I, G453) &gt; 0, "Yes", "No")</f>
        <v>No</v>
      </c>
      <c r="G453" t="str">
        <f t="shared" si="23"/>
        <v>19-02-2025 to 25-02-2025</v>
      </c>
    </row>
    <row r="454" spans="1:7">
      <c r="A454" s="1">
        <v>45708</v>
      </c>
      <c r="B454" s="6">
        <v>0.97847222222222219</v>
      </c>
      <c r="C454" s="10" t="s">
        <v>70</v>
      </c>
      <c r="D454" s="7">
        <f t="shared" si="21"/>
        <v>45708.978472222225</v>
      </c>
      <c r="E454" t="str">
        <f t="shared" si="22"/>
        <v>20-02-2025 to 26-02-2025</v>
      </c>
      <c r="F454" t="str">
        <f>IF(COUNTIF('Top5'!I:I, G454) &gt; 0, "Yes", "No")</f>
        <v>No</v>
      </c>
      <c r="G454" t="str">
        <f t="shared" si="23"/>
        <v>20-02-2025 to 26-02-2025</v>
      </c>
    </row>
    <row r="455" spans="1:7">
      <c r="A455" s="1">
        <v>45708</v>
      </c>
      <c r="B455" s="6">
        <v>0.9819444444444444</v>
      </c>
      <c r="C455" s="10" t="s">
        <v>70</v>
      </c>
      <c r="D455" s="7">
        <f t="shared" si="21"/>
        <v>45708.981944444444</v>
      </c>
      <c r="E455" t="str">
        <f t="shared" si="22"/>
        <v>20-02-2025 to 26-02-2025</v>
      </c>
      <c r="F455" t="str">
        <f>IF(COUNTIF('Top5'!I:I, G455) &gt; 0, "Yes", "No")</f>
        <v>No</v>
      </c>
      <c r="G455" t="str">
        <f t="shared" si="23"/>
        <v>20-02-2025 to 26-02-2025</v>
      </c>
    </row>
    <row r="456" spans="1:7">
      <c r="A456" s="1">
        <v>45709</v>
      </c>
      <c r="B456" s="6">
        <v>4.8611111111111112E-3</v>
      </c>
      <c r="C456" s="10" t="s">
        <v>70</v>
      </c>
      <c r="D456" s="7">
        <f t="shared" si="21"/>
        <v>45709.004861111112</v>
      </c>
      <c r="E456" t="str">
        <f t="shared" si="22"/>
        <v>21-02-2025 to 27-02-2025</v>
      </c>
      <c r="F456" t="str">
        <f>IF(COUNTIF('Top5'!I:I, G456) &gt; 0, "Yes", "No")</f>
        <v>No</v>
      </c>
      <c r="G456" t="str">
        <f t="shared" si="23"/>
        <v>21-02-2025 to 27-02-2025</v>
      </c>
    </row>
    <row r="457" spans="1:7">
      <c r="A457" s="1">
        <v>45709</v>
      </c>
      <c r="B457" s="6">
        <v>5.5555555555555558E-3</v>
      </c>
      <c r="C457" s="10" t="s">
        <v>70</v>
      </c>
      <c r="D457" s="7">
        <f t="shared" si="21"/>
        <v>45709.005555555559</v>
      </c>
      <c r="E457" t="str">
        <f t="shared" si="22"/>
        <v>21-02-2025 to 27-02-2025</v>
      </c>
      <c r="F457" t="str">
        <f>IF(COUNTIF('Top5'!I:I, G457) &gt; 0, "Yes", "No")</f>
        <v>No</v>
      </c>
      <c r="G457" t="str">
        <f t="shared" si="23"/>
        <v>21-02-2025 to 27-02-2025</v>
      </c>
    </row>
    <row r="458" spans="1:7">
      <c r="A458" s="1">
        <v>45709</v>
      </c>
      <c r="B458" s="6">
        <v>6.2500000000000003E-3</v>
      </c>
      <c r="C458" s="10" t="s">
        <v>70</v>
      </c>
      <c r="D458" s="7">
        <f t="shared" si="21"/>
        <v>45709.006249999999</v>
      </c>
      <c r="E458" t="str">
        <f t="shared" si="22"/>
        <v>21-02-2025 to 27-02-2025</v>
      </c>
      <c r="F458" t="str">
        <f>IF(COUNTIF('Top5'!I:I, G458) &gt; 0, "Yes", "No")</f>
        <v>No</v>
      </c>
      <c r="G458" t="str">
        <f t="shared" si="23"/>
        <v>21-02-2025 to 27-02-2025</v>
      </c>
    </row>
    <row r="459" spans="1:7">
      <c r="A459" s="1">
        <v>45709</v>
      </c>
      <c r="B459" s="6">
        <v>6.9444444444444441E-3</v>
      </c>
      <c r="C459" s="10" t="s">
        <v>70</v>
      </c>
      <c r="D459" s="7">
        <f t="shared" si="21"/>
        <v>45709.006944444445</v>
      </c>
      <c r="E459" t="str">
        <f t="shared" si="22"/>
        <v>21-02-2025 to 27-02-2025</v>
      </c>
      <c r="F459" t="str">
        <f>IF(COUNTIF('Top5'!I:I, G459) &gt; 0, "Yes", "No")</f>
        <v>No</v>
      </c>
      <c r="G459" t="str">
        <f t="shared" si="23"/>
        <v>21-02-2025 to 27-02-2025</v>
      </c>
    </row>
    <row r="460" spans="1:7">
      <c r="A460" s="1">
        <v>45709</v>
      </c>
      <c r="B460" s="6">
        <v>1.1805555555555555E-2</v>
      </c>
      <c r="C460" s="10" t="s">
        <v>70</v>
      </c>
      <c r="D460" s="7">
        <f t="shared" si="21"/>
        <v>45709.011805555558</v>
      </c>
      <c r="E460" t="str">
        <f t="shared" si="22"/>
        <v>21-02-2025 to 27-02-2025</v>
      </c>
      <c r="F460" t="str">
        <f>IF(COUNTIF('Top5'!I:I, G460) &gt; 0, "Yes", "No")</f>
        <v>No</v>
      </c>
      <c r="G460" t="str">
        <f t="shared" si="23"/>
        <v>21-02-2025 to 27-02-2025</v>
      </c>
    </row>
    <row r="461" spans="1:7">
      <c r="A461" s="1">
        <v>45709</v>
      </c>
      <c r="B461" s="6">
        <v>1.4583333333333334E-2</v>
      </c>
      <c r="C461" s="10" t="s">
        <v>70</v>
      </c>
      <c r="D461" s="7">
        <f t="shared" si="21"/>
        <v>45709.01458333333</v>
      </c>
      <c r="E461" t="str">
        <f t="shared" si="22"/>
        <v>21-02-2025 to 27-02-2025</v>
      </c>
      <c r="F461" t="str">
        <f>IF(COUNTIF('Top5'!I:I, G461) &gt; 0, "Yes", "No")</f>
        <v>No</v>
      </c>
      <c r="G461" t="str">
        <f t="shared" si="23"/>
        <v>21-02-2025 to 27-02-2025</v>
      </c>
    </row>
    <row r="462" spans="1:7">
      <c r="A462" s="1">
        <v>45709</v>
      </c>
      <c r="B462" s="6">
        <v>0.50069444444444444</v>
      </c>
      <c r="C462" s="10" t="s">
        <v>71</v>
      </c>
      <c r="D462" s="7">
        <f t="shared" si="21"/>
        <v>45709.500694444447</v>
      </c>
      <c r="E462" t="str">
        <f t="shared" si="22"/>
        <v>21-02-2025 to 27-02-2025</v>
      </c>
      <c r="F462" t="str">
        <f>IF(COUNTIF('Top5'!I:I, G462) &gt; 0, "Yes", "No")</f>
        <v>No</v>
      </c>
      <c r="G462" t="str">
        <f t="shared" si="23"/>
        <v>21-02-2025 to 27-02-2025</v>
      </c>
    </row>
    <row r="463" spans="1:7">
      <c r="A463" s="1">
        <v>45709</v>
      </c>
      <c r="B463" s="6">
        <v>0.50138888888888888</v>
      </c>
      <c r="C463" s="10" t="s">
        <v>71</v>
      </c>
      <c r="D463" s="7">
        <f t="shared" si="21"/>
        <v>45709.501388888886</v>
      </c>
      <c r="E463" t="str">
        <f t="shared" si="22"/>
        <v>21-02-2025 to 27-02-2025</v>
      </c>
      <c r="F463" t="str">
        <f>IF(COUNTIF('Top5'!I:I, G463) &gt; 0, "Yes", "No")</f>
        <v>No</v>
      </c>
      <c r="G463" t="str">
        <f t="shared" si="23"/>
        <v>21-02-2025 to 27-02-2025</v>
      </c>
    </row>
    <row r="464" spans="1:7">
      <c r="A464" s="1">
        <v>45709</v>
      </c>
      <c r="B464" s="6">
        <v>0.51041666666666663</v>
      </c>
      <c r="C464" s="10" t="s">
        <v>71</v>
      </c>
      <c r="D464" s="7">
        <f t="shared" si="21"/>
        <v>45709.510416666664</v>
      </c>
      <c r="E464" t="str">
        <f t="shared" si="22"/>
        <v>21-02-2025 to 27-02-2025</v>
      </c>
      <c r="F464" t="str">
        <f>IF(COUNTIF('Top5'!I:I, G464) &gt; 0, "Yes", "No")</f>
        <v>No</v>
      </c>
      <c r="G464" t="str">
        <f t="shared" si="23"/>
        <v>21-02-2025 to 27-02-2025</v>
      </c>
    </row>
    <row r="465" spans="1:7">
      <c r="A465" s="1">
        <v>45709</v>
      </c>
      <c r="B465" s="6">
        <v>0.60833333333333328</v>
      </c>
      <c r="C465" s="10" t="s">
        <v>71</v>
      </c>
      <c r="D465" s="7">
        <f t="shared" si="21"/>
        <v>45709.60833333333</v>
      </c>
      <c r="E465" t="str">
        <f t="shared" si="22"/>
        <v>21-02-2025 to 27-02-2025</v>
      </c>
      <c r="F465" t="str">
        <f>IF(COUNTIF('Top5'!I:I, G465) &gt; 0, "Yes", "No")</f>
        <v>No</v>
      </c>
      <c r="G465" t="str">
        <f t="shared" si="23"/>
        <v>21-02-2025 to 27-02-2025</v>
      </c>
    </row>
    <row r="466" spans="1:7">
      <c r="A466" s="1">
        <v>45710</v>
      </c>
      <c r="B466" s="6">
        <v>0.96944444444444444</v>
      </c>
      <c r="C466" s="10" t="s">
        <v>70</v>
      </c>
      <c r="D466" s="7">
        <f t="shared" si="21"/>
        <v>45710.969444444447</v>
      </c>
      <c r="E466" t="str">
        <f t="shared" si="22"/>
        <v>22-02-2025 to 28-02-2025</v>
      </c>
      <c r="F466" t="str">
        <f>IF(COUNTIF('Top5'!I:I, G466) &gt; 0, "Yes", "No")</f>
        <v>No</v>
      </c>
      <c r="G466" t="str">
        <f t="shared" si="23"/>
        <v>22-02-2025 to 28-02-2025</v>
      </c>
    </row>
    <row r="467" spans="1:7">
      <c r="A467" s="1">
        <v>45710</v>
      </c>
      <c r="B467" s="6">
        <v>0.97916666666666663</v>
      </c>
      <c r="C467" s="10" t="s">
        <v>70</v>
      </c>
      <c r="D467" s="7">
        <f t="shared" si="21"/>
        <v>45710.979166666664</v>
      </c>
      <c r="E467" t="str">
        <f t="shared" si="22"/>
        <v>22-02-2025 to 28-02-2025</v>
      </c>
      <c r="F467" t="str">
        <f>IF(COUNTIF('Top5'!I:I, G467) &gt; 0, "Yes", "No")</f>
        <v>No</v>
      </c>
      <c r="G467" t="str">
        <f t="shared" si="23"/>
        <v>22-02-2025 to 28-02-2025</v>
      </c>
    </row>
    <row r="468" spans="1:7">
      <c r="A468" s="1">
        <v>45711</v>
      </c>
      <c r="B468" s="6">
        <v>0.45</v>
      </c>
      <c r="C468" s="10" t="s">
        <v>22</v>
      </c>
      <c r="D468" s="7">
        <f t="shared" si="21"/>
        <v>45711.45</v>
      </c>
      <c r="E468" t="str">
        <f t="shared" si="22"/>
        <v>23-02-2025 to 01-03-2025</v>
      </c>
      <c r="F468" t="str">
        <f>IF(COUNTIF('Top5'!I:I, G468) &gt; 0, "Yes", "No")</f>
        <v>No</v>
      </c>
      <c r="G468" t="str">
        <f t="shared" si="23"/>
        <v>23-02-2025 to 01-03-2025</v>
      </c>
    </row>
    <row r="469" spans="1:7">
      <c r="A469" s="1">
        <v>45711</v>
      </c>
      <c r="B469" s="6">
        <v>0.47499999999999998</v>
      </c>
      <c r="C469" s="10" t="s">
        <v>22</v>
      </c>
      <c r="D469" s="7">
        <f t="shared" si="21"/>
        <v>45711.474999999999</v>
      </c>
      <c r="E469" t="str">
        <f t="shared" si="22"/>
        <v>23-02-2025 to 01-03-2025</v>
      </c>
      <c r="F469" t="str">
        <f>IF(COUNTIF('Top5'!I:I, G469) &gt; 0, "Yes", "No")</f>
        <v>No</v>
      </c>
      <c r="G469" t="str">
        <f t="shared" si="23"/>
        <v>23-02-2025 to 01-03-2025</v>
      </c>
    </row>
    <row r="470" spans="1:7">
      <c r="A470" s="1">
        <v>45711</v>
      </c>
      <c r="B470" s="6">
        <v>0.47638888888888886</v>
      </c>
      <c r="C470" s="10" t="s">
        <v>22</v>
      </c>
      <c r="D470" s="7">
        <f t="shared" si="21"/>
        <v>45711.476388888892</v>
      </c>
      <c r="E470" t="str">
        <f t="shared" si="22"/>
        <v>23-02-2025 to 01-03-2025</v>
      </c>
      <c r="F470" t="str">
        <f>IF(COUNTIF('Top5'!I:I, G470) &gt; 0, "Yes", "No")</f>
        <v>No</v>
      </c>
      <c r="G470" t="str">
        <f t="shared" si="23"/>
        <v>23-02-2025 to 01-03-2025</v>
      </c>
    </row>
    <row r="471" spans="1:7">
      <c r="A471" s="1">
        <v>45711</v>
      </c>
      <c r="B471" s="6">
        <v>0.8208333333333333</v>
      </c>
      <c r="C471" s="10" t="s">
        <v>70</v>
      </c>
      <c r="D471" s="7">
        <f t="shared" si="21"/>
        <v>45711.820833333331</v>
      </c>
      <c r="E471" t="str">
        <f t="shared" si="22"/>
        <v>23-02-2025 to 01-03-2025</v>
      </c>
      <c r="F471" t="str">
        <f>IF(COUNTIF('Top5'!I:I, G471) &gt; 0, "Yes", "No")</f>
        <v>No</v>
      </c>
      <c r="G471" t="str">
        <f t="shared" si="23"/>
        <v>23-02-2025 to 01-03-2025</v>
      </c>
    </row>
    <row r="472" spans="1:7">
      <c r="A472" s="1">
        <v>45711</v>
      </c>
      <c r="B472" s="6">
        <v>0.82152777777777775</v>
      </c>
      <c r="C472" s="10" t="s">
        <v>70</v>
      </c>
      <c r="D472" s="7">
        <f t="shared" si="21"/>
        <v>45711.821527777778</v>
      </c>
      <c r="E472" t="str">
        <f t="shared" si="22"/>
        <v>23-02-2025 to 01-03-2025</v>
      </c>
      <c r="F472" t="str">
        <f>IF(COUNTIF('Top5'!I:I, G472) &gt; 0, "Yes", "No")</f>
        <v>No</v>
      </c>
      <c r="G472" t="str">
        <f t="shared" si="23"/>
        <v>23-02-2025 to 01-03-2025</v>
      </c>
    </row>
    <row r="473" spans="1:7">
      <c r="A473" s="1">
        <v>45711</v>
      </c>
      <c r="B473" s="6">
        <v>0.84722222222222221</v>
      </c>
      <c r="C473" s="10" t="s">
        <v>70</v>
      </c>
      <c r="D473" s="7">
        <f t="shared" si="21"/>
        <v>45711.847222222219</v>
      </c>
      <c r="E473" t="str">
        <f t="shared" si="22"/>
        <v>23-02-2025 to 01-03-2025</v>
      </c>
      <c r="F473" t="str">
        <f>IF(COUNTIF('Top5'!I:I, G473) &gt; 0, "Yes", "No")</f>
        <v>No</v>
      </c>
      <c r="G473" t="str">
        <f t="shared" si="23"/>
        <v>23-02-2025 to 01-03-2025</v>
      </c>
    </row>
    <row r="474" spans="1:7">
      <c r="A474" s="1">
        <v>45711</v>
      </c>
      <c r="B474" s="6">
        <v>0.99444444444444446</v>
      </c>
      <c r="C474" s="10" t="s">
        <v>70</v>
      </c>
      <c r="D474" s="7">
        <f t="shared" si="21"/>
        <v>45711.994444444441</v>
      </c>
      <c r="E474" t="str">
        <f t="shared" si="22"/>
        <v>23-02-2025 to 01-03-2025</v>
      </c>
      <c r="F474" t="str">
        <f>IF(COUNTIF('Top5'!I:I, G474) &gt; 0, "Yes", "No")</f>
        <v>No</v>
      </c>
      <c r="G474" t="str">
        <f t="shared" si="23"/>
        <v>23-02-2025 to 01-03-2025</v>
      </c>
    </row>
    <row r="475" spans="1:7">
      <c r="A475" s="1">
        <v>45711</v>
      </c>
      <c r="B475" s="6">
        <v>0.99583333333333335</v>
      </c>
      <c r="C475" s="10" t="s">
        <v>70</v>
      </c>
      <c r="D475" s="7">
        <f t="shared" si="21"/>
        <v>45711.995833333334</v>
      </c>
      <c r="E475" t="str">
        <f t="shared" si="22"/>
        <v>23-02-2025 to 01-03-2025</v>
      </c>
      <c r="F475" t="str">
        <f>IF(COUNTIF('Top5'!I:I, G475) &gt; 0, "Yes", "No")</f>
        <v>No</v>
      </c>
      <c r="G475" t="str">
        <f t="shared" si="23"/>
        <v>23-02-2025 to 01-03-2025</v>
      </c>
    </row>
    <row r="476" spans="1:7">
      <c r="A476" s="1">
        <v>45712</v>
      </c>
      <c r="B476" s="6">
        <v>0.70347222222222228</v>
      </c>
      <c r="C476" s="10" t="s">
        <v>71</v>
      </c>
      <c r="D476" s="7">
        <f t="shared" si="21"/>
        <v>45712.703472222223</v>
      </c>
      <c r="E476" t="str">
        <f t="shared" si="22"/>
        <v>24-02-2025 to 02-03-2025</v>
      </c>
      <c r="F476" t="str">
        <f>IF(COUNTIF('Top5'!I:I, G476) &gt; 0, "Yes", "No")</f>
        <v>No</v>
      </c>
      <c r="G476" t="str">
        <f t="shared" si="23"/>
        <v>24-02-2025 to 02-03-2025</v>
      </c>
    </row>
    <row r="477" spans="1:7">
      <c r="A477" s="1">
        <v>45712</v>
      </c>
      <c r="B477" s="6">
        <v>0.7104166666666667</v>
      </c>
      <c r="C477" s="10" t="s">
        <v>70</v>
      </c>
      <c r="D477" s="7">
        <f t="shared" si="21"/>
        <v>45712.710416666669</v>
      </c>
      <c r="E477" t="str">
        <f t="shared" si="22"/>
        <v>24-02-2025 to 02-03-2025</v>
      </c>
      <c r="F477" t="str">
        <f>IF(COUNTIF('Top5'!I:I, G477) &gt; 0, "Yes", "No")</f>
        <v>No</v>
      </c>
      <c r="G477" t="str">
        <f t="shared" si="23"/>
        <v>24-02-2025 to 02-03-2025</v>
      </c>
    </row>
    <row r="478" spans="1:7">
      <c r="A478" s="1">
        <v>45712</v>
      </c>
      <c r="B478" s="6">
        <v>0.7104166666666667</v>
      </c>
      <c r="C478" s="10" t="s">
        <v>70</v>
      </c>
      <c r="D478" s="7">
        <f t="shared" si="21"/>
        <v>45712.710416666669</v>
      </c>
      <c r="E478" t="str">
        <f t="shared" si="22"/>
        <v>24-02-2025 to 02-03-2025</v>
      </c>
      <c r="F478" t="str">
        <f>IF(COUNTIF('Top5'!I:I, G478) &gt; 0, "Yes", "No")</f>
        <v>No</v>
      </c>
      <c r="G478" t="str">
        <f t="shared" si="23"/>
        <v>24-02-2025 to 02-03-2025</v>
      </c>
    </row>
    <row r="479" spans="1:7">
      <c r="A479" s="1">
        <v>45712</v>
      </c>
      <c r="B479" s="6">
        <v>0.73055555555555551</v>
      </c>
      <c r="C479" s="10" t="s">
        <v>70</v>
      </c>
      <c r="D479" s="7">
        <f t="shared" si="21"/>
        <v>45712.730555555558</v>
      </c>
      <c r="E479" t="str">
        <f t="shared" si="22"/>
        <v>24-02-2025 to 02-03-2025</v>
      </c>
      <c r="F479" t="str">
        <f>IF(COUNTIF('Top5'!I:I, G479) &gt; 0, "Yes", "No")</f>
        <v>No</v>
      </c>
      <c r="G479" t="str">
        <f t="shared" si="23"/>
        <v>24-02-2025 to 02-03-2025</v>
      </c>
    </row>
    <row r="480" spans="1:7">
      <c r="A480" s="1">
        <v>45713</v>
      </c>
      <c r="B480" s="6">
        <v>0.40625</v>
      </c>
      <c r="C480" s="10" t="s">
        <v>22</v>
      </c>
      <c r="D480" s="7">
        <f t="shared" si="21"/>
        <v>45713.40625</v>
      </c>
      <c r="E480" t="str">
        <f t="shared" si="22"/>
        <v>25-02-2025 to 03-03-2025</v>
      </c>
      <c r="F480" t="str">
        <f>IF(COUNTIF('Top5'!I:I, G480) &gt; 0, "Yes", "No")</f>
        <v>No</v>
      </c>
      <c r="G480" t="str">
        <f t="shared" si="23"/>
        <v>25-02-2025 to 03-03-2025</v>
      </c>
    </row>
    <row r="481" spans="1:7">
      <c r="A481" s="1">
        <v>45713</v>
      </c>
      <c r="B481" s="6">
        <v>0.41666666666666669</v>
      </c>
      <c r="C481" s="10" t="s">
        <v>22</v>
      </c>
      <c r="D481" s="7">
        <f t="shared" si="21"/>
        <v>45713.416666666664</v>
      </c>
      <c r="E481" t="str">
        <f t="shared" si="22"/>
        <v>25-02-2025 to 03-03-2025</v>
      </c>
      <c r="F481" t="str">
        <f>IF(COUNTIF('Top5'!I:I, G481) &gt; 0, "Yes", "No")</f>
        <v>No</v>
      </c>
      <c r="G481" t="str">
        <f t="shared" si="23"/>
        <v>25-02-2025 to 03-03-2025</v>
      </c>
    </row>
    <row r="482" spans="1:7">
      <c r="A482" s="1">
        <v>45713</v>
      </c>
      <c r="B482" s="6">
        <v>0.97777777777777775</v>
      </c>
      <c r="C482" s="10" t="s">
        <v>70</v>
      </c>
      <c r="D482" s="7">
        <f t="shared" si="21"/>
        <v>45713.977777777778</v>
      </c>
      <c r="E482" t="str">
        <f t="shared" si="22"/>
        <v>25-02-2025 to 03-03-2025</v>
      </c>
      <c r="F482" t="str">
        <f>IF(COUNTIF('Top5'!I:I, G482) &gt; 0, "Yes", "No")</f>
        <v>No</v>
      </c>
      <c r="G482" t="str">
        <f t="shared" si="23"/>
        <v>25-02-2025 to 03-03-2025</v>
      </c>
    </row>
    <row r="483" spans="1:7">
      <c r="A483" s="1">
        <v>45714</v>
      </c>
      <c r="B483" s="6">
        <v>0.44374999999999998</v>
      </c>
      <c r="C483" s="10" t="s">
        <v>22</v>
      </c>
      <c r="D483" s="7">
        <f t="shared" si="21"/>
        <v>45714.443749999999</v>
      </c>
      <c r="E483" t="str">
        <f t="shared" si="22"/>
        <v>26-02-2025 to 04-03-2025</v>
      </c>
      <c r="F483" t="str">
        <f>IF(COUNTIF('Top5'!I:I, G483) &gt; 0, "Yes", "No")</f>
        <v>No</v>
      </c>
      <c r="G483" t="str">
        <f t="shared" si="23"/>
        <v>26-02-2025 to 04-03-2025</v>
      </c>
    </row>
    <row r="484" spans="1:7">
      <c r="A484" s="1">
        <v>45714</v>
      </c>
      <c r="B484" s="6">
        <v>0.47569444444444442</v>
      </c>
      <c r="C484" s="10" t="s">
        <v>22</v>
      </c>
      <c r="D484" s="7">
        <f t="shared" si="21"/>
        <v>45714.475694444445</v>
      </c>
      <c r="E484" t="str">
        <f t="shared" si="22"/>
        <v>26-02-2025 to 04-03-2025</v>
      </c>
      <c r="F484" t="str">
        <f>IF(COUNTIF('Top5'!I:I, G484) &gt; 0, "Yes", "No")</f>
        <v>No</v>
      </c>
      <c r="G484" t="str">
        <f t="shared" si="23"/>
        <v>26-02-2025 to 04-03-2025</v>
      </c>
    </row>
    <row r="485" spans="1:7">
      <c r="A485" s="1">
        <v>45714</v>
      </c>
      <c r="B485" s="6">
        <v>0.47569444444444442</v>
      </c>
      <c r="C485" s="10" t="s">
        <v>22</v>
      </c>
      <c r="D485" s="7">
        <f t="shared" si="21"/>
        <v>45714.475694444445</v>
      </c>
      <c r="E485" t="str">
        <f t="shared" si="22"/>
        <v>26-02-2025 to 04-03-2025</v>
      </c>
      <c r="F485" t="str">
        <f>IF(COUNTIF('Top5'!I:I, G485) &gt; 0, "Yes", "No")</f>
        <v>No</v>
      </c>
      <c r="G485" t="str">
        <f t="shared" si="23"/>
        <v>26-02-2025 to 04-03-2025</v>
      </c>
    </row>
    <row r="486" spans="1:7">
      <c r="A486" s="1">
        <v>45714</v>
      </c>
      <c r="B486" s="6">
        <v>0.47638888888888886</v>
      </c>
      <c r="C486" s="10" t="s">
        <v>22</v>
      </c>
      <c r="D486" s="7">
        <f t="shared" si="21"/>
        <v>45714.476388888892</v>
      </c>
      <c r="E486" t="str">
        <f t="shared" si="22"/>
        <v>26-02-2025 to 04-03-2025</v>
      </c>
      <c r="F486" t="str">
        <f>IF(COUNTIF('Top5'!I:I, G486) &gt; 0, "Yes", "No")</f>
        <v>No</v>
      </c>
      <c r="G486" t="str">
        <f t="shared" si="23"/>
        <v>26-02-2025 to 04-03-2025</v>
      </c>
    </row>
    <row r="487" spans="1:7">
      <c r="A487" s="1">
        <v>45714</v>
      </c>
      <c r="B487" s="6">
        <v>0.48888888888888887</v>
      </c>
      <c r="C487" s="10" t="s">
        <v>22</v>
      </c>
      <c r="D487" s="7">
        <f t="shared" si="21"/>
        <v>45714.488888888889</v>
      </c>
      <c r="E487" t="str">
        <f t="shared" si="22"/>
        <v>26-02-2025 to 04-03-2025</v>
      </c>
      <c r="F487" t="str">
        <f>IF(COUNTIF('Top5'!I:I, G487) &gt; 0, "Yes", "No")</f>
        <v>No</v>
      </c>
      <c r="G487" t="str">
        <f t="shared" si="23"/>
        <v>26-02-2025 to 04-03-2025</v>
      </c>
    </row>
    <row r="488" spans="1:7">
      <c r="A488" s="1">
        <v>45714</v>
      </c>
      <c r="B488" s="6">
        <v>0.49305555555555558</v>
      </c>
      <c r="C488" s="10" t="s">
        <v>22</v>
      </c>
      <c r="D488" s="7">
        <f t="shared" si="21"/>
        <v>45714.493055555555</v>
      </c>
      <c r="E488" t="str">
        <f t="shared" si="22"/>
        <v>26-02-2025 to 04-03-2025</v>
      </c>
      <c r="F488" t="str">
        <f>IF(COUNTIF('Top5'!I:I, G488) &gt; 0, "Yes", "No")</f>
        <v>No</v>
      </c>
      <c r="G488" t="str">
        <f t="shared" si="23"/>
        <v>26-02-2025 to 04-03-2025</v>
      </c>
    </row>
    <row r="489" spans="1:7">
      <c r="A489" s="1">
        <v>45714</v>
      </c>
      <c r="B489" s="6">
        <v>0.49375000000000002</v>
      </c>
      <c r="C489" s="10" t="s">
        <v>22</v>
      </c>
      <c r="D489" s="7">
        <f t="shared" si="21"/>
        <v>45714.493750000001</v>
      </c>
      <c r="E489" t="str">
        <f t="shared" si="22"/>
        <v>26-02-2025 to 04-03-2025</v>
      </c>
      <c r="F489" t="str">
        <f>IF(COUNTIF('Top5'!I:I, G489) &gt; 0, "Yes", "No")</f>
        <v>No</v>
      </c>
      <c r="G489" t="str">
        <f t="shared" si="23"/>
        <v>26-02-2025 to 04-03-2025</v>
      </c>
    </row>
    <row r="490" spans="1:7">
      <c r="A490" s="1">
        <v>45714</v>
      </c>
      <c r="B490" s="6">
        <v>0.49375000000000002</v>
      </c>
      <c r="C490" s="10" t="s">
        <v>22</v>
      </c>
      <c r="D490" s="7">
        <f t="shared" si="21"/>
        <v>45714.493750000001</v>
      </c>
      <c r="E490" t="str">
        <f t="shared" si="22"/>
        <v>26-02-2025 to 04-03-2025</v>
      </c>
      <c r="F490" t="str">
        <f>IF(COUNTIF('Top5'!I:I, G490) &gt; 0, "Yes", "No")</f>
        <v>No</v>
      </c>
      <c r="G490" t="str">
        <f t="shared" si="23"/>
        <v>26-02-2025 to 04-03-2025</v>
      </c>
    </row>
    <row r="491" spans="1:7">
      <c r="A491" s="1">
        <v>45714</v>
      </c>
      <c r="B491" s="6">
        <v>0.85138888888888886</v>
      </c>
      <c r="C491" s="10" t="s">
        <v>70</v>
      </c>
      <c r="D491" s="7">
        <f t="shared" si="21"/>
        <v>45714.851388888892</v>
      </c>
      <c r="E491" t="str">
        <f t="shared" si="22"/>
        <v>26-02-2025 to 04-03-2025</v>
      </c>
      <c r="F491" t="str">
        <f>IF(COUNTIF('Top5'!I:I, G491) &gt; 0, "Yes", "No")</f>
        <v>No</v>
      </c>
      <c r="G491" t="str">
        <f t="shared" si="23"/>
        <v>26-02-2025 to 04-03-2025</v>
      </c>
    </row>
    <row r="492" spans="1:7">
      <c r="A492" s="1">
        <v>45715</v>
      </c>
      <c r="B492" s="6">
        <v>2.7777777777777779E-3</v>
      </c>
      <c r="C492" s="10" t="s">
        <v>70</v>
      </c>
      <c r="D492" s="7">
        <f t="shared" si="21"/>
        <v>45715.00277777778</v>
      </c>
      <c r="E492" t="str">
        <f t="shared" si="22"/>
        <v>27-02-2025 to 05-03-2025</v>
      </c>
      <c r="F492" t="str">
        <f>IF(COUNTIF('Top5'!I:I, G492) &gt; 0, "Yes", "No")</f>
        <v>No</v>
      </c>
      <c r="G492" t="str">
        <f t="shared" si="23"/>
        <v>27-02-2025 to 05-03-2025</v>
      </c>
    </row>
    <row r="493" spans="1:7">
      <c r="A493" s="1">
        <v>45715</v>
      </c>
      <c r="B493" s="6">
        <v>4.1666666666666666E-3</v>
      </c>
      <c r="C493" s="10" t="s">
        <v>70</v>
      </c>
      <c r="D493" s="7">
        <f t="shared" si="21"/>
        <v>45715.004166666666</v>
      </c>
      <c r="E493" t="str">
        <f t="shared" si="22"/>
        <v>27-02-2025 to 05-03-2025</v>
      </c>
      <c r="F493" t="str">
        <f>IF(COUNTIF('Top5'!I:I, G493) &gt; 0, "Yes", "No")</f>
        <v>No</v>
      </c>
      <c r="G493" t="str">
        <f t="shared" si="23"/>
        <v>27-02-2025 to 05-03-2025</v>
      </c>
    </row>
    <row r="494" spans="1:7">
      <c r="A494" s="1">
        <v>45715</v>
      </c>
      <c r="B494" s="6">
        <v>0.65972222222222221</v>
      </c>
      <c r="C494" s="10" t="s">
        <v>71</v>
      </c>
      <c r="D494" s="7">
        <f t="shared" si="21"/>
        <v>45715.659722222219</v>
      </c>
      <c r="E494" t="str">
        <f t="shared" si="22"/>
        <v>27-02-2025 to 05-03-2025</v>
      </c>
      <c r="F494" t="str">
        <f>IF(COUNTIF('Top5'!I:I, G494) &gt; 0, "Yes", "No")</f>
        <v>No</v>
      </c>
      <c r="G494" t="str">
        <f t="shared" si="23"/>
        <v>27-02-2025 to 05-03-2025</v>
      </c>
    </row>
    <row r="495" spans="1:7">
      <c r="A495" s="1">
        <v>45715</v>
      </c>
      <c r="B495" s="6">
        <v>0.79652777777777772</v>
      </c>
      <c r="C495" s="10" t="s">
        <v>70</v>
      </c>
      <c r="D495" s="7">
        <f t="shared" si="21"/>
        <v>45715.796527777777</v>
      </c>
      <c r="E495" t="str">
        <f t="shared" si="22"/>
        <v>27-02-2025 to 05-03-2025</v>
      </c>
      <c r="F495" t="str">
        <f>IF(COUNTIF('Top5'!I:I, G495) &gt; 0, "Yes", "No")</f>
        <v>No</v>
      </c>
      <c r="G495" t="str">
        <f t="shared" si="23"/>
        <v>27-02-2025 to 05-03-2025</v>
      </c>
    </row>
    <row r="496" spans="1:7">
      <c r="A496" s="1">
        <v>45715</v>
      </c>
      <c r="B496" s="6">
        <v>0.79652777777777772</v>
      </c>
      <c r="C496" s="10" t="s">
        <v>70</v>
      </c>
      <c r="D496" s="7">
        <f t="shared" si="21"/>
        <v>45715.796527777777</v>
      </c>
      <c r="E496" t="str">
        <f t="shared" si="22"/>
        <v>27-02-2025 to 05-03-2025</v>
      </c>
      <c r="F496" t="str">
        <f>IF(COUNTIF('Top5'!I:I, G496) &gt; 0, "Yes", "No")</f>
        <v>No</v>
      </c>
      <c r="G496" t="str">
        <f t="shared" si="23"/>
        <v>27-02-2025 to 05-03-2025</v>
      </c>
    </row>
    <row r="497" spans="1:7">
      <c r="A497" s="1">
        <v>45716</v>
      </c>
      <c r="B497" s="6">
        <v>0.7368055555555556</v>
      </c>
      <c r="C497" s="10" t="s">
        <v>70</v>
      </c>
      <c r="D497" s="7">
        <f t="shared" si="21"/>
        <v>45716.736805555556</v>
      </c>
      <c r="E497" t="str">
        <f t="shared" si="22"/>
        <v>28-02-2025 to 06-03-2025</v>
      </c>
      <c r="F497" t="str">
        <f>IF(COUNTIF('Top5'!I:I, G497) &gt; 0, "Yes", "No")</f>
        <v>No</v>
      </c>
      <c r="G497" t="str">
        <f t="shared" si="23"/>
        <v>28-02-2025 to 06-03-2025</v>
      </c>
    </row>
    <row r="498" spans="1:7">
      <c r="A498" s="1">
        <v>45716</v>
      </c>
      <c r="B498" s="6">
        <v>0.76111111111111107</v>
      </c>
      <c r="C498" s="10" t="s">
        <v>70</v>
      </c>
      <c r="D498" s="7">
        <f t="shared" si="21"/>
        <v>45716.761111111111</v>
      </c>
      <c r="E498" t="str">
        <f t="shared" si="22"/>
        <v>28-02-2025 to 06-03-2025</v>
      </c>
      <c r="F498" t="str">
        <f>IF(COUNTIF('Top5'!I:I, G498) &gt; 0, "Yes", "No")</f>
        <v>No</v>
      </c>
      <c r="G498" t="str">
        <f t="shared" si="23"/>
        <v>28-02-2025 to 06-03-2025</v>
      </c>
    </row>
    <row r="499" spans="1:7">
      <c r="A499" s="1">
        <v>45716</v>
      </c>
      <c r="B499" s="6">
        <v>0.91249999999999998</v>
      </c>
      <c r="C499" s="10" t="s">
        <v>70</v>
      </c>
      <c r="D499" s="7">
        <f t="shared" si="21"/>
        <v>45716.912499999999</v>
      </c>
      <c r="E499" t="str">
        <f t="shared" si="22"/>
        <v>28-02-2025 to 06-03-2025</v>
      </c>
      <c r="F499" t="str">
        <f>IF(COUNTIF('Top5'!I:I, G499) &gt; 0, "Yes", "No")</f>
        <v>No</v>
      </c>
      <c r="G499" t="str">
        <f t="shared" si="23"/>
        <v>28-02-2025 to 06-03-2025</v>
      </c>
    </row>
    <row r="500" spans="1:7">
      <c r="A500" s="1">
        <v>45716</v>
      </c>
      <c r="B500" s="6">
        <v>0.91597222222222219</v>
      </c>
      <c r="C500" s="10" t="s">
        <v>70</v>
      </c>
      <c r="D500" s="7">
        <f t="shared" si="21"/>
        <v>45716.915972222225</v>
      </c>
      <c r="E500" t="str">
        <f t="shared" si="22"/>
        <v>28-02-2025 to 06-03-2025</v>
      </c>
      <c r="F500" t="str">
        <f>IF(COUNTIF('Top5'!I:I, G500) &gt; 0, "Yes", "No")</f>
        <v>No</v>
      </c>
      <c r="G500" t="str">
        <f t="shared" si="23"/>
        <v>28-02-2025 to 06-03-2025</v>
      </c>
    </row>
    <row r="501" spans="1:7">
      <c r="A501" s="1">
        <v>45716</v>
      </c>
      <c r="B501" s="6">
        <v>0.94722222222222219</v>
      </c>
      <c r="C501" s="10" t="s">
        <v>70</v>
      </c>
      <c r="D501" s="7">
        <f t="shared" si="21"/>
        <v>45716.947222222225</v>
      </c>
      <c r="E501" t="str">
        <f t="shared" si="22"/>
        <v>28-02-2025 to 06-03-2025</v>
      </c>
      <c r="F501" t="str">
        <f>IF(COUNTIF('Top5'!I:I, G501) &gt; 0, "Yes", "No")</f>
        <v>No</v>
      </c>
      <c r="G501" t="str">
        <f t="shared" si="23"/>
        <v>28-02-2025 to 06-03-2025</v>
      </c>
    </row>
    <row r="502" spans="1:7">
      <c r="A502" s="1">
        <v>45717</v>
      </c>
      <c r="B502" s="6">
        <v>7.6388888888888886E-3</v>
      </c>
      <c r="C502" s="10" t="s">
        <v>70</v>
      </c>
      <c r="D502" s="7">
        <f t="shared" si="21"/>
        <v>45717.007638888892</v>
      </c>
      <c r="E502" t="str">
        <f t="shared" si="22"/>
        <v>01-03-2025 to 07-03-2025</v>
      </c>
      <c r="F502" t="str">
        <f>IF(COUNTIF('Top5'!I:I, G502) &gt; 0, "Yes", "No")</f>
        <v>No</v>
      </c>
      <c r="G502" t="str">
        <f t="shared" si="23"/>
        <v>01-03-2025 to 07-03-2025</v>
      </c>
    </row>
    <row r="503" spans="1:7">
      <c r="A503" s="1">
        <v>45717</v>
      </c>
      <c r="B503" s="6">
        <v>8.3333333333333332E-3</v>
      </c>
      <c r="C503" s="10" t="s">
        <v>70</v>
      </c>
      <c r="D503" s="7">
        <f t="shared" si="21"/>
        <v>45717.008333333331</v>
      </c>
      <c r="E503" t="str">
        <f t="shared" si="22"/>
        <v>01-03-2025 to 07-03-2025</v>
      </c>
      <c r="F503" t="str">
        <f>IF(COUNTIF('Top5'!I:I, G503) &gt; 0, "Yes", "No")</f>
        <v>No</v>
      </c>
      <c r="G503" t="str">
        <f t="shared" si="23"/>
        <v>01-03-2025 to 07-03-2025</v>
      </c>
    </row>
    <row r="504" spans="1:7">
      <c r="A504" s="1">
        <v>45717</v>
      </c>
      <c r="B504" s="6">
        <v>0.43888888888888888</v>
      </c>
      <c r="C504" s="10" t="s">
        <v>22</v>
      </c>
      <c r="D504" s="7">
        <f t="shared" si="21"/>
        <v>45717.438888888886</v>
      </c>
      <c r="E504" t="str">
        <f t="shared" si="22"/>
        <v>01-03-2025 to 07-03-2025</v>
      </c>
      <c r="F504" t="str">
        <f>IF(COUNTIF('Top5'!I:I, G504) &gt; 0, "Yes", "No")</f>
        <v>No</v>
      </c>
      <c r="G504" t="str">
        <f t="shared" si="23"/>
        <v>01-03-2025 to 07-03-2025</v>
      </c>
    </row>
    <row r="505" spans="1:7">
      <c r="A505" s="1">
        <v>45717</v>
      </c>
      <c r="B505" s="6">
        <v>0.97916666666666663</v>
      </c>
      <c r="C505" s="10" t="s">
        <v>70</v>
      </c>
      <c r="D505" s="7">
        <f t="shared" si="21"/>
        <v>45717.979166666664</v>
      </c>
      <c r="E505" t="str">
        <f t="shared" si="22"/>
        <v>01-03-2025 to 07-03-2025</v>
      </c>
      <c r="F505" t="str">
        <f>IF(COUNTIF('Top5'!I:I, G505) &gt; 0, "Yes", "No")</f>
        <v>No</v>
      </c>
      <c r="G505" t="str">
        <f t="shared" si="23"/>
        <v>01-03-2025 to 07-03-2025</v>
      </c>
    </row>
    <row r="506" spans="1:7">
      <c r="A506" s="1">
        <v>45717</v>
      </c>
      <c r="B506" s="6">
        <v>0.98263888888888884</v>
      </c>
      <c r="C506" s="10" t="s">
        <v>70</v>
      </c>
      <c r="D506" s="7">
        <f t="shared" si="21"/>
        <v>45717.982638888891</v>
      </c>
      <c r="E506" t="str">
        <f t="shared" si="22"/>
        <v>01-03-2025 to 07-03-2025</v>
      </c>
      <c r="F506" t="str">
        <f>IF(COUNTIF('Top5'!I:I, G506) &gt; 0, "Yes", "No")</f>
        <v>No</v>
      </c>
      <c r="G506" t="str">
        <f t="shared" si="23"/>
        <v>01-03-2025 to 07-03-2025</v>
      </c>
    </row>
    <row r="507" spans="1:7">
      <c r="A507" s="1">
        <v>45717</v>
      </c>
      <c r="B507" s="6">
        <v>0.99513888888888891</v>
      </c>
      <c r="C507" s="10" t="s">
        <v>70</v>
      </c>
      <c r="D507" s="7">
        <f t="shared" si="21"/>
        <v>45717.995138888888</v>
      </c>
      <c r="E507" t="str">
        <f t="shared" si="22"/>
        <v>01-03-2025 to 07-03-2025</v>
      </c>
      <c r="F507" t="str">
        <f>IF(COUNTIF('Top5'!I:I, G507) &gt; 0, "Yes", "No")</f>
        <v>No</v>
      </c>
      <c r="G507" t="str">
        <f t="shared" si="23"/>
        <v>01-03-2025 to 07-03-2025</v>
      </c>
    </row>
    <row r="508" spans="1:7">
      <c r="A508" s="1">
        <v>45718</v>
      </c>
      <c r="B508" s="6">
        <v>6.9444444444444441E-3</v>
      </c>
      <c r="C508" s="10" t="s">
        <v>70</v>
      </c>
      <c r="D508" s="7">
        <f t="shared" si="21"/>
        <v>45718.006944444445</v>
      </c>
      <c r="E508" t="str">
        <f t="shared" si="22"/>
        <v>02-03-2025 to 08-03-2025</v>
      </c>
      <c r="F508" t="str">
        <f>IF(COUNTIF('Top5'!I:I, G508) &gt; 0, "Yes", "No")</f>
        <v>No</v>
      </c>
      <c r="G508" t="str">
        <f t="shared" si="23"/>
        <v>02-03-2025 to 08-03-2025</v>
      </c>
    </row>
    <row r="509" spans="1:7">
      <c r="A509" s="1">
        <v>45718</v>
      </c>
      <c r="B509" s="6">
        <v>1.2500000000000001E-2</v>
      </c>
      <c r="C509" s="10" t="s">
        <v>70</v>
      </c>
      <c r="D509" s="7">
        <f t="shared" si="21"/>
        <v>45718.012499999997</v>
      </c>
      <c r="E509" t="str">
        <f t="shared" si="22"/>
        <v>02-03-2025 to 08-03-2025</v>
      </c>
      <c r="F509" t="str">
        <f>IF(COUNTIF('Top5'!I:I, G509) &gt; 0, "Yes", "No")</f>
        <v>No</v>
      </c>
      <c r="G509" t="str">
        <f t="shared" si="23"/>
        <v>02-03-2025 to 08-03-2025</v>
      </c>
    </row>
    <row r="510" spans="1:7">
      <c r="A510" s="1">
        <v>45718</v>
      </c>
      <c r="B510" s="6">
        <v>1.5972222222222221E-2</v>
      </c>
      <c r="C510" s="10" t="s">
        <v>70</v>
      </c>
      <c r="D510" s="7">
        <f t="shared" si="21"/>
        <v>45718.015972222223</v>
      </c>
      <c r="E510" t="str">
        <f t="shared" si="22"/>
        <v>02-03-2025 to 08-03-2025</v>
      </c>
      <c r="F510" t="str">
        <f>IF(COUNTIF('Top5'!I:I, G510) &gt; 0, "Yes", "No")</f>
        <v>No</v>
      </c>
      <c r="G510" t="str">
        <f t="shared" si="23"/>
        <v>02-03-2025 to 08-03-2025</v>
      </c>
    </row>
    <row r="511" spans="1:7">
      <c r="A511" s="1">
        <v>45718</v>
      </c>
      <c r="B511" s="6">
        <v>0.73402777777777772</v>
      </c>
      <c r="C511" s="10" t="s">
        <v>70</v>
      </c>
      <c r="D511" s="7">
        <f t="shared" si="21"/>
        <v>45718.734027777777</v>
      </c>
      <c r="E511" t="str">
        <f t="shared" si="22"/>
        <v>02-03-2025 to 08-03-2025</v>
      </c>
      <c r="F511" t="str">
        <f>IF(COUNTIF('Top5'!I:I, G511) &gt; 0, "Yes", "No")</f>
        <v>No</v>
      </c>
      <c r="G511" t="str">
        <f t="shared" si="23"/>
        <v>02-03-2025 to 08-03-2025</v>
      </c>
    </row>
    <row r="512" spans="1:7">
      <c r="A512" s="1">
        <v>45718</v>
      </c>
      <c r="B512" s="6">
        <v>0.83333333333333337</v>
      </c>
      <c r="C512" s="10" t="s">
        <v>70</v>
      </c>
      <c r="D512" s="7">
        <f t="shared" si="21"/>
        <v>45718.833333333336</v>
      </c>
      <c r="E512" t="str">
        <f t="shared" si="22"/>
        <v>02-03-2025 to 08-03-2025</v>
      </c>
      <c r="F512" t="str">
        <f>IF(COUNTIF('Top5'!I:I, G512) &gt; 0, "Yes", "No")</f>
        <v>No</v>
      </c>
      <c r="G512" t="str">
        <f t="shared" si="23"/>
        <v>02-03-2025 to 08-03-2025</v>
      </c>
    </row>
    <row r="513" spans="1:7">
      <c r="A513" s="1">
        <v>45719</v>
      </c>
      <c r="B513" s="6">
        <v>0.45277777777777778</v>
      </c>
      <c r="C513" s="10" t="s">
        <v>22</v>
      </c>
      <c r="D513" s="7">
        <f t="shared" si="21"/>
        <v>45719.452777777777</v>
      </c>
      <c r="E513" t="str">
        <f t="shared" si="22"/>
        <v>03-03-2025 to 09-03-2025</v>
      </c>
      <c r="F513" t="str">
        <f>IF(COUNTIF('Top5'!I:I, G513) &gt; 0, "Yes", "No")</f>
        <v>No</v>
      </c>
      <c r="G513" t="str">
        <f t="shared" si="23"/>
        <v>03-03-2025 to 09-03-2025</v>
      </c>
    </row>
    <row r="514" spans="1:7">
      <c r="A514" s="1">
        <v>45719</v>
      </c>
      <c r="B514" s="6">
        <v>0.65138888888888891</v>
      </c>
      <c r="C514" s="10" t="s">
        <v>71</v>
      </c>
      <c r="D514" s="7">
        <f t="shared" si="21"/>
        <v>45719.651388888888</v>
      </c>
      <c r="E514" t="str">
        <f t="shared" si="22"/>
        <v>03-03-2025 to 09-03-2025</v>
      </c>
      <c r="F514" t="str">
        <f>IF(COUNTIF('Top5'!I:I, G514) &gt; 0, "Yes", "No")</f>
        <v>No</v>
      </c>
      <c r="G514" t="str">
        <f t="shared" si="23"/>
        <v>03-03-2025 to 09-03-2025</v>
      </c>
    </row>
    <row r="515" spans="1:7">
      <c r="A515" s="1">
        <v>45719</v>
      </c>
      <c r="B515" s="6">
        <v>0.65208333333333335</v>
      </c>
      <c r="C515" s="10" t="s">
        <v>71</v>
      </c>
      <c r="D515" s="7">
        <f t="shared" ref="D515:D578" si="24">VALUE(A515) + VALUE(B515)</f>
        <v>45719.652083333334</v>
      </c>
      <c r="E515" t="str">
        <f t="shared" ref="E515:E578" si="25">TEXT(D515, "dd-mm-yyyy") &amp; " to " &amp; TEXT(D515+6, "dd-mm-yyyy")</f>
        <v>03-03-2025 to 09-03-2025</v>
      </c>
      <c r="F515" t="str">
        <f>IF(COUNTIF('Top5'!I:I, G515) &gt; 0, "Yes", "No")</f>
        <v>No</v>
      </c>
      <c r="G515" t="str">
        <f t="shared" ref="G515:G578" si="26">TRIM(E515)</f>
        <v>03-03-2025 to 09-03-2025</v>
      </c>
    </row>
    <row r="516" spans="1:7">
      <c r="A516" s="1">
        <v>45719</v>
      </c>
      <c r="B516" s="6">
        <v>0.65347222222222223</v>
      </c>
      <c r="C516" s="10" t="s">
        <v>71</v>
      </c>
      <c r="D516" s="7">
        <f t="shared" si="24"/>
        <v>45719.65347222222</v>
      </c>
      <c r="E516" t="str">
        <f t="shared" si="25"/>
        <v>03-03-2025 to 09-03-2025</v>
      </c>
      <c r="F516" t="str">
        <f>IF(COUNTIF('Top5'!I:I, G516) &gt; 0, "Yes", "No")</f>
        <v>No</v>
      </c>
      <c r="G516" t="str">
        <f t="shared" si="26"/>
        <v>03-03-2025 to 09-03-2025</v>
      </c>
    </row>
    <row r="517" spans="1:7">
      <c r="A517" s="1">
        <v>45719</v>
      </c>
      <c r="B517" s="6">
        <v>0.65486111111111112</v>
      </c>
      <c r="C517" s="10" t="s">
        <v>71</v>
      </c>
      <c r="D517" s="7">
        <f t="shared" si="24"/>
        <v>45719.654861111114</v>
      </c>
      <c r="E517" t="str">
        <f t="shared" si="25"/>
        <v>03-03-2025 to 09-03-2025</v>
      </c>
      <c r="F517" t="str">
        <f>IF(COUNTIF('Top5'!I:I, G517) &gt; 0, "Yes", "No")</f>
        <v>No</v>
      </c>
      <c r="G517" t="str">
        <f t="shared" si="26"/>
        <v>03-03-2025 to 09-03-2025</v>
      </c>
    </row>
    <row r="518" spans="1:7">
      <c r="A518" s="1">
        <v>45719</v>
      </c>
      <c r="B518" s="6">
        <v>0.75069444444444444</v>
      </c>
      <c r="C518" s="10" t="s">
        <v>70</v>
      </c>
      <c r="D518" s="7">
        <f t="shared" si="24"/>
        <v>45719.750694444447</v>
      </c>
      <c r="E518" t="str">
        <f t="shared" si="25"/>
        <v>03-03-2025 to 09-03-2025</v>
      </c>
      <c r="F518" t="str">
        <f>IF(COUNTIF('Top5'!I:I, G518) &gt; 0, "Yes", "No")</f>
        <v>No</v>
      </c>
      <c r="G518" t="str">
        <f t="shared" si="26"/>
        <v>03-03-2025 to 09-03-2025</v>
      </c>
    </row>
    <row r="519" spans="1:7">
      <c r="A519" s="1">
        <v>45719</v>
      </c>
      <c r="B519" s="6">
        <v>0.9291666666666667</v>
      </c>
      <c r="C519" s="10" t="s">
        <v>70</v>
      </c>
      <c r="D519" s="7">
        <f t="shared" si="24"/>
        <v>45719.929166666669</v>
      </c>
      <c r="E519" t="str">
        <f t="shared" si="25"/>
        <v>03-03-2025 to 09-03-2025</v>
      </c>
      <c r="F519" t="str">
        <f>IF(COUNTIF('Top5'!I:I, G519) &gt; 0, "Yes", "No")</f>
        <v>No</v>
      </c>
      <c r="G519" t="str">
        <f t="shared" si="26"/>
        <v>03-03-2025 to 09-03-2025</v>
      </c>
    </row>
    <row r="520" spans="1:7">
      <c r="A520" s="1">
        <v>45719</v>
      </c>
      <c r="B520" s="6">
        <v>0.99305555555555558</v>
      </c>
      <c r="C520" s="10" t="s">
        <v>70</v>
      </c>
      <c r="D520" s="7">
        <f t="shared" si="24"/>
        <v>45719.993055555555</v>
      </c>
      <c r="E520" t="str">
        <f t="shared" si="25"/>
        <v>03-03-2025 to 09-03-2025</v>
      </c>
      <c r="F520" t="str">
        <f>IF(COUNTIF('Top5'!I:I, G520) &gt; 0, "Yes", "No")</f>
        <v>No</v>
      </c>
      <c r="G520" t="str">
        <f t="shared" si="26"/>
        <v>03-03-2025 to 09-03-2025</v>
      </c>
    </row>
    <row r="521" spans="1:7">
      <c r="A521" s="1">
        <v>45719</v>
      </c>
      <c r="B521" s="6">
        <v>0.99930555555555556</v>
      </c>
      <c r="C521" s="10" t="s">
        <v>70</v>
      </c>
      <c r="D521" s="7">
        <f t="shared" si="24"/>
        <v>45719.999305555553</v>
      </c>
      <c r="E521" t="str">
        <f t="shared" si="25"/>
        <v>03-03-2025 to 09-03-2025</v>
      </c>
      <c r="F521" t="str">
        <f>IF(COUNTIF('Top5'!I:I, G521) &gt; 0, "Yes", "No")</f>
        <v>No</v>
      </c>
      <c r="G521" t="str">
        <f t="shared" si="26"/>
        <v>03-03-2025 to 09-03-2025</v>
      </c>
    </row>
    <row r="522" spans="1:7">
      <c r="A522" s="1">
        <v>45720</v>
      </c>
      <c r="B522" s="6">
        <v>6.9444444444444447E-4</v>
      </c>
      <c r="C522" s="10" t="s">
        <v>70</v>
      </c>
      <c r="D522" s="7">
        <f t="shared" si="24"/>
        <v>45720.000694444447</v>
      </c>
      <c r="E522" t="str">
        <f t="shared" si="25"/>
        <v>04-03-2025 to 10-03-2025</v>
      </c>
      <c r="F522" t="str">
        <f>IF(COUNTIF('Top5'!I:I, G522) &gt; 0, "Yes", "No")</f>
        <v>No</v>
      </c>
      <c r="G522" t="str">
        <f t="shared" si="26"/>
        <v>04-03-2025 to 10-03-2025</v>
      </c>
    </row>
    <row r="523" spans="1:7">
      <c r="A523" s="1">
        <v>45720</v>
      </c>
      <c r="B523" s="6">
        <v>0.74444444444444446</v>
      </c>
      <c r="C523" s="10" t="s">
        <v>70</v>
      </c>
      <c r="D523" s="7">
        <f t="shared" si="24"/>
        <v>45720.744444444441</v>
      </c>
      <c r="E523" t="str">
        <f t="shared" si="25"/>
        <v>04-03-2025 to 10-03-2025</v>
      </c>
      <c r="F523" t="str">
        <f>IF(COUNTIF('Top5'!I:I, G523) &gt; 0, "Yes", "No")</f>
        <v>No</v>
      </c>
      <c r="G523" t="str">
        <f t="shared" si="26"/>
        <v>04-03-2025 to 10-03-2025</v>
      </c>
    </row>
    <row r="524" spans="1:7">
      <c r="A524" s="1">
        <v>45721</v>
      </c>
      <c r="B524" s="6">
        <v>0</v>
      </c>
      <c r="C524" s="10" t="s">
        <v>70</v>
      </c>
      <c r="D524" s="7">
        <f t="shared" si="24"/>
        <v>45721</v>
      </c>
      <c r="E524" t="str">
        <f t="shared" si="25"/>
        <v>05-03-2025 to 11-03-2025</v>
      </c>
      <c r="F524" t="str">
        <f>IF(COUNTIF('Top5'!I:I, G524) &gt; 0, "Yes", "No")</f>
        <v>No</v>
      </c>
      <c r="G524" t="str">
        <f t="shared" si="26"/>
        <v>05-03-2025 to 11-03-2025</v>
      </c>
    </row>
    <row r="525" spans="1:7">
      <c r="A525" s="1">
        <v>45721</v>
      </c>
      <c r="B525" s="6">
        <v>6.9444444444444447E-4</v>
      </c>
      <c r="C525" s="10" t="s">
        <v>70</v>
      </c>
      <c r="D525" s="7">
        <f t="shared" si="24"/>
        <v>45721.000694444447</v>
      </c>
      <c r="E525" t="str">
        <f t="shared" si="25"/>
        <v>05-03-2025 to 11-03-2025</v>
      </c>
      <c r="F525" t="str">
        <f>IF(COUNTIF('Top5'!I:I, G525) &gt; 0, "Yes", "No")</f>
        <v>No</v>
      </c>
      <c r="G525" t="str">
        <f t="shared" si="26"/>
        <v>05-03-2025 to 11-03-2025</v>
      </c>
    </row>
    <row r="526" spans="1:7">
      <c r="A526" s="1">
        <v>45721</v>
      </c>
      <c r="B526" s="6">
        <v>4.1666666666666666E-3</v>
      </c>
      <c r="C526" s="10" t="s">
        <v>70</v>
      </c>
      <c r="D526" s="7">
        <f t="shared" si="24"/>
        <v>45721.004166666666</v>
      </c>
      <c r="E526" t="str">
        <f t="shared" si="25"/>
        <v>05-03-2025 to 11-03-2025</v>
      </c>
      <c r="F526" t="str">
        <f>IF(COUNTIF('Top5'!I:I, G526) &gt; 0, "Yes", "No")</f>
        <v>No</v>
      </c>
      <c r="G526" t="str">
        <f t="shared" si="26"/>
        <v>05-03-2025 to 11-03-2025</v>
      </c>
    </row>
    <row r="527" spans="1:7">
      <c r="A527" s="1">
        <v>45721</v>
      </c>
      <c r="B527" s="6">
        <v>0.31180555555555556</v>
      </c>
      <c r="C527" s="10" t="s">
        <v>22</v>
      </c>
      <c r="D527" s="7">
        <f t="shared" si="24"/>
        <v>45721.311805555553</v>
      </c>
      <c r="E527" t="str">
        <f t="shared" si="25"/>
        <v>05-03-2025 to 11-03-2025</v>
      </c>
      <c r="F527" t="str">
        <f>IF(COUNTIF('Top5'!I:I, G527) &gt; 0, "Yes", "No")</f>
        <v>No</v>
      </c>
      <c r="G527" t="str">
        <f t="shared" si="26"/>
        <v>05-03-2025 to 11-03-2025</v>
      </c>
    </row>
    <row r="528" spans="1:7">
      <c r="A528" s="1">
        <v>45721</v>
      </c>
      <c r="B528" s="6">
        <v>0.56111111111111112</v>
      </c>
      <c r="C528" s="10" t="s">
        <v>71</v>
      </c>
      <c r="D528" s="7">
        <f t="shared" si="24"/>
        <v>45721.561111111114</v>
      </c>
      <c r="E528" t="str">
        <f t="shared" si="25"/>
        <v>05-03-2025 to 11-03-2025</v>
      </c>
      <c r="F528" t="str">
        <f>IF(COUNTIF('Top5'!I:I, G528) &gt; 0, "Yes", "No")</f>
        <v>No</v>
      </c>
      <c r="G528" t="str">
        <f t="shared" si="26"/>
        <v>05-03-2025 to 11-03-2025</v>
      </c>
    </row>
    <row r="529" spans="1:7">
      <c r="A529" s="1">
        <v>45721</v>
      </c>
      <c r="B529" s="6">
        <v>0.5805555555555556</v>
      </c>
      <c r="C529" s="10" t="s">
        <v>71</v>
      </c>
      <c r="D529" s="7">
        <f t="shared" si="24"/>
        <v>45721.580555555556</v>
      </c>
      <c r="E529" t="str">
        <f t="shared" si="25"/>
        <v>05-03-2025 to 11-03-2025</v>
      </c>
      <c r="F529" t="str">
        <f>IF(COUNTIF('Top5'!I:I, G529) &gt; 0, "Yes", "No")</f>
        <v>No</v>
      </c>
      <c r="G529" t="str">
        <f t="shared" si="26"/>
        <v>05-03-2025 to 11-03-2025</v>
      </c>
    </row>
    <row r="530" spans="1:7">
      <c r="A530" s="1">
        <v>45721</v>
      </c>
      <c r="B530" s="6">
        <v>0.77083333333333337</v>
      </c>
      <c r="C530" s="10" t="s">
        <v>70</v>
      </c>
      <c r="D530" s="7">
        <f t="shared" si="24"/>
        <v>45721.770833333336</v>
      </c>
      <c r="E530" t="str">
        <f t="shared" si="25"/>
        <v>05-03-2025 to 11-03-2025</v>
      </c>
      <c r="F530" t="str">
        <f>IF(COUNTIF('Top5'!I:I, G530) &gt; 0, "Yes", "No")</f>
        <v>No</v>
      </c>
      <c r="G530" t="str">
        <f t="shared" si="26"/>
        <v>05-03-2025 to 11-03-2025</v>
      </c>
    </row>
    <row r="531" spans="1:7">
      <c r="A531" s="1">
        <v>45721</v>
      </c>
      <c r="B531" s="6">
        <v>0.86944444444444446</v>
      </c>
      <c r="C531" s="10" t="s">
        <v>70</v>
      </c>
      <c r="D531" s="7">
        <f t="shared" si="24"/>
        <v>45721.869444444441</v>
      </c>
      <c r="E531" t="str">
        <f t="shared" si="25"/>
        <v>05-03-2025 to 11-03-2025</v>
      </c>
      <c r="F531" t="str">
        <f>IF(COUNTIF('Top5'!I:I, G531) &gt; 0, "Yes", "No")</f>
        <v>No</v>
      </c>
      <c r="G531" t="str">
        <f t="shared" si="26"/>
        <v>05-03-2025 to 11-03-2025</v>
      </c>
    </row>
    <row r="532" spans="1:7">
      <c r="A532" s="1">
        <v>45721</v>
      </c>
      <c r="B532" s="6">
        <v>0.87013888888888891</v>
      </c>
      <c r="C532" s="10" t="s">
        <v>70</v>
      </c>
      <c r="D532" s="7">
        <f t="shared" si="24"/>
        <v>45721.870138888888</v>
      </c>
      <c r="E532" t="str">
        <f t="shared" si="25"/>
        <v>05-03-2025 to 11-03-2025</v>
      </c>
      <c r="F532" t="str">
        <f>IF(COUNTIF('Top5'!I:I, G532) &gt; 0, "Yes", "No")</f>
        <v>No</v>
      </c>
      <c r="G532" t="str">
        <f t="shared" si="26"/>
        <v>05-03-2025 to 11-03-2025</v>
      </c>
    </row>
    <row r="533" spans="1:7">
      <c r="A533" s="1">
        <v>45721</v>
      </c>
      <c r="B533" s="6">
        <v>0.875</v>
      </c>
      <c r="C533" s="10" t="s">
        <v>70</v>
      </c>
      <c r="D533" s="7">
        <f t="shared" si="24"/>
        <v>45721.875</v>
      </c>
      <c r="E533" t="str">
        <f t="shared" si="25"/>
        <v>05-03-2025 to 11-03-2025</v>
      </c>
      <c r="F533" t="str">
        <f>IF(COUNTIF('Top5'!I:I, G533) &gt; 0, "Yes", "No")</f>
        <v>No</v>
      </c>
      <c r="G533" t="str">
        <f t="shared" si="26"/>
        <v>05-03-2025 to 11-03-2025</v>
      </c>
    </row>
    <row r="534" spans="1:7">
      <c r="A534" s="1">
        <v>45721</v>
      </c>
      <c r="B534" s="6">
        <v>0.90486111111111112</v>
      </c>
      <c r="C534" s="10" t="s">
        <v>70</v>
      </c>
      <c r="D534" s="7">
        <f t="shared" si="24"/>
        <v>45721.904861111114</v>
      </c>
      <c r="E534" t="str">
        <f t="shared" si="25"/>
        <v>05-03-2025 to 11-03-2025</v>
      </c>
      <c r="F534" t="str">
        <f>IF(COUNTIF('Top5'!I:I, G534) &gt; 0, "Yes", "No")</f>
        <v>No</v>
      </c>
      <c r="G534" t="str">
        <f t="shared" si="26"/>
        <v>05-03-2025 to 11-03-2025</v>
      </c>
    </row>
    <row r="535" spans="1:7">
      <c r="A535" s="1">
        <v>45721</v>
      </c>
      <c r="B535" s="6">
        <v>0.91111111111111109</v>
      </c>
      <c r="C535" s="10" t="s">
        <v>70</v>
      </c>
      <c r="D535" s="7">
        <f t="shared" si="24"/>
        <v>45721.911111111112</v>
      </c>
      <c r="E535" t="str">
        <f t="shared" si="25"/>
        <v>05-03-2025 to 11-03-2025</v>
      </c>
      <c r="F535" t="str">
        <f>IF(COUNTIF('Top5'!I:I, G535) &gt; 0, "Yes", "No")</f>
        <v>No</v>
      </c>
      <c r="G535" t="str">
        <f t="shared" si="26"/>
        <v>05-03-2025 to 11-03-2025</v>
      </c>
    </row>
    <row r="536" spans="1:7">
      <c r="A536" s="1">
        <v>45721</v>
      </c>
      <c r="B536" s="6">
        <v>0.91319444444444442</v>
      </c>
      <c r="C536" s="10" t="s">
        <v>70</v>
      </c>
      <c r="D536" s="7">
        <f t="shared" si="24"/>
        <v>45721.913194444445</v>
      </c>
      <c r="E536" t="str">
        <f t="shared" si="25"/>
        <v>05-03-2025 to 11-03-2025</v>
      </c>
      <c r="F536" t="str">
        <f>IF(COUNTIF('Top5'!I:I, G536) &gt; 0, "Yes", "No")</f>
        <v>No</v>
      </c>
      <c r="G536" t="str">
        <f t="shared" si="26"/>
        <v>05-03-2025 to 11-03-2025</v>
      </c>
    </row>
    <row r="537" spans="1:7">
      <c r="A537" s="1">
        <v>45721</v>
      </c>
      <c r="B537" s="6">
        <v>0.92013888888888884</v>
      </c>
      <c r="C537" s="10" t="s">
        <v>70</v>
      </c>
      <c r="D537" s="7">
        <f t="shared" si="24"/>
        <v>45721.920138888891</v>
      </c>
      <c r="E537" t="str">
        <f t="shared" si="25"/>
        <v>05-03-2025 to 11-03-2025</v>
      </c>
      <c r="F537" t="str">
        <f>IF(COUNTIF('Top5'!I:I, G537) &gt; 0, "Yes", "No")</f>
        <v>No</v>
      </c>
      <c r="G537" t="str">
        <f t="shared" si="26"/>
        <v>05-03-2025 to 11-03-2025</v>
      </c>
    </row>
    <row r="538" spans="1:7">
      <c r="A538" s="1">
        <v>45721</v>
      </c>
      <c r="B538" s="6">
        <v>0.93680555555555556</v>
      </c>
      <c r="C538" s="10" t="s">
        <v>70</v>
      </c>
      <c r="D538" s="7">
        <f t="shared" si="24"/>
        <v>45721.936805555553</v>
      </c>
      <c r="E538" t="str">
        <f t="shared" si="25"/>
        <v>05-03-2025 to 11-03-2025</v>
      </c>
      <c r="F538" t="str">
        <f>IF(COUNTIF('Top5'!I:I, G538) &gt; 0, "Yes", "No")</f>
        <v>No</v>
      </c>
      <c r="G538" t="str">
        <f t="shared" si="26"/>
        <v>05-03-2025 to 11-03-2025</v>
      </c>
    </row>
    <row r="539" spans="1:7">
      <c r="A539" s="1">
        <v>45722</v>
      </c>
      <c r="B539" s="6">
        <v>4.1666666666666666E-3</v>
      </c>
      <c r="C539" s="10" t="s">
        <v>70</v>
      </c>
      <c r="D539" s="7">
        <f t="shared" si="24"/>
        <v>45722.004166666666</v>
      </c>
      <c r="E539" t="str">
        <f t="shared" si="25"/>
        <v>06-03-2025 to 12-03-2025</v>
      </c>
      <c r="F539" t="str">
        <f>IF(COUNTIF('Top5'!I:I, G539) &gt; 0, "Yes", "No")</f>
        <v>No</v>
      </c>
      <c r="G539" t="str">
        <f t="shared" si="26"/>
        <v>06-03-2025 to 12-03-2025</v>
      </c>
    </row>
    <row r="540" spans="1:7">
      <c r="A540" s="1">
        <v>45722</v>
      </c>
      <c r="B540" s="6">
        <v>6.2500000000000003E-3</v>
      </c>
      <c r="C540" s="10" t="s">
        <v>70</v>
      </c>
      <c r="D540" s="7">
        <f t="shared" si="24"/>
        <v>45722.006249999999</v>
      </c>
      <c r="E540" t="str">
        <f t="shared" si="25"/>
        <v>06-03-2025 to 12-03-2025</v>
      </c>
      <c r="F540" t="str">
        <f>IF(COUNTIF('Top5'!I:I, G540) &gt; 0, "Yes", "No")</f>
        <v>No</v>
      </c>
      <c r="G540" t="str">
        <f t="shared" si="26"/>
        <v>06-03-2025 to 12-03-2025</v>
      </c>
    </row>
    <row r="541" spans="1:7">
      <c r="A541" s="1">
        <v>45722</v>
      </c>
      <c r="B541" s="6">
        <v>6.2500000000000003E-3</v>
      </c>
      <c r="C541" s="10" t="s">
        <v>70</v>
      </c>
      <c r="D541" s="7">
        <f t="shared" si="24"/>
        <v>45722.006249999999</v>
      </c>
      <c r="E541" t="str">
        <f t="shared" si="25"/>
        <v>06-03-2025 to 12-03-2025</v>
      </c>
      <c r="F541" t="str">
        <f>IF(COUNTIF('Top5'!I:I, G541) &gt; 0, "Yes", "No")</f>
        <v>No</v>
      </c>
      <c r="G541" t="str">
        <f t="shared" si="26"/>
        <v>06-03-2025 to 12-03-2025</v>
      </c>
    </row>
    <row r="542" spans="1:7">
      <c r="A542" s="1">
        <v>45722</v>
      </c>
      <c r="B542" s="6">
        <v>7.6388888888888886E-3</v>
      </c>
      <c r="C542" s="10" t="s">
        <v>70</v>
      </c>
      <c r="D542" s="7">
        <f t="shared" si="24"/>
        <v>45722.007638888892</v>
      </c>
      <c r="E542" t="str">
        <f t="shared" si="25"/>
        <v>06-03-2025 to 12-03-2025</v>
      </c>
      <c r="F542" t="str">
        <f>IF(COUNTIF('Top5'!I:I, G542) &gt; 0, "Yes", "No")</f>
        <v>No</v>
      </c>
      <c r="G542" t="str">
        <f t="shared" si="26"/>
        <v>06-03-2025 to 12-03-2025</v>
      </c>
    </row>
    <row r="543" spans="1:7">
      <c r="A543" s="1">
        <v>45722</v>
      </c>
      <c r="B543" s="6">
        <v>7.6388888888888886E-3</v>
      </c>
      <c r="C543" s="10" t="s">
        <v>70</v>
      </c>
      <c r="D543" s="7">
        <f t="shared" si="24"/>
        <v>45722.007638888892</v>
      </c>
      <c r="E543" t="str">
        <f t="shared" si="25"/>
        <v>06-03-2025 to 12-03-2025</v>
      </c>
      <c r="F543" t="str">
        <f>IF(COUNTIF('Top5'!I:I, G543) &gt; 0, "Yes", "No")</f>
        <v>No</v>
      </c>
      <c r="G543" t="str">
        <f t="shared" si="26"/>
        <v>06-03-2025 to 12-03-2025</v>
      </c>
    </row>
    <row r="544" spans="1:7">
      <c r="A544" s="1">
        <v>45722</v>
      </c>
      <c r="B544" s="6">
        <v>9.0277777777777769E-3</v>
      </c>
      <c r="C544" s="10" t="s">
        <v>70</v>
      </c>
      <c r="D544" s="7">
        <f t="shared" si="24"/>
        <v>45722.009027777778</v>
      </c>
      <c r="E544" t="str">
        <f t="shared" si="25"/>
        <v>06-03-2025 to 12-03-2025</v>
      </c>
      <c r="F544" t="str">
        <f>IF(COUNTIF('Top5'!I:I, G544) &gt; 0, "Yes", "No")</f>
        <v>No</v>
      </c>
      <c r="G544" t="str">
        <f t="shared" si="26"/>
        <v>06-03-2025 to 12-03-2025</v>
      </c>
    </row>
    <row r="545" spans="1:7">
      <c r="A545" s="1">
        <v>45722</v>
      </c>
      <c r="B545" s="6">
        <v>1.7361111111111112E-2</v>
      </c>
      <c r="C545" s="10" t="s">
        <v>70</v>
      </c>
      <c r="D545" s="7">
        <f t="shared" si="24"/>
        <v>45722.017361111109</v>
      </c>
      <c r="E545" t="str">
        <f t="shared" si="25"/>
        <v>06-03-2025 to 12-03-2025</v>
      </c>
      <c r="F545" t="str">
        <f>IF(COUNTIF('Top5'!I:I, G545) &gt; 0, "Yes", "No")</f>
        <v>No</v>
      </c>
      <c r="G545" t="str">
        <f t="shared" si="26"/>
        <v>06-03-2025 to 12-03-2025</v>
      </c>
    </row>
    <row r="546" spans="1:7">
      <c r="A546" s="1">
        <v>45722</v>
      </c>
      <c r="B546" s="6">
        <v>1.7361111111111112E-2</v>
      </c>
      <c r="C546" s="10" t="s">
        <v>70</v>
      </c>
      <c r="D546" s="7">
        <f t="shared" si="24"/>
        <v>45722.017361111109</v>
      </c>
      <c r="E546" t="str">
        <f t="shared" si="25"/>
        <v>06-03-2025 to 12-03-2025</v>
      </c>
      <c r="F546" t="str">
        <f>IF(COUNTIF('Top5'!I:I, G546) &gt; 0, "Yes", "No")</f>
        <v>No</v>
      </c>
      <c r="G546" t="str">
        <f t="shared" si="26"/>
        <v>06-03-2025 to 12-03-2025</v>
      </c>
    </row>
    <row r="547" spans="1:7">
      <c r="A547" s="1">
        <v>45722</v>
      </c>
      <c r="B547" s="6">
        <v>1.8749999999999999E-2</v>
      </c>
      <c r="C547" s="10" t="s">
        <v>70</v>
      </c>
      <c r="D547" s="7">
        <f t="shared" si="24"/>
        <v>45722.018750000003</v>
      </c>
      <c r="E547" t="str">
        <f t="shared" si="25"/>
        <v>06-03-2025 to 12-03-2025</v>
      </c>
      <c r="F547" t="str">
        <f>IF(COUNTIF('Top5'!I:I, G547) &gt; 0, "Yes", "No")</f>
        <v>No</v>
      </c>
      <c r="G547" t="str">
        <f t="shared" si="26"/>
        <v>06-03-2025 to 12-03-2025</v>
      </c>
    </row>
    <row r="548" spans="1:7">
      <c r="A548" s="1">
        <v>45722</v>
      </c>
      <c r="B548" s="6">
        <v>0.40972222222222221</v>
      </c>
      <c r="C548" s="10" t="s">
        <v>22</v>
      </c>
      <c r="D548" s="7">
        <f t="shared" si="24"/>
        <v>45722.409722222219</v>
      </c>
      <c r="E548" t="str">
        <f t="shared" si="25"/>
        <v>06-03-2025 to 12-03-2025</v>
      </c>
      <c r="F548" t="str">
        <f>IF(COUNTIF('Top5'!I:I, G548) &gt; 0, "Yes", "No")</f>
        <v>No</v>
      </c>
      <c r="G548" t="str">
        <f t="shared" si="26"/>
        <v>06-03-2025 to 12-03-2025</v>
      </c>
    </row>
    <row r="549" spans="1:7">
      <c r="A549" s="1">
        <v>45722</v>
      </c>
      <c r="B549" s="6">
        <v>0.44027777777777777</v>
      </c>
      <c r="C549" s="10" t="s">
        <v>22</v>
      </c>
      <c r="D549" s="7">
        <f t="shared" si="24"/>
        <v>45722.44027777778</v>
      </c>
      <c r="E549" t="str">
        <f t="shared" si="25"/>
        <v>06-03-2025 to 12-03-2025</v>
      </c>
      <c r="F549" t="str">
        <f>IF(COUNTIF('Top5'!I:I, G549) &gt; 0, "Yes", "No")</f>
        <v>No</v>
      </c>
      <c r="G549" t="str">
        <f t="shared" si="26"/>
        <v>06-03-2025 to 12-03-2025</v>
      </c>
    </row>
    <row r="550" spans="1:7">
      <c r="A550" s="1">
        <v>45722</v>
      </c>
      <c r="B550" s="6">
        <v>0.46388888888888891</v>
      </c>
      <c r="C550" s="10" t="s">
        <v>22</v>
      </c>
      <c r="D550" s="7">
        <f t="shared" si="24"/>
        <v>45722.463888888888</v>
      </c>
      <c r="E550" t="str">
        <f t="shared" si="25"/>
        <v>06-03-2025 to 12-03-2025</v>
      </c>
      <c r="F550" t="str">
        <f>IF(COUNTIF('Top5'!I:I, G550) &gt; 0, "Yes", "No")</f>
        <v>No</v>
      </c>
      <c r="G550" t="str">
        <f t="shared" si="26"/>
        <v>06-03-2025 to 12-03-2025</v>
      </c>
    </row>
    <row r="551" spans="1:7">
      <c r="A551" s="1">
        <v>45722</v>
      </c>
      <c r="B551" s="6">
        <v>0.47986111111111113</v>
      </c>
      <c r="C551" s="10" t="s">
        <v>22</v>
      </c>
      <c r="D551" s="7">
        <f t="shared" si="24"/>
        <v>45722.479861111111</v>
      </c>
      <c r="E551" t="str">
        <f t="shared" si="25"/>
        <v>06-03-2025 to 12-03-2025</v>
      </c>
      <c r="F551" t="str">
        <f>IF(COUNTIF('Top5'!I:I, G551) &gt; 0, "Yes", "No")</f>
        <v>No</v>
      </c>
      <c r="G551" t="str">
        <f t="shared" si="26"/>
        <v>06-03-2025 to 12-03-2025</v>
      </c>
    </row>
    <row r="552" spans="1:7">
      <c r="A552" s="1">
        <v>45722</v>
      </c>
      <c r="B552" s="6">
        <v>0.4909722222222222</v>
      </c>
      <c r="C552" s="10" t="s">
        <v>22</v>
      </c>
      <c r="D552" s="7">
        <f t="shared" si="24"/>
        <v>45722.490972222222</v>
      </c>
      <c r="E552" t="str">
        <f t="shared" si="25"/>
        <v>06-03-2025 to 12-03-2025</v>
      </c>
      <c r="F552" t="str">
        <f>IF(COUNTIF('Top5'!I:I, G552) &gt; 0, "Yes", "No")</f>
        <v>No</v>
      </c>
      <c r="G552" t="str">
        <f t="shared" si="26"/>
        <v>06-03-2025 to 12-03-2025</v>
      </c>
    </row>
    <row r="553" spans="1:7">
      <c r="A553" s="1">
        <v>45722</v>
      </c>
      <c r="B553" s="6">
        <v>0.7583333333333333</v>
      </c>
      <c r="C553" s="10" t="s">
        <v>70</v>
      </c>
      <c r="D553" s="7">
        <f t="shared" si="24"/>
        <v>45722.758333333331</v>
      </c>
      <c r="E553" t="str">
        <f t="shared" si="25"/>
        <v>06-03-2025 to 12-03-2025</v>
      </c>
      <c r="F553" t="str">
        <f>IF(COUNTIF('Top5'!I:I, G553) &gt; 0, "Yes", "No")</f>
        <v>No</v>
      </c>
      <c r="G553" t="str">
        <f t="shared" si="26"/>
        <v>06-03-2025 to 12-03-2025</v>
      </c>
    </row>
    <row r="554" spans="1:7">
      <c r="A554" s="1">
        <v>45722</v>
      </c>
      <c r="B554" s="6">
        <v>0.76597222222222228</v>
      </c>
      <c r="C554" s="10" t="s">
        <v>70</v>
      </c>
      <c r="D554" s="7">
        <f t="shared" si="24"/>
        <v>45722.765972222223</v>
      </c>
      <c r="E554" t="str">
        <f t="shared" si="25"/>
        <v>06-03-2025 to 12-03-2025</v>
      </c>
      <c r="F554" t="str">
        <f>IF(COUNTIF('Top5'!I:I, G554) &gt; 0, "Yes", "No")</f>
        <v>No</v>
      </c>
      <c r="G554" t="str">
        <f t="shared" si="26"/>
        <v>06-03-2025 to 12-03-2025</v>
      </c>
    </row>
    <row r="555" spans="1:7">
      <c r="A555" s="1">
        <v>45722</v>
      </c>
      <c r="B555" s="6">
        <v>0.78680555555555554</v>
      </c>
      <c r="C555" s="10" t="s">
        <v>70</v>
      </c>
      <c r="D555" s="7">
        <f t="shared" si="24"/>
        <v>45722.786805555559</v>
      </c>
      <c r="E555" t="str">
        <f t="shared" si="25"/>
        <v>06-03-2025 to 12-03-2025</v>
      </c>
      <c r="F555" t="str">
        <f>IF(COUNTIF('Top5'!I:I, G555) &gt; 0, "Yes", "No")</f>
        <v>No</v>
      </c>
      <c r="G555" t="str">
        <f t="shared" si="26"/>
        <v>06-03-2025 to 12-03-2025</v>
      </c>
    </row>
    <row r="556" spans="1:7">
      <c r="A556" s="1">
        <v>45722</v>
      </c>
      <c r="B556" s="6">
        <v>0.84513888888888888</v>
      </c>
      <c r="C556" s="10" t="s">
        <v>70</v>
      </c>
      <c r="D556" s="7">
        <f t="shared" si="24"/>
        <v>45722.845138888886</v>
      </c>
      <c r="E556" t="str">
        <f t="shared" si="25"/>
        <v>06-03-2025 to 12-03-2025</v>
      </c>
      <c r="F556" t="str">
        <f>IF(COUNTIF('Top5'!I:I, G556) &gt; 0, "Yes", "No")</f>
        <v>No</v>
      </c>
      <c r="G556" t="str">
        <f t="shared" si="26"/>
        <v>06-03-2025 to 12-03-2025</v>
      </c>
    </row>
    <row r="557" spans="1:7">
      <c r="A557" s="1">
        <v>45722</v>
      </c>
      <c r="B557" s="6">
        <v>0.87708333333333333</v>
      </c>
      <c r="C557" s="10" t="s">
        <v>70</v>
      </c>
      <c r="D557" s="7">
        <f t="shared" si="24"/>
        <v>45722.877083333333</v>
      </c>
      <c r="E557" t="str">
        <f t="shared" si="25"/>
        <v>06-03-2025 to 12-03-2025</v>
      </c>
      <c r="F557" t="str">
        <f>IF(COUNTIF('Top5'!I:I, G557) &gt; 0, "Yes", "No")</f>
        <v>No</v>
      </c>
      <c r="G557" t="str">
        <f t="shared" si="26"/>
        <v>06-03-2025 to 12-03-2025</v>
      </c>
    </row>
    <row r="558" spans="1:7">
      <c r="A558" s="1">
        <v>45722</v>
      </c>
      <c r="B558" s="6">
        <v>0.87777777777777777</v>
      </c>
      <c r="C558" s="10" t="s">
        <v>70</v>
      </c>
      <c r="D558" s="7">
        <f t="shared" si="24"/>
        <v>45722.87777777778</v>
      </c>
      <c r="E558" t="str">
        <f t="shared" si="25"/>
        <v>06-03-2025 to 12-03-2025</v>
      </c>
      <c r="F558" t="str">
        <f>IF(COUNTIF('Top5'!I:I, G558) &gt; 0, "Yes", "No")</f>
        <v>No</v>
      </c>
      <c r="G558" t="str">
        <f t="shared" si="26"/>
        <v>06-03-2025 to 12-03-2025</v>
      </c>
    </row>
    <row r="559" spans="1:7">
      <c r="A559" s="1">
        <v>45722</v>
      </c>
      <c r="B559" s="6">
        <v>0.94513888888888886</v>
      </c>
      <c r="C559" s="10" t="s">
        <v>70</v>
      </c>
      <c r="D559" s="7">
        <f t="shared" si="24"/>
        <v>45722.945138888892</v>
      </c>
      <c r="E559" t="str">
        <f t="shared" si="25"/>
        <v>06-03-2025 to 12-03-2025</v>
      </c>
      <c r="F559" t="str">
        <f>IF(COUNTIF('Top5'!I:I, G559) &gt; 0, "Yes", "No")</f>
        <v>No</v>
      </c>
      <c r="G559" t="str">
        <f t="shared" si="26"/>
        <v>06-03-2025 to 12-03-2025</v>
      </c>
    </row>
    <row r="560" spans="1:7">
      <c r="A560" s="1">
        <v>45722</v>
      </c>
      <c r="B560" s="6">
        <v>0.98541666666666672</v>
      </c>
      <c r="C560" s="10" t="s">
        <v>70</v>
      </c>
      <c r="D560" s="7">
        <f t="shared" si="24"/>
        <v>45722.98541666667</v>
      </c>
      <c r="E560" t="str">
        <f t="shared" si="25"/>
        <v>06-03-2025 to 12-03-2025</v>
      </c>
      <c r="F560" t="str">
        <f>IF(COUNTIF('Top5'!I:I, G560) &gt; 0, "Yes", "No")</f>
        <v>No</v>
      </c>
      <c r="G560" t="str">
        <f t="shared" si="26"/>
        <v>06-03-2025 to 12-03-2025</v>
      </c>
    </row>
    <row r="561" spans="1:7">
      <c r="A561" s="1">
        <v>45722</v>
      </c>
      <c r="B561" s="6">
        <v>0.98750000000000004</v>
      </c>
      <c r="C561" s="10" t="s">
        <v>70</v>
      </c>
      <c r="D561" s="7">
        <f t="shared" si="24"/>
        <v>45722.987500000003</v>
      </c>
      <c r="E561" t="str">
        <f t="shared" si="25"/>
        <v>06-03-2025 to 12-03-2025</v>
      </c>
      <c r="F561" t="str">
        <f>IF(COUNTIF('Top5'!I:I, G561) &gt; 0, "Yes", "No")</f>
        <v>No</v>
      </c>
      <c r="G561" t="str">
        <f t="shared" si="26"/>
        <v>06-03-2025 to 12-03-2025</v>
      </c>
    </row>
    <row r="562" spans="1:7">
      <c r="A562" s="1">
        <v>45723</v>
      </c>
      <c r="B562" s="6">
        <v>6.9444444444444447E-4</v>
      </c>
      <c r="C562" s="10" t="s">
        <v>70</v>
      </c>
      <c r="D562" s="7">
        <f t="shared" si="24"/>
        <v>45723.000694444447</v>
      </c>
      <c r="E562" t="str">
        <f t="shared" si="25"/>
        <v>07-03-2025 to 13-03-2025</v>
      </c>
      <c r="F562" t="str">
        <f>IF(COUNTIF('Top5'!I:I, G562) &gt; 0, "Yes", "No")</f>
        <v>No</v>
      </c>
      <c r="G562" t="str">
        <f t="shared" si="26"/>
        <v>07-03-2025 to 13-03-2025</v>
      </c>
    </row>
    <row r="563" spans="1:7">
      <c r="A563" s="1">
        <v>45723</v>
      </c>
      <c r="B563" s="6">
        <v>4.8611111111111112E-3</v>
      </c>
      <c r="C563" s="10" t="s">
        <v>70</v>
      </c>
      <c r="D563" s="7">
        <f t="shared" si="24"/>
        <v>45723.004861111112</v>
      </c>
      <c r="E563" t="str">
        <f t="shared" si="25"/>
        <v>07-03-2025 to 13-03-2025</v>
      </c>
      <c r="F563" t="str">
        <f>IF(COUNTIF('Top5'!I:I, G563) &gt; 0, "Yes", "No")</f>
        <v>No</v>
      </c>
      <c r="G563" t="str">
        <f t="shared" si="26"/>
        <v>07-03-2025 to 13-03-2025</v>
      </c>
    </row>
    <row r="564" spans="1:7">
      <c r="A564" s="1">
        <v>45723</v>
      </c>
      <c r="B564" s="6">
        <v>2.2222222222222223E-2</v>
      </c>
      <c r="C564" s="10" t="s">
        <v>70</v>
      </c>
      <c r="D564" s="7">
        <f t="shared" si="24"/>
        <v>45723.022222222222</v>
      </c>
      <c r="E564" t="str">
        <f t="shared" si="25"/>
        <v>07-03-2025 to 13-03-2025</v>
      </c>
      <c r="F564" t="str">
        <f>IF(COUNTIF('Top5'!I:I, G564) &gt; 0, "Yes", "No")</f>
        <v>No</v>
      </c>
      <c r="G564" t="str">
        <f t="shared" si="26"/>
        <v>07-03-2025 to 13-03-2025</v>
      </c>
    </row>
    <row r="565" spans="1:7">
      <c r="A565" s="1">
        <v>45723</v>
      </c>
      <c r="B565" s="6">
        <v>0.53125</v>
      </c>
      <c r="C565" s="10" t="s">
        <v>71</v>
      </c>
      <c r="D565" s="7">
        <f t="shared" si="24"/>
        <v>45723.53125</v>
      </c>
      <c r="E565" t="str">
        <f t="shared" si="25"/>
        <v>07-03-2025 to 13-03-2025</v>
      </c>
      <c r="F565" t="str">
        <f>IF(COUNTIF('Top5'!I:I, G565) &gt; 0, "Yes", "No")</f>
        <v>No</v>
      </c>
      <c r="G565" t="str">
        <f t="shared" si="26"/>
        <v>07-03-2025 to 13-03-2025</v>
      </c>
    </row>
    <row r="566" spans="1:7">
      <c r="A566" s="1">
        <v>45723</v>
      </c>
      <c r="B566" s="6">
        <v>0.53819444444444442</v>
      </c>
      <c r="C566" s="10" t="s">
        <v>71</v>
      </c>
      <c r="D566" s="7">
        <f t="shared" si="24"/>
        <v>45723.538194444445</v>
      </c>
      <c r="E566" t="str">
        <f t="shared" si="25"/>
        <v>07-03-2025 to 13-03-2025</v>
      </c>
      <c r="F566" t="str">
        <f>IF(COUNTIF('Top5'!I:I, G566) &gt; 0, "Yes", "No")</f>
        <v>No</v>
      </c>
      <c r="G566" t="str">
        <f t="shared" si="26"/>
        <v>07-03-2025 to 13-03-2025</v>
      </c>
    </row>
    <row r="567" spans="1:7">
      <c r="A567" s="1">
        <v>45723</v>
      </c>
      <c r="B567" s="6">
        <v>0.55069444444444449</v>
      </c>
      <c r="C567" s="10" t="s">
        <v>71</v>
      </c>
      <c r="D567" s="7">
        <f t="shared" si="24"/>
        <v>45723.550694444442</v>
      </c>
      <c r="E567" t="str">
        <f t="shared" si="25"/>
        <v>07-03-2025 to 13-03-2025</v>
      </c>
      <c r="F567" t="str">
        <f>IF(COUNTIF('Top5'!I:I, G567) &gt; 0, "Yes", "No")</f>
        <v>No</v>
      </c>
      <c r="G567" t="str">
        <f t="shared" si="26"/>
        <v>07-03-2025 to 13-03-2025</v>
      </c>
    </row>
    <row r="568" spans="1:7">
      <c r="A568" s="1">
        <v>45723</v>
      </c>
      <c r="B568" s="6">
        <v>0.55555555555555558</v>
      </c>
      <c r="C568" s="10" t="s">
        <v>71</v>
      </c>
      <c r="D568" s="7">
        <f t="shared" si="24"/>
        <v>45723.555555555555</v>
      </c>
      <c r="E568" t="str">
        <f t="shared" si="25"/>
        <v>07-03-2025 to 13-03-2025</v>
      </c>
      <c r="F568" t="str">
        <f>IF(COUNTIF('Top5'!I:I, G568) &gt; 0, "Yes", "No")</f>
        <v>No</v>
      </c>
      <c r="G568" t="str">
        <f t="shared" si="26"/>
        <v>07-03-2025 to 13-03-2025</v>
      </c>
    </row>
    <row r="569" spans="1:7">
      <c r="A569" s="1">
        <v>45723</v>
      </c>
      <c r="B569" s="6">
        <v>0.72430555555555554</v>
      </c>
      <c r="C569" s="10" t="s">
        <v>70</v>
      </c>
      <c r="D569" s="7">
        <f t="shared" si="24"/>
        <v>45723.724305555559</v>
      </c>
      <c r="E569" t="str">
        <f t="shared" si="25"/>
        <v>07-03-2025 to 13-03-2025</v>
      </c>
      <c r="F569" t="str">
        <f>IF(COUNTIF('Top5'!I:I, G569) &gt; 0, "Yes", "No")</f>
        <v>No</v>
      </c>
      <c r="G569" t="str">
        <f t="shared" si="26"/>
        <v>07-03-2025 to 13-03-2025</v>
      </c>
    </row>
    <row r="570" spans="1:7">
      <c r="A570" s="1">
        <v>45723</v>
      </c>
      <c r="B570" s="6">
        <v>0.73888888888888893</v>
      </c>
      <c r="C570" s="10" t="s">
        <v>70</v>
      </c>
      <c r="D570" s="7">
        <f t="shared" si="24"/>
        <v>45723.738888888889</v>
      </c>
      <c r="E570" t="str">
        <f t="shared" si="25"/>
        <v>07-03-2025 to 13-03-2025</v>
      </c>
      <c r="F570" t="str">
        <f>IF(COUNTIF('Top5'!I:I, G570) &gt; 0, "Yes", "No")</f>
        <v>No</v>
      </c>
      <c r="G570" t="str">
        <f t="shared" si="26"/>
        <v>07-03-2025 to 13-03-2025</v>
      </c>
    </row>
    <row r="571" spans="1:7">
      <c r="A571" s="1">
        <v>45723</v>
      </c>
      <c r="B571" s="6">
        <v>0.73888888888888893</v>
      </c>
      <c r="C571" s="10" t="s">
        <v>70</v>
      </c>
      <c r="D571" s="7">
        <f t="shared" si="24"/>
        <v>45723.738888888889</v>
      </c>
      <c r="E571" t="str">
        <f t="shared" si="25"/>
        <v>07-03-2025 to 13-03-2025</v>
      </c>
      <c r="F571" t="str">
        <f>IF(COUNTIF('Top5'!I:I, G571) &gt; 0, "Yes", "No")</f>
        <v>No</v>
      </c>
      <c r="G571" t="str">
        <f t="shared" si="26"/>
        <v>07-03-2025 to 13-03-2025</v>
      </c>
    </row>
    <row r="572" spans="1:7">
      <c r="A572" s="1">
        <v>45723</v>
      </c>
      <c r="B572" s="6">
        <v>0.74027777777777781</v>
      </c>
      <c r="C572" s="10" t="s">
        <v>70</v>
      </c>
      <c r="D572" s="7">
        <f t="shared" si="24"/>
        <v>45723.740277777775</v>
      </c>
      <c r="E572" t="str">
        <f t="shared" si="25"/>
        <v>07-03-2025 to 13-03-2025</v>
      </c>
      <c r="F572" t="str">
        <f>IF(COUNTIF('Top5'!I:I, G572) &gt; 0, "Yes", "No")</f>
        <v>No</v>
      </c>
      <c r="G572" t="str">
        <f t="shared" si="26"/>
        <v>07-03-2025 to 13-03-2025</v>
      </c>
    </row>
    <row r="573" spans="1:7">
      <c r="A573" s="1">
        <v>45723</v>
      </c>
      <c r="B573" s="6">
        <v>0.75208333333333333</v>
      </c>
      <c r="C573" s="10" t="s">
        <v>70</v>
      </c>
      <c r="D573" s="7">
        <f t="shared" si="24"/>
        <v>45723.752083333333</v>
      </c>
      <c r="E573" t="str">
        <f t="shared" si="25"/>
        <v>07-03-2025 to 13-03-2025</v>
      </c>
      <c r="F573" t="str">
        <f>IF(COUNTIF('Top5'!I:I, G573) &gt; 0, "Yes", "No")</f>
        <v>No</v>
      </c>
      <c r="G573" t="str">
        <f t="shared" si="26"/>
        <v>07-03-2025 to 13-03-2025</v>
      </c>
    </row>
    <row r="574" spans="1:7">
      <c r="A574" s="1">
        <v>45723</v>
      </c>
      <c r="B574" s="6">
        <v>0.7680555555555556</v>
      </c>
      <c r="C574" s="10" t="s">
        <v>70</v>
      </c>
      <c r="D574" s="7">
        <f t="shared" si="24"/>
        <v>45723.768055555556</v>
      </c>
      <c r="E574" t="str">
        <f t="shared" si="25"/>
        <v>07-03-2025 to 13-03-2025</v>
      </c>
      <c r="F574" t="str">
        <f>IF(COUNTIF('Top5'!I:I, G574) &gt; 0, "Yes", "No")</f>
        <v>No</v>
      </c>
      <c r="G574" t="str">
        <f t="shared" si="26"/>
        <v>07-03-2025 to 13-03-2025</v>
      </c>
    </row>
    <row r="575" spans="1:7">
      <c r="A575" s="1">
        <v>45723</v>
      </c>
      <c r="B575" s="6">
        <v>0.82291666666666663</v>
      </c>
      <c r="C575" s="10" t="s">
        <v>70</v>
      </c>
      <c r="D575" s="7">
        <f t="shared" si="24"/>
        <v>45723.822916666664</v>
      </c>
      <c r="E575" t="str">
        <f t="shared" si="25"/>
        <v>07-03-2025 to 13-03-2025</v>
      </c>
      <c r="F575" t="str">
        <f>IF(COUNTIF('Top5'!I:I, G575) &gt; 0, "Yes", "No")</f>
        <v>No</v>
      </c>
      <c r="G575" t="str">
        <f t="shared" si="26"/>
        <v>07-03-2025 to 13-03-2025</v>
      </c>
    </row>
    <row r="576" spans="1:7">
      <c r="A576" s="1">
        <v>45724</v>
      </c>
      <c r="B576" s="6">
        <v>1.3888888888888889E-3</v>
      </c>
      <c r="C576" s="10" t="s">
        <v>70</v>
      </c>
      <c r="D576" s="7">
        <f t="shared" si="24"/>
        <v>45724.001388888886</v>
      </c>
      <c r="E576" t="str">
        <f t="shared" si="25"/>
        <v>08-03-2025 to 14-03-2025</v>
      </c>
      <c r="F576" t="str">
        <f>IF(COUNTIF('Top5'!I:I, G576) &gt; 0, "Yes", "No")</f>
        <v>Yes</v>
      </c>
      <c r="G576" t="str">
        <f t="shared" si="26"/>
        <v>08-03-2025 to 14-03-2025</v>
      </c>
    </row>
    <row r="577" spans="1:7">
      <c r="A577" s="1">
        <v>45724</v>
      </c>
      <c r="B577" s="6">
        <v>1.3888888888888889E-3</v>
      </c>
      <c r="C577" s="10" t="s">
        <v>70</v>
      </c>
      <c r="D577" s="7">
        <f t="shared" si="24"/>
        <v>45724.001388888886</v>
      </c>
      <c r="E577" t="str">
        <f t="shared" si="25"/>
        <v>08-03-2025 to 14-03-2025</v>
      </c>
      <c r="F577" t="str">
        <f>IF(COUNTIF('Top5'!I:I, G577) &gt; 0, "Yes", "No")</f>
        <v>Yes</v>
      </c>
      <c r="G577" t="str">
        <f t="shared" si="26"/>
        <v>08-03-2025 to 14-03-2025</v>
      </c>
    </row>
    <row r="578" spans="1:7">
      <c r="A578" s="1">
        <v>45724</v>
      </c>
      <c r="B578" s="6">
        <v>4.1666666666666666E-3</v>
      </c>
      <c r="C578" s="10" t="s">
        <v>70</v>
      </c>
      <c r="D578" s="7">
        <f t="shared" si="24"/>
        <v>45724.004166666666</v>
      </c>
      <c r="E578" t="str">
        <f t="shared" si="25"/>
        <v>08-03-2025 to 14-03-2025</v>
      </c>
      <c r="F578" t="str">
        <f>IF(COUNTIF('Top5'!I:I, G578) &gt; 0, "Yes", "No")</f>
        <v>Yes</v>
      </c>
      <c r="G578" t="str">
        <f t="shared" si="26"/>
        <v>08-03-2025 to 14-03-2025</v>
      </c>
    </row>
    <row r="579" spans="1:7">
      <c r="A579" s="1">
        <v>45724</v>
      </c>
      <c r="B579" s="6">
        <v>4.1666666666666666E-3</v>
      </c>
      <c r="C579" s="10" t="s">
        <v>70</v>
      </c>
      <c r="D579" s="7">
        <f t="shared" ref="D579:D642" si="27">VALUE(A579) + VALUE(B579)</f>
        <v>45724.004166666666</v>
      </c>
      <c r="E579" t="str">
        <f t="shared" ref="E579:E642" si="28">TEXT(D579, "dd-mm-yyyy") &amp; " to " &amp; TEXT(D579+6, "dd-mm-yyyy")</f>
        <v>08-03-2025 to 14-03-2025</v>
      </c>
      <c r="F579" t="str">
        <f>IF(COUNTIF('Top5'!I:I, G579) &gt; 0, "Yes", "No")</f>
        <v>Yes</v>
      </c>
      <c r="G579" t="str">
        <f t="shared" ref="G579:G642" si="29">TRIM(E579)</f>
        <v>08-03-2025 to 14-03-2025</v>
      </c>
    </row>
    <row r="580" spans="1:7">
      <c r="A580" s="1">
        <v>45724</v>
      </c>
      <c r="B580" s="6">
        <v>6.9444444444444441E-3</v>
      </c>
      <c r="C580" s="10" t="s">
        <v>70</v>
      </c>
      <c r="D580" s="7">
        <f t="shared" si="27"/>
        <v>45724.006944444445</v>
      </c>
      <c r="E580" t="str">
        <f t="shared" si="28"/>
        <v>08-03-2025 to 14-03-2025</v>
      </c>
      <c r="F580" t="str">
        <f>IF(COUNTIF('Top5'!I:I, G580) &gt; 0, "Yes", "No")</f>
        <v>Yes</v>
      </c>
      <c r="G580" t="str">
        <f t="shared" si="29"/>
        <v>08-03-2025 to 14-03-2025</v>
      </c>
    </row>
    <row r="581" spans="1:7">
      <c r="A581" s="1">
        <v>45724</v>
      </c>
      <c r="B581" s="6">
        <v>1.1805555555555555E-2</v>
      </c>
      <c r="C581" s="10" t="s">
        <v>70</v>
      </c>
      <c r="D581" s="7">
        <f t="shared" si="27"/>
        <v>45724.011805555558</v>
      </c>
      <c r="E581" t="str">
        <f t="shared" si="28"/>
        <v>08-03-2025 to 14-03-2025</v>
      </c>
      <c r="F581" t="str">
        <f>IF(COUNTIF('Top5'!I:I, G581) &gt; 0, "Yes", "No")</f>
        <v>Yes</v>
      </c>
      <c r="G581" t="str">
        <f t="shared" si="29"/>
        <v>08-03-2025 to 14-03-2025</v>
      </c>
    </row>
    <row r="582" spans="1:7">
      <c r="A582" s="1">
        <v>45724</v>
      </c>
      <c r="B582" s="6">
        <v>1.5972222222222221E-2</v>
      </c>
      <c r="C582" s="10" t="s">
        <v>70</v>
      </c>
      <c r="D582" s="7">
        <f t="shared" si="27"/>
        <v>45724.015972222223</v>
      </c>
      <c r="E582" t="str">
        <f t="shared" si="28"/>
        <v>08-03-2025 to 14-03-2025</v>
      </c>
      <c r="F582" t="str">
        <f>IF(COUNTIF('Top5'!I:I, G582) &gt; 0, "Yes", "No")</f>
        <v>Yes</v>
      </c>
      <c r="G582" t="str">
        <f t="shared" si="29"/>
        <v>08-03-2025 to 14-03-2025</v>
      </c>
    </row>
    <row r="583" spans="1:7">
      <c r="A583" s="1">
        <v>45724</v>
      </c>
      <c r="B583" s="6">
        <v>0.31111111111111112</v>
      </c>
      <c r="C583" s="10" t="s">
        <v>22</v>
      </c>
      <c r="D583" s="7">
        <f t="shared" si="27"/>
        <v>45724.311111111114</v>
      </c>
      <c r="E583" t="str">
        <f t="shared" si="28"/>
        <v>08-03-2025 to 14-03-2025</v>
      </c>
      <c r="F583" t="str">
        <f>IF(COUNTIF('Top5'!I:I, G583) &gt; 0, "Yes", "No")</f>
        <v>Yes</v>
      </c>
      <c r="G583" t="str">
        <f t="shared" si="29"/>
        <v>08-03-2025 to 14-03-2025</v>
      </c>
    </row>
    <row r="584" spans="1:7">
      <c r="A584" s="1">
        <v>45724</v>
      </c>
      <c r="B584" s="6">
        <v>0.41249999999999998</v>
      </c>
      <c r="C584" s="10" t="s">
        <v>22</v>
      </c>
      <c r="D584" s="7">
        <f t="shared" si="27"/>
        <v>45724.412499999999</v>
      </c>
      <c r="E584" t="str">
        <f t="shared" si="28"/>
        <v>08-03-2025 to 14-03-2025</v>
      </c>
      <c r="F584" t="str">
        <f>IF(COUNTIF('Top5'!I:I, G584) &gt; 0, "Yes", "No")</f>
        <v>Yes</v>
      </c>
      <c r="G584" t="str">
        <f t="shared" si="29"/>
        <v>08-03-2025 to 14-03-2025</v>
      </c>
    </row>
    <row r="585" spans="1:7">
      <c r="A585" s="1">
        <v>45724</v>
      </c>
      <c r="B585" s="6">
        <v>0.5625</v>
      </c>
      <c r="C585" s="10" t="s">
        <v>71</v>
      </c>
      <c r="D585" s="7">
        <f t="shared" si="27"/>
        <v>45724.5625</v>
      </c>
      <c r="E585" t="str">
        <f t="shared" si="28"/>
        <v>08-03-2025 to 14-03-2025</v>
      </c>
      <c r="F585" t="str">
        <f>IF(COUNTIF('Top5'!I:I, G585) &gt; 0, "Yes", "No")</f>
        <v>Yes</v>
      </c>
      <c r="G585" t="str">
        <f t="shared" si="29"/>
        <v>08-03-2025 to 14-03-2025</v>
      </c>
    </row>
    <row r="586" spans="1:7">
      <c r="A586" s="1">
        <v>45724</v>
      </c>
      <c r="B586" s="6">
        <v>0.60486111111111107</v>
      </c>
      <c r="C586" s="10" t="s">
        <v>71</v>
      </c>
      <c r="D586" s="7">
        <f t="shared" si="27"/>
        <v>45724.604861111111</v>
      </c>
      <c r="E586" t="str">
        <f t="shared" si="28"/>
        <v>08-03-2025 to 14-03-2025</v>
      </c>
      <c r="F586" t="str">
        <f>IF(COUNTIF('Top5'!I:I, G586) &gt; 0, "Yes", "No")</f>
        <v>Yes</v>
      </c>
      <c r="G586" t="str">
        <f t="shared" si="29"/>
        <v>08-03-2025 to 14-03-2025</v>
      </c>
    </row>
    <row r="587" spans="1:7">
      <c r="A587" s="1">
        <v>45724</v>
      </c>
      <c r="B587" s="6">
        <v>0.8256944444444444</v>
      </c>
      <c r="C587" s="10" t="s">
        <v>70</v>
      </c>
      <c r="D587" s="7">
        <f t="shared" si="27"/>
        <v>45724.825694444444</v>
      </c>
      <c r="E587" t="str">
        <f t="shared" si="28"/>
        <v>08-03-2025 to 14-03-2025</v>
      </c>
      <c r="F587" t="str">
        <f>IF(COUNTIF('Top5'!I:I, G587) &gt; 0, "Yes", "No")</f>
        <v>Yes</v>
      </c>
      <c r="G587" t="str">
        <f t="shared" si="29"/>
        <v>08-03-2025 to 14-03-2025</v>
      </c>
    </row>
    <row r="588" spans="1:7">
      <c r="A588" s="1">
        <v>45724</v>
      </c>
      <c r="B588" s="6">
        <v>0.8256944444444444</v>
      </c>
      <c r="C588" s="10" t="s">
        <v>70</v>
      </c>
      <c r="D588" s="7">
        <f t="shared" si="27"/>
        <v>45724.825694444444</v>
      </c>
      <c r="E588" t="str">
        <f t="shared" si="28"/>
        <v>08-03-2025 to 14-03-2025</v>
      </c>
      <c r="F588" t="str">
        <f>IF(COUNTIF('Top5'!I:I, G588) &gt; 0, "Yes", "No")</f>
        <v>Yes</v>
      </c>
      <c r="G588" t="str">
        <f t="shared" si="29"/>
        <v>08-03-2025 to 14-03-2025</v>
      </c>
    </row>
    <row r="589" spans="1:7">
      <c r="A589" s="1">
        <v>45724</v>
      </c>
      <c r="B589" s="6">
        <v>0.8256944444444444</v>
      </c>
      <c r="C589" s="10" t="s">
        <v>70</v>
      </c>
      <c r="D589" s="7">
        <f t="shared" si="27"/>
        <v>45724.825694444444</v>
      </c>
      <c r="E589" t="str">
        <f t="shared" si="28"/>
        <v>08-03-2025 to 14-03-2025</v>
      </c>
      <c r="F589" t="str">
        <f>IF(COUNTIF('Top5'!I:I, G589) &gt; 0, "Yes", "No")</f>
        <v>Yes</v>
      </c>
      <c r="G589" t="str">
        <f t="shared" si="29"/>
        <v>08-03-2025 to 14-03-2025</v>
      </c>
    </row>
    <row r="590" spans="1:7">
      <c r="A590" s="1">
        <v>45724</v>
      </c>
      <c r="B590" s="6">
        <v>0.84236111111111112</v>
      </c>
      <c r="C590" s="10" t="s">
        <v>70</v>
      </c>
      <c r="D590" s="7">
        <f t="shared" si="27"/>
        <v>45724.842361111114</v>
      </c>
      <c r="E590" t="str">
        <f t="shared" si="28"/>
        <v>08-03-2025 to 14-03-2025</v>
      </c>
      <c r="F590" t="str">
        <f>IF(COUNTIF('Top5'!I:I, G590) &gt; 0, "Yes", "No")</f>
        <v>Yes</v>
      </c>
      <c r="G590" t="str">
        <f t="shared" si="29"/>
        <v>08-03-2025 to 14-03-2025</v>
      </c>
    </row>
    <row r="591" spans="1:7">
      <c r="A591" s="1">
        <v>45724</v>
      </c>
      <c r="B591" s="6">
        <v>0.84305555555555556</v>
      </c>
      <c r="C591" s="10" t="s">
        <v>70</v>
      </c>
      <c r="D591" s="7">
        <f t="shared" si="27"/>
        <v>45724.843055555553</v>
      </c>
      <c r="E591" t="str">
        <f t="shared" si="28"/>
        <v>08-03-2025 to 14-03-2025</v>
      </c>
      <c r="F591" t="str">
        <f>IF(COUNTIF('Top5'!I:I, G591) &gt; 0, "Yes", "No")</f>
        <v>Yes</v>
      </c>
      <c r="G591" t="str">
        <f t="shared" si="29"/>
        <v>08-03-2025 to 14-03-2025</v>
      </c>
    </row>
    <row r="592" spans="1:7">
      <c r="A592" s="1">
        <v>45724</v>
      </c>
      <c r="B592" s="6">
        <v>0.89027777777777772</v>
      </c>
      <c r="C592" s="10" t="s">
        <v>70</v>
      </c>
      <c r="D592" s="7">
        <f t="shared" si="27"/>
        <v>45724.890277777777</v>
      </c>
      <c r="E592" t="str">
        <f t="shared" si="28"/>
        <v>08-03-2025 to 14-03-2025</v>
      </c>
      <c r="F592" t="str">
        <f>IF(COUNTIF('Top5'!I:I, G592) &gt; 0, "Yes", "No")</f>
        <v>Yes</v>
      </c>
      <c r="G592" t="str">
        <f t="shared" si="29"/>
        <v>08-03-2025 to 14-03-2025</v>
      </c>
    </row>
    <row r="593" spans="1:7">
      <c r="A593" s="1">
        <v>45724</v>
      </c>
      <c r="B593" s="6">
        <v>0.9291666666666667</v>
      </c>
      <c r="C593" s="10" t="s">
        <v>70</v>
      </c>
      <c r="D593" s="7">
        <f t="shared" si="27"/>
        <v>45724.929166666669</v>
      </c>
      <c r="E593" t="str">
        <f t="shared" si="28"/>
        <v>08-03-2025 to 14-03-2025</v>
      </c>
      <c r="F593" t="str">
        <f>IF(COUNTIF('Top5'!I:I, G593) &gt; 0, "Yes", "No")</f>
        <v>Yes</v>
      </c>
      <c r="G593" t="str">
        <f t="shared" si="29"/>
        <v>08-03-2025 to 14-03-2025</v>
      </c>
    </row>
    <row r="594" spans="1:7">
      <c r="A594" s="1">
        <v>45725</v>
      </c>
      <c r="B594" s="6">
        <v>6.9444444444444447E-4</v>
      </c>
      <c r="C594" s="10" t="s">
        <v>70</v>
      </c>
      <c r="D594" s="7">
        <f t="shared" si="27"/>
        <v>45725.000694444447</v>
      </c>
      <c r="E594" t="str">
        <f t="shared" si="28"/>
        <v>09-03-2025 to 15-03-2025</v>
      </c>
      <c r="F594" t="str">
        <f>IF(COUNTIF('Top5'!I:I, G594) &gt; 0, "Yes", "No")</f>
        <v>No</v>
      </c>
      <c r="G594" t="str">
        <f t="shared" si="29"/>
        <v>09-03-2025 to 15-03-2025</v>
      </c>
    </row>
    <row r="595" spans="1:7">
      <c r="A595" s="1">
        <v>45725</v>
      </c>
      <c r="B595" s="6">
        <v>6.9444444444444447E-4</v>
      </c>
      <c r="C595" s="10" t="s">
        <v>70</v>
      </c>
      <c r="D595" s="7">
        <f t="shared" si="27"/>
        <v>45725.000694444447</v>
      </c>
      <c r="E595" t="str">
        <f t="shared" si="28"/>
        <v>09-03-2025 to 15-03-2025</v>
      </c>
      <c r="F595" t="str">
        <f>IF(COUNTIF('Top5'!I:I, G595) &gt; 0, "Yes", "No")</f>
        <v>No</v>
      </c>
      <c r="G595" t="str">
        <f t="shared" si="29"/>
        <v>09-03-2025 to 15-03-2025</v>
      </c>
    </row>
    <row r="596" spans="1:7">
      <c r="A596" s="1">
        <v>45725</v>
      </c>
      <c r="B596" s="6">
        <v>1.3888888888888889E-3</v>
      </c>
      <c r="C596" s="10" t="s">
        <v>70</v>
      </c>
      <c r="D596" s="7">
        <f t="shared" si="27"/>
        <v>45725.001388888886</v>
      </c>
      <c r="E596" t="str">
        <f t="shared" si="28"/>
        <v>09-03-2025 to 15-03-2025</v>
      </c>
      <c r="F596" t="str">
        <f>IF(COUNTIF('Top5'!I:I, G596) &gt; 0, "Yes", "No")</f>
        <v>No</v>
      </c>
      <c r="G596" t="str">
        <f t="shared" si="29"/>
        <v>09-03-2025 to 15-03-2025</v>
      </c>
    </row>
    <row r="597" spans="1:7">
      <c r="A597" s="1">
        <v>45725</v>
      </c>
      <c r="B597" s="6">
        <v>3.472222222222222E-3</v>
      </c>
      <c r="C597" s="10" t="s">
        <v>70</v>
      </c>
      <c r="D597" s="7">
        <f t="shared" si="27"/>
        <v>45725.003472222219</v>
      </c>
      <c r="E597" t="str">
        <f t="shared" si="28"/>
        <v>09-03-2025 to 15-03-2025</v>
      </c>
      <c r="F597" t="str">
        <f>IF(COUNTIF('Top5'!I:I, G597) &gt; 0, "Yes", "No")</f>
        <v>No</v>
      </c>
      <c r="G597" t="str">
        <f t="shared" si="29"/>
        <v>09-03-2025 to 15-03-2025</v>
      </c>
    </row>
    <row r="598" spans="1:7">
      <c r="A598" s="1">
        <v>45725</v>
      </c>
      <c r="B598" s="6">
        <v>4.1666666666666666E-3</v>
      </c>
      <c r="C598" s="10" t="s">
        <v>70</v>
      </c>
      <c r="D598" s="7">
        <f t="shared" si="27"/>
        <v>45725.004166666666</v>
      </c>
      <c r="E598" t="str">
        <f t="shared" si="28"/>
        <v>09-03-2025 to 15-03-2025</v>
      </c>
      <c r="F598" t="str">
        <f>IF(COUNTIF('Top5'!I:I, G598) &gt; 0, "Yes", "No")</f>
        <v>No</v>
      </c>
      <c r="G598" t="str">
        <f t="shared" si="29"/>
        <v>09-03-2025 to 15-03-2025</v>
      </c>
    </row>
    <row r="599" spans="1:7">
      <c r="A599" s="1">
        <v>45725</v>
      </c>
      <c r="B599" s="6">
        <v>4.8611111111111112E-3</v>
      </c>
      <c r="C599" s="10" t="s">
        <v>70</v>
      </c>
      <c r="D599" s="7">
        <f t="shared" si="27"/>
        <v>45725.004861111112</v>
      </c>
      <c r="E599" t="str">
        <f t="shared" si="28"/>
        <v>09-03-2025 to 15-03-2025</v>
      </c>
      <c r="F599" t="str">
        <f>IF(COUNTIF('Top5'!I:I, G599) &gt; 0, "Yes", "No")</f>
        <v>No</v>
      </c>
      <c r="G599" t="str">
        <f t="shared" si="29"/>
        <v>09-03-2025 to 15-03-2025</v>
      </c>
    </row>
    <row r="600" spans="1:7">
      <c r="A600" s="1">
        <v>45725</v>
      </c>
      <c r="B600" s="6">
        <v>7.6388888888888886E-3</v>
      </c>
      <c r="C600" s="10" t="s">
        <v>70</v>
      </c>
      <c r="D600" s="7">
        <f t="shared" si="27"/>
        <v>45725.007638888892</v>
      </c>
      <c r="E600" t="str">
        <f t="shared" si="28"/>
        <v>09-03-2025 to 15-03-2025</v>
      </c>
      <c r="F600" t="str">
        <f>IF(COUNTIF('Top5'!I:I, G600) &gt; 0, "Yes", "No")</f>
        <v>No</v>
      </c>
      <c r="G600" t="str">
        <f t="shared" si="29"/>
        <v>09-03-2025 to 15-03-2025</v>
      </c>
    </row>
    <row r="601" spans="1:7">
      <c r="A601" s="1">
        <v>45725</v>
      </c>
      <c r="B601" s="6">
        <v>0.46944444444444444</v>
      </c>
      <c r="C601" s="10" t="s">
        <v>22</v>
      </c>
      <c r="D601" s="7">
        <f t="shared" si="27"/>
        <v>45725.469444444447</v>
      </c>
      <c r="E601" t="str">
        <f t="shared" si="28"/>
        <v>09-03-2025 to 15-03-2025</v>
      </c>
      <c r="F601" t="str">
        <f>IF(COUNTIF('Top5'!I:I, G601) &gt; 0, "Yes", "No")</f>
        <v>No</v>
      </c>
      <c r="G601" t="str">
        <f t="shared" si="29"/>
        <v>09-03-2025 to 15-03-2025</v>
      </c>
    </row>
    <row r="602" spans="1:7">
      <c r="A602" s="1">
        <v>45725</v>
      </c>
      <c r="B602" s="6">
        <v>0.47152777777777777</v>
      </c>
      <c r="C602" s="10" t="s">
        <v>22</v>
      </c>
      <c r="D602" s="7">
        <f t="shared" si="27"/>
        <v>45725.47152777778</v>
      </c>
      <c r="E602" t="str">
        <f t="shared" si="28"/>
        <v>09-03-2025 to 15-03-2025</v>
      </c>
      <c r="F602" t="str">
        <f>IF(COUNTIF('Top5'!I:I, G602) &gt; 0, "Yes", "No")</f>
        <v>No</v>
      </c>
      <c r="G602" t="str">
        <f t="shared" si="29"/>
        <v>09-03-2025 to 15-03-2025</v>
      </c>
    </row>
    <row r="603" spans="1:7">
      <c r="A603" s="1">
        <v>45725</v>
      </c>
      <c r="B603" s="6">
        <v>0.4909722222222222</v>
      </c>
      <c r="C603" s="10" t="s">
        <v>22</v>
      </c>
      <c r="D603" s="7">
        <f t="shared" si="27"/>
        <v>45725.490972222222</v>
      </c>
      <c r="E603" t="str">
        <f t="shared" si="28"/>
        <v>09-03-2025 to 15-03-2025</v>
      </c>
      <c r="F603" t="str">
        <f>IF(COUNTIF('Top5'!I:I, G603) &gt; 0, "Yes", "No")</f>
        <v>No</v>
      </c>
      <c r="G603" t="str">
        <f t="shared" si="29"/>
        <v>09-03-2025 to 15-03-2025</v>
      </c>
    </row>
    <row r="604" spans="1:7">
      <c r="A604" s="1">
        <v>45725</v>
      </c>
      <c r="B604" s="6">
        <v>0.5</v>
      </c>
      <c r="C604" s="10" t="s">
        <v>71</v>
      </c>
      <c r="D604" s="7">
        <f t="shared" si="27"/>
        <v>45725.5</v>
      </c>
      <c r="E604" t="str">
        <f t="shared" si="28"/>
        <v>09-03-2025 to 15-03-2025</v>
      </c>
      <c r="F604" t="str">
        <f>IF(COUNTIF('Top5'!I:I, G604) &gt; 0, "Yes", "No")</f>
        <v>No</v>
      </c>
      <c r="G604" t="str">
        <f t="shared" si="29"/>
        <v>09-03-2025 to 15-03-2025</v>
      </c>
    </row>
    <row r="605" spans="1:7">
      <c r="A605" s="1">
        <v>45725</v>
      </c>
      <c r="B605" s="6">
        <v>0.72777777777777775</v>
      </c>
      <c r="C605" s="10" t="s">
        <v>70</v>
      </c>
      <c r="D605" s="7">
        <f t="shared" si="27"/>
        <v>45725.727777777778</v>
      </c>
      <c r="E605" t="str">
        <f t="shared" si="28"/>
        <v>09-03-2025 to 15-03-2025</v>
      </c>
      <c r="F605" t="str">
        <f>IF(COUNTIF('Top5'!I:I, G605) &gt; 0, "Yes", "No")</f>
        <v>No</v>
      </c>
      <c r="G605" t="str">
        <f t="shared" si="29"/>
        <v>09-03-2025 to 15-03-2025</v>
      </c>
    </row>
    <row r="606" spans="1:7">
      <c r="A606" s="1">
        <v>45725</v>
      </c>
      <c r="B606" s="6">
        <v>0.89097222222222228</v>
      </c>
      <c r="C606" s="10" t="s">
        <v>70</v>
      </c>
      <c r="D606" s="7">
        <f t="shared" si="27"/>
        <v>45725.890972222223</v>
      </c>
      <c r="E606" t="str">
        <f t="shared" si="28"/>
        <v>09-03-2025 to 15-03-2025</v>
      </c>
      <c r="F606" t="str">
        <f>IF(COUNTIF('Top5'!I:I, G606) &gt; 0, "Yes", "No")</f>
        <v>No</v>
      </c>
      <c r="G606" t="str">
        <f t="shared" si="29"/>
        <v>09-03-2025 to 15-03-2025</v>
      </c>
    </row>
    <row r="607" spans="1:7">
      <c r="A607" s="1">
        <v>45726</v>
      </c>
      <c r="B607" s="6">
        <v>0.39374999999999999</v>
      </c>
      <c r="C607" s="10" t="s">
        <v>22</v>
      </c>
      <c r="D607" s="7">
        <f t="shared" si="27"/>
        <v>45726.393750000003</v>
      </c>
      <c r="E607" t="str">
        <f t="shared" si="28"/>
        <v>10-03-2025 to 16-03-2025</v>
      </c>
      <c r="F607" t="str">
        <f>IF(COUNTIF('Top5'!I:I, G607) &gt; 0, "Yes", "No")</f>
        <v>No</v>
      </c>
      <c r="G607" t="str">
        <f t="shared" si="29"/>
        <v>10-03-2025 to 16-03-2025</v>
      </c>
    </row>
    <row r="608" spans="1:7">
      <c r="A608" s="1">
        <v>45726</v>
      </c>
      <c r="B608" s="6">
        <v>0.42708333333333331</v>
      </c>
      <c r="C608" s="10" t="s">
        <v>22</v>
      </c>
      <c r="D608" s="7">
        <f t="shared" si="27"/>
        <v>45726.427083333336</v>
      </c>
      <c r="E608" t="str">
        <f t="shared" si="28"/>
        <v>10-03-2025 to 16-03-2025</v>
      </c>
      <c r="F608" t="str">
        <f>IF(COUNTIF('Top5'!I:I, G608) &gt; 0, "Yes", "No")</f>
        <v>No</v>
      </c>
      <c r="G608" t="str">
        <f t="shared" si="29"/>
        <v>10-03-2025 to 16-03-2025</v>
      </c>
    </row>
    <row r="609" spans="1:7">
      <c r="A609" s="1">
        <v>45726</v>
      </c>
      <c r="B609" s="6">
        <v>0.43680555555555556</v>
      </c>
      <c r="C609" s="10" t="s">
        <v>22</v>
      </c>
      <c r="D609" s="7">
        <f t="shared" si="27"/>
        <v>45726.436805555553</v>
      </c>
      <c r="E609" t="str">
        <f t="shared" si="28"/>
        <v>10-03-2025 to 16-03-2025</v>
      </c>
      <c r="F609" t="str">
        <f>IF(COUNTIF('Top5'!I:I, G609) &gt; 0, "Yes", "No")</f>
        <v>No</v>
      </c>
      <c r="G609" t="str">
        <f t="shared" si="29"/>
        <v>10-03-2025 to 16-03-2025</v>
      </c>
    </row>
    <row r="610" spans="1:7">
      <c r="A610" s="1">
        <v>45726</v>
      </c>
      <c r="B610" s="6">
        <v>0.71180555555555558</v>
      </c>
      <c r="C610" s="10" t="s">
        <v>70</v>
      </c>
      <c r="D610" s="7">
        <f t="shared" si="27"/>
        <v>45726.711805555555</v>
      </c>
      <c r="E610" t="str">
        <f t="shared" si="28"/>
        <v>10-03-2025 to 16-03-2025</v>
      </c>
      <c r="F610" t="str">
        <f>IF(COUNTIF('Top5'!I:I, G610) &gt; 0, "Yes", "No")</f>
        <v>No</v>
      </c>
      <c r="G610" t="str">
        <f t="shared" si="29"/>
        <v>10-03-2025 to 16-03-2025</v>
      </c>
    </row>
    <row r="611" spans="1:7">
      <c r="A611" s="1">
        <v>45726</v>
      </c>
      <c r="B611" s="6">
        <v>0.71805555555555556</v>
      </c>
      <c r="C611" s="10" t="s">
        <v>70</v>
      </c>
      <c r="D611" s="7">
        <f t="shared" si="27"/>
        <v>45726.718055555553</v>
      </c>
      <c r="E611" t="str">
        <f t="shared" si="28"/>
        <v>10-03-2025 to 16-03-2025</v>
      </c>
      <c r="F611" t="str">
        <f>IF(COUNTIF('Top5'!I:I, G611) &gt; 0, "Yes", "No")</f>
        <v>No</v>
      </c>
      <c r="G611" t="str">
        <f t="shared" si="29"/>
        <v>10-03-2025 to 16-03-2025</v>
      </c>
    </row>
    <row r="612" spans="1:7">
      <c r="A612" s="1">
        <v>45726</v>
      </c>
      <c r="B612" s="6">
        <v>0.77638888888888891</v>
      </c>
      <c r="C612" s="10" t="s">
        <v>70</v>
      </c>
      <c r="D612" s="7">
        <f t="shared" si="27"/>
        <v>45726.776388888888</v>
      </c>
      <c r="E612" t="str">
        <f t="shared" si="28"/>
        <v>10-03-2025 to 16-03-2025</v>
      </c>
      <c r="F612" t="str">
        <f>IF(COUNTIF('Top5'!I:I, G612) &gt; 0, "Yes", "No")</f>
        <v>No</v>
      </c>
      <c r="G612" t="str">
        <f t="shared" si="29"/>
        <v>10-03-2025 to 16-03-2025</v>
      </c>
    </row>
    <row r="613" spans="1:7">
      <c r="A613" s="1">
        <v>45726</v>
      </c>
      <c r="B613" s="6">
        <v>0.96180555555555558</v>
      </c>
      <c r="C613" s="10" t="s">
        <v>70</v>
      </c>
      <c r="D613" s="7">
        <f t="shared" si="27"/>
        <v>45726.961805555555</v>
      </c>
      <c r="E613" t="str">
        <f t="shared" si="28"/>
        <v>10-03-2025 to 16-03-2025</v>
      </c>
      <c r="F613" t="str">
        <f>IF(COUNTIF('Top5'!I:I, G613) &gt; 0, "Yes", "No")</f>
        <v>No</v>
      </c>
      <c r="G613" t="str">
        <f t="shared" si="29"/>
        <v>10-03-2025 to 16-03-2025</v>
      </c>
    </row>
    <row r="614" spans="1:7">
      <c r="A614" s="1">
        <v>45726</v>
      </c>
      <c r="B614" s="6">
        <v>0.97777777777777775</v>
      </c>
      <c r="C614" s="10" t="s">
        <v>70</v>
      </c>
      <c r="D614" s="7">
        <f t="shared" si="27"/>
        <v>45726.977777777778</v>
      </c>
      <c r="E614" t="str">
        <f t="shared" si="28"/>
        <v>10-03-2025 to 16-03-2025</v>
      </c>
      <c r="F614" t="str">
        <f>IF(COUNTIF('Top5'!I:I, G614) &gt; 0, "Yes", "No")</f>
        <v>No</v>
      </c>
      <c r="G614" t="str">
        <f t="shared" si="29"/>
        <v>10-03-2025 to 16-03-2025</v>
      </c>
    </row>
    <row r="615" spans="1:7">
      <c r="A615" s="1">
        <v>45727</v>
      </c>
      <c r="B615" s="6">
        <v>4.1666666666666666E-3</v>
      </c>
      <c r="C615" s="10" t="s">
        <v>70</v>
      </c>
      <c r="D615" s="7">
        <f t="shared" si="27"/>
        <v>45727.004166666666</v>
      </c>
      <c r="E615" t="str">
        <f t="shared" si="28"/>
        <v>11-03-2025 to 17-03-2025</v>
      </c>
      <c r="F615" t="str">
        <f>IF(COUNTIF('Top5'!I:I, G615) &gt; 0, "Yes", "No")</f>
        <v>No</v>
      </c>
      <c r="G615" t="str">
        <f t="shared" si="29"/>
        <v>11-03-2025 to 17-03-2025</v>
      </c>
    </row>
    <row r="616" spans="1:7">
      <c r="A616" s="1">
        <v>45727</v>
      </c>
      <c r="B616" s="6">
        <v>0.49305555555555558</v>
      </c>
      <c r="C616" s="10" t="s">
        <v>22</v>
      </c>
      <c r="D616" s="7">
        <f t="shared" si="27"/>
        <v>45727.493055555555</v>
      </c>
      <c r="E616" t="str">
        <f t="shared" si="28"/>
        <v>11-03-2025 to 17-03-2025</v>
      </c>
      <c r="F616" t="str">
        <f>IF(COUNTIF('Top5'!I:I, G616) &gt; 0, "Yes", "No")</f>
        <v>No</v>
      </c>
      <c r="G616" t="str">
        <f t="shared" si="29"/>
        <v>11-03-2025 to 17-03-2025</v>
      </c>
    </row>
    <row r="617" spans="1:7">
      <c r="A617" s="1">
        <v>45727</v>
      </c>
      <c r="B617" s="6">
        <v>0.53055555555555556</v>
      </c>
      <c r="C617" s="10" t="s">
        <v>71</v>
      </c>
      <c r="D617" s="7">
        <f t="shared" si="27"/>
        <v>45727.530555555553</v>
      </c>
      <c r="E617" t="str">
        <f t="shared" si="28"/>
        <v>11-03-2025 to 17-03-2025</v>
      </c>
      <c r="F617" t="str">
        <f>IF(COUNTIF('Top5'!I:I, G617) &gt; 0, "Yes", "No")</f>
        <v>No</v>
      </c>
      <c r="G617" t="str">
        <f t="shared" si="29"/>
        <v>11-03-2025 to 17-03-2025</v>
      </c>
    </row>
    <row r="618" spans="1:7">
      <c r="A618" s="1">
        <v>45727</v>
      </c>
      <c r="B618" s="6">
        <v>0.5395833333333333</v>
      </c>
      <c r="C618" s="10" t="s">
        <v>71</v>
      </c>
      <c r="D618" s="7">
        <f t="shared" si="27"/>
        <v>45727.539583333331</v>
      </c>
      <c r="E618" t="str">
        <f t="shared" si="28"/>
        <v>11-03-2025 to 17-03-2025</v>
      </c>
      <c r="F618" t="str">
        <f>IF(COUNTIF('Top5'!I:I, G618) &gt; 0, "Yes", "No")</f>
        <v>No</v>
      </c>
      <c r="G618" t="str">
        <f t="shared" si="29"/>
        <v>11-03-2025 to 17-03-2025</v>
      </c>
    </row>
    <row r="619" spans="1:7">
      <c r="A619" s="1">
        <v>45727</v>
      </c>
      <c r="B619" s="6">
        <v>0.9916666666666667</v>
      </c>
      <c r="C619" s="10" t="s">
        <v>70</v>
      </c>
      <c r="D619" s="7">
        <f t="shared" si="27"/>
        <v>45727.991666666669</v>
      </c>
      <c r="E619" t="str">
        <f t="shared" si="28"/>
        <v>11-03-2025 to 17-03-2025</v>
      </c>
      <c r="F619" t="str">
        <f>IF(COUNTIF('Top5'!I:I, G619) &gt; 0, "Yes", "No")</f>
        <v>No</v>
      </c>
      <c r="G619" t="str">
        <f t="shared" si="29"/>
        <v>11-03-2025 to 17-03-2025</v>
      </c>
    </row>
    <row r="620" spans="1:7">
      <c r="A620" s="1">
        <v>45728</v>
      </c>
      <c r="B620" s="6">
        <v>6.2500000000000003E-3</v>
      </c>
      <c r="C620" s="10" t="s">
        <v>70</v>
      </c>
      <c r="D620" s="7">
        <f t="shared" si="27"/>
        <v>45728.006249999999</v>
      </c>
      <c r="E620" t="str">
        <f t="shared" si="28"/>
        <v>12-03-2025 to 18-03-2025</v>
      </c>
      <c r="F620" t="str">
        <f>IF(COUNTIF('Top5'!I:I, G620) &gt; 0, "Yes", "No")</f>
        <v>No</v>
      </c>
      <c r="G620" t="str">
        <f t="shared" si="29"/>
        <v>12-03-2025 to 18-03-2025</v>
      </c>
    </row>
    <row r="621" spans="1:7">
      <c r="A621" s="1">
        <v>45728</v>
      </c>
      <c r="B621" s="6">
        <v>0.38333333333333336</v>
      </c>
      <c r="C621" s="10" t="s">
        <v>22</v>
      </c>
      <c r="D621" s="7">
        <f t="shared" si="27"/>
        <v>45728.383333333331</v>
      </c>
      <c r="E621" t="str">
        <f t="shared" si="28"/>
        <v>12-03-2025 to 18-03-2025</v>
      </c>
      <c r="F621" t="str">
        <f>IF(COUNTIF('Top5'!I:I, G621) &gt; 0, "Yes", "No")</f>
        <v>No</v>
      </c>
      <c r="G621" t="str">
        <f t="shared" si="29"/>
        <v>12-03-2025 to 18-03-2025</v>
      </c>
    </row>
    <row r="622" spans="1:7">
      <c r="A622" s="1">
        <v>45728</v>
      </c>
      <c r="B622" s="6">
        <v>0.39930555555555558</v>
      </c>
      <c r="C622" s="10" t="s">
        <v>22</v>
      </c>
      <c r="D622" s="7">
        <f t="shared" si="27"/>
        <v>45728.399305555555</v>
      </c>
      <c r="E622" t="str">
        <f t="shared" si="28"/>
        <v>12-03-2025 to 18-03-2025</v>
      </c>
      <c r="F622" t="str">
        <f>IF(COUNTIF('Top5'!I:I, G622) &gt; 0, "Yes", "No")</f>
        <v>No</v>
      </c>
      <c r="G622" t="str">
        <f t="shared" si="29"/>
        <v>12-03-2025 to 18-03-2025</v>
      </c>
    </row>
    <row r="623" spans="1:7">
      <c r="A623" s="1">
        <v>45728</v>
      </c>
      <c r="B623" s="6">
        <v>0.4</v>
      </c>
      <c r="C623" s="10" t="s">
        <v>22</v>
      </c>
      <c r="D623" s="7">
        <f t="shared" si="27"/>
        <v>45728.4</v>
      </c>
      <c r="E623" t="str">
        <f t="shared" si="28"/>
        <v>12-03-2025 to 18-03-2025</v>
      </c>
      <c r="F623" t="str">
        <f>IF(COUNTIF('Top5'!I:I, G623) &gt; 0, "Yes", "No")</f>
        <v>No</v>
      </c>
      <c r="G623" t="str">
        <f t="shared" si="29"/>
        <v>12-03-2025 to 18-03-2025</v>
      </c>
    </row>
    <row r="624" spans="1:7">
      <c r="A624" s="1">
        <v>45728</v>
      </c>
      <c r="B624" s="6">
        <v>0.40416666666666667</v>
      </c>
      <c r="C624" s="10" t="s">
        <v>22</v>
      </c>
      <c r="D624" s="7">
        <f t="shared" si="27"/>
        <v>45728.404166666667</v>
      </c>
      <c r="E624" t="str">
        <f t="shared" si="28"/>
        <v>12-03-2025 to 18-03-2025</v>
      </c>
      <c r="F624" t="str">
        <f>IF(COUNTIF('Top5'!I:I, G624) &gt; 0, "Yes", "No")</f>
        <v>No</v>
      </c>
      <c r="G624" t="str">
        <f t="shared" si="29"/>
        <v>12-03-2025 to 18-03-2025</v>
      </c>
    </row>
    <row r="625" spans="1:7">
      <c r="A625" s="1">
        <v>45729</v>
      </c>
      <c r="B625" s="6">
        <v>0.45</v>
      </c>
      <c r="C625" s="10" t="s">
        <v>22</v>
      </c>
      <c r="D625" s="7">
        <f t="shared" si="27"/>
        <v>45729.45</v>
      </c>
      <c r="E625" t="str">
        <f t="shared" si="28"/>
        <v>13-03-2025 to 19-03-2025</v>
      </c>
      <c r="F625" t="str">
        <f>IF(COUNTIF('Top5'!I:I, G625) &gt; 0, "Yes", "No")</f>
        <v>No</v>
      </c>
      <c r="G625" t="str">
        <f t="shared" si="29"/>
        <v>13-03-2025 to 19-03-2025</v>
      </c>
    </row>
    <row r="626" spans="1:7">
      <c r="A626" s="1">
        <v>45729</v>
      </c>
      <c r="B626" s="6">
        <v>0.45833333333333331</v>
      </c>
      <c r="C626" s="10" t="s">
        <v>22</v>
      </c>
      <c r="D626" s="7">
        <f t="shared" si="27"/>
        <v>45729.458333333336</v>
      </c>
      <c r="E626" t="str">
        <f t="shared" si="28"/>
        <v>13-03-2025 to 19-03-2025</v>
      </c>
      <c r="F626" t="str">
        <f>IF(COUNTIF('Top5'!I:I, G626) &gt; 0, "Yes", "No")</f>
        <v>No</v>
      </c>
      <c r="G626" t="str">
        <f t="shared" si="29"/>
        <v>13-03-2025 to 19-03-2025</v>
      </c>
    </row>
    <row r="627" spans="1:7">
      <c r="A627" s="1">
        <v>45729</v>
      </c>
      <c r="B627" s="6">
        <v>0.47291666666666665</v>
      </c>
      <c r="C627" s="10" t="s">
        <v>22</v>
      </c>
      <c r="D627" s="7">
        <f t="shared" si="27"/>
        <v>45729.472916666666</v>
      </c>
      <c r="E627" t="str">
        <f t="shared" si="28"/>
        <v>13-03-2025 to 19-03-2025</v>
      </c>
      <c r="F627" t="str">
        <f>IF(COUNTIF('Top5'!I:I, G627) &gt; 0, "Yes", "No")</f>
        <v>No</v>
      </c>
      <c r="G627" t="str">
        <f t="shared" si="29"/>
        <v>13-03-2025 to 19-03-2025</v>
      </c>
    </row>
    <row r="628" spans="1:7">
      <c r="A628" s="1">
        <v>45729</v>
      </c>
      <c r="B628" s="6">
        <v>0.47499999999999998</v>
      </c>
      <c r="C628" s="10" t="s">
        <v>22</v>
      </c>
      <c r="D628" s="7">
        <f t="shared" si="27"/>
        <v>45729.474999999999</v>
      </c>
      <c r="E628" t="str">
        <f t="shared" si="28"/>
        <v>13-03-2025 to 19-03-2025</v>
      </c>
      <c r="F628" t="str">
        <f>IF(COUNTIF('Top5'!I:I, G628) &gt; 0, "Yes", "No")</f>
        <v>No</v>
      </c>
      <c r="G628" t="str">
        <f t="shared" si="29"/>
        <v>13-03-2025 to 19-03-2025</v>
      </c>
    </row>
    <row r="629" spans="1:7">
      <c r="A629" s="1">
        <v>45729</v>
      </c>
      <c r="B629" s="6">
        <v>0.47569444444444442</v>
      </c>
      <c r="C629" s="10" t="s">
        <v>22</v>
      </c>
      <c r="D629" s="7">
        <f t="shared" si="27"/>
        <v>45729.475694444445</v>
      </c>
      <c r="E629" t="str">
        <f t="shared" si="28"/>
        <v>13-03-2025 to 19-03-2025</v>
      </c>
      <c r="F629" t="str">
        <f>IF(COUNTIF('Top5'!I:I, G629) &gt; 0, "Yes", "No")</f>
        <v>No</v>
      </c>
      <c r="G629" t="str">
        <f t="shared" si="29"/>
        <v>13-03-2025 to 19-03-2025</v>
      </c>
    </row>
    <row r="630" spans="1:7">
      <c r="A630" s="1">
        <v>45729</v>
      </c>
      <c r="B630" s="6">
        <v>0.47569444444444442</v>
      </c>
      <c r="C630" s="10" t="s">
        <v>22</v>
      </c>
      <c r="D630" s="7">
        <f t="shared" si="27"/>
        <v>45729.475694444445</v>
      </c>
      <c r="E630" t="str">
        <f t="shared" si="28"/>
        <v>13-03-2025 to 19-03-2025</v>
      </c>
      <c r="F630" t="str">
        <f>IF(COUNTIF('Top5'!I:I, G630) &gt; 0, "Yes", "No")</f>
        <v>No</v>
      </c>
      <c r="G630" t="str">
        <f t="shared" si="29"/>
        <v>13-03-2025 to 19-03-2025</v>
      </c>
    </row>
    <row r="631" spans="1:7">
      <c r="A631" s="1">
        <v>45729</v>
      </c>
      <c r="B631" s="6">
        <v>0.47708333333333336</v>
      </c>
      <c r="C631" s="10" t="s">
        <v>22</v>
      </c>
      <c r="D631" s="7">
        <f t="shared" si="27"/>
        <v>45729.477083333331</v>
      </c>
      <c r="E631" t="str">
        <f t="shared" si="28"/>
        <v>13-03-2025 to 19-03-2025</v>
      </c>
      <c r="F631" t="str">
        <f>IF(COUNTIF('Top5'!I:I, G631) &gt; 0, "Yes", "No")</f>
        <v>No</v>
      </c>
      <c r="G631" t="str">
        <f t="shared" si="29"/>
        <v>13-03-2025 to 19-03-2025</v>
      </c>
    </row>
    <row r="632" spans="1:7">
      <c r="A632" s="1">
        <v>45729</v>
      </c>
      <c r="B632" s="6">
        <v>0.60486111111111107</v>
      </c>
      <c r="C632" s="10" t="s">
        <v>71</v>
      </c>
      <c r="D632" s="7">
        <f t="shared" si="27"/>
        <v>45729.604861111111</v>
      </c>
      <c r="E632" t="str">
        <f t="shared" si="28"/>
        <v>13-03-2025 to 19-03-2025</v>
      </c>
      <c r="F632" t="str">
        <f>IF(COUNTIF('Top5'!I:I, G632) &gt; 0, "Yes", "No")</f>
        <v>No</v>
      </c>
      <c r="G632" t="str">
        <f t="shared" si="29"/>
        <v>13-03-2025 to 19-03-2025</v>
      </c>
    </row>
    <row r="633" spans="1:7">
      <c r="A633" s="1">
        <v>45729</v>
      </c>
      <c r="B633" s="6">
        <v>0.69305555555555554</v>
      </c>
      <c r="C633" s="10" t="s">
        <v>71</v>
      </c>
      <c r="D633" s="7">
        <f t="shared" si="27"/>
        <v>45729.693055555559</v>
      </c>
      <c r="E633" t="str">
        <f t="shared" si="28"/>
        <v>13-03-2025 to 19-03-2025</v>
      </c>
      <c r="F633" t="str">
        <f>IF(COUNTIF('Top5'!I:I, G633) &gt; 0, "Yes", "No")</f>
        <v>No</v>
      </c>
      <c r="G633" t="str">
        <f t="shared" si="29"/>
        <v>13-03-2025 to 19-03-2025</v>
      </c>
    </row>
    <row r="634" spans="1:7">
      <c r="A634" s="1">
        <v>45730</v>
      </c>
      <c r="B634" s="6">
        <v>3.472222222222222E-3</v>
      </c>
      <c r="C634" s="10" t="s">
        <v>70</v>
      </c>
      <c r="D634" s="7">
        <f t="shared" si="27"/>
        <v>45730.003472222219</v>
      </c>
      <c r="E634" t="str">
        <f t="shared" si="28"/>
        <v>14-03-2025 to 20-03-2025</v>
      </c>
      <c r="F634" t="str">
        <f>IF(COUNTIF('Top5'!I:I, G634) &gt; 0, "Yes", "No")</f>
        <v>No</v>
      </c>
      <c r="G634" t="str">
        <f t="shared" si="29"/>
        <v>14-03-2025 to 20-03-2025</v>
      </c>
    </row>
    <row r="635" spans="1:7">
      <c r="A635" s="1">
        <v>45730</v>
      </c>
      <c r="B635" s="6">
        <v>0.75486111111111109</v>
      </c>
      <c r="C635" s="10" t="s">
        <v>70</v>
      </c>
      <c r="D635" s="7">
        <f t="shared" si="27"/>
        <v>45730.754861111112</v>
      </c>
      <c r="E635" t="str">
        <f t="shared" si="28"/>
        <v>14-03-2025 to 20-03-2025</v>
      </c>
      <c r="F635" t="str">
        <f>IF(COUNTIF('Top5'!I:I, G635) &gt; 0, "Yes", "No")</f>
        <v>No</v>
      </c>
      <c r="G635" t="str">
        <f t="shared" si="29"/>
        <v>14-03-2025 to 20-03-2025</v>
      </c>
    </row>
    <row r="636" spans="1:7">
      <c r="A636" s="1">
        <v>45730</v>
      </c>
      <c r="B636" s="6">
        <v>0.93055555555555558</v>
      </c>
      <c r="C636" s="10" t="s">
        <v>70</v>
      </c>
      <c r="D636" s="7">
        <f t="shared" si="27"/>
        <v>45730.930555555555</v>
      </c>
      <c r="E636" t="str">
        <f t="shared" si="28"/>
        <v>14-03-2025 to 20-03-2025</v>
      </c>
      <c r="F636" t="str">
        <f>IF(COUNTIF('Top5'!I:I, G636) &gt; 0, "Yes", "No")</f>
        <v>No</v>
      </c>
      <c r="G636" t="str">
        <f t="shared" si="29"/>
        <v>14-03-2025 to 20-03-2025</v>
      </c>
    </row>
    <row r="637" spans="1:7">
      <c r="A637" s="1">
        <v>45730</v>
      </c>
      <c r="B637" s="6">
        <v>0.94652777777777775</v>
      </c>
      <c r="C637" s="10" t="s">
        <v>70</v>
      </c>
      <c r="D637" s="7">
        <f t="shared" si="27"/>
        <v>45730.946527777778</v>
      </c>
      <c r="E637" t="str">
        <f t="shared" si="28"/>
        <v>14-03-2025 to 20-03-2025</v>
      </c>
      <c r="F637" t="str">
        <f>IF(COUNTIF('Top5'!I:I, G637) &gt; 0, "Yes", "No")</f>
        <v>No</v>
      </c>
      <c r="G637" t="str">
        <f t="shared" si="29"/>
        <v>14-03-2025 to 20-03-2025</v>
      </c>
    </row>
    <row r="638" spans="1:7">
      <c r="A638" s="1">
        <v>45731</v>
      </c>
      <c r="B638" s="6">
        <v>0.42222222222222222</v>
      </c>
      <c r="C638" s="10" t="s">
        <v>22</v>
      </c>
      <c r="D638" s="7">
        <f t="shared" si="27"/>
        <v>45731.422222222223</v>
      </c>
      <c r="E638" t="str">
        <f t="shared" si="28"/>
        <v>15-03-2025 to 21-03-2025</v>
      </c>
      <c r="F638" t="str">
        <f>IF(COUNTIF('Top5'!I:I, G638) &gt; 0, "Yes", "No")</f>
        <v>Yes</v>
      </c>
      <c r="G638" t="str">
        <f t="shared" si="29"/>
        <v>15-03-2025 to 21-03-2025</v>
      </c>
    </row>
    <row r="639" spans="1:7">
      <c r="A639" s="1">
        <v>45731</v>
      </c>
      <c r="B639" s="6">
        <v>0.42430555555555555</v>
      </c>
      <c r="C639" s="10" t="s">
        <v>22</v>
      </c>
      <c r="D639" s="7">
        <f t="shared" si="27"/>
        <v>45731.424305555556</v>
      </c>
      <c r="E639" t="str">
        <f t="shared" si="28"/>
        <v>15-03-2025 to 21-03-2025</v>
      </c>
      <c r="F639" t="str">
        <f>IF(COUNTIF('Top5'!I:I, G639) &gt; 0, "Yes", "No")</f>
        <v>Yes</v>
      </c>
      <c r="G639" t="str">
        <f t="shared" si="29"/>
        <v>15-03-2025 to 21-03-2025</v>
      </c>
    </row>
    <row r="640" spans="1:7">
      <c r="A640" s="1">
        <v>45731</v>
      </c>
      <c r="B640" s="6">
        <v>0.42569444444444443</v>
      </c>
      <c r="C640" s="10" t="s">
        <v>22</v>
      </c>
      <c r="D640" s="7">
        <f t="shared" si="27"/>
        <v>45731.425694444442</v>
      </c>
      <c r="E640" t="str">
        <f t="shared" si="28"/>
        <v>15-03-2025 to 21-03-2025</v>
      </c>
      <c r="F640" t="str">
        <f>IF(COUNTIF('Top5'!I:I, G640) &gt; 0, "Yes", "No")</f>
        <v>Yes</v>
      </c>
      <c r="G640" t="str">
        <f t="shared" si="29"/>
        <v>15-03-2025 to 21-03-2025</v>
      </c>
    </row>
    <row r="641" spans="1:7">
      <c r="A641" s="1">
        <v>45731</v>
      </c>
      <c r="B641" s="6">
        <v>0.43055555555555558</v>
      </c>
      <c r="C641" s="10" t="s">
        <v>22</v>
      </c>
      <c r="D641" s="7">
        <f t="shared" si="27"/>
        <v>45731.430555555555</v>
      </c>
      <c r="E641" t="str">
        <f t="shared" si="28"/>
        <v>15-03-2025 to 21-03-2025</v>
      </c>
      <c r="F641" t="str">
        <f>IF(COUNTIF('Top5'!I:I, G641) &gt; 0, "Yes", "No")</f>
        <v>Yes</v>
      </c>
      <c r="G641" t="str">
        <f t="shared" si="29"/>
        <v>15-03-2025 to 21-03-2025</v>
      </c>
    </row>
    <row r="642" spans="1:7">
      <c r="A642" s="1">
        <v>45731</v>
      </c>
      <c r="B642" s="6">
        <v>0.43125000000000002</v>
      </c>
      <c r="C642" s="10" t="s">
        <v>22</v>
      </c>
      <c r="D642" s="7">
        <f t="shared" si="27"/>
        <v>45731.431250000001</v>
      </c>
      <c r="E642" t="str">
        <f t="shared" si="28"/>
        <v>15-03-2025 to 21-03-2025</v>
      </c>
      <c r="F642" t="str">
        <f>IF(COUNTIF('Top5'!I:I, G642) &gt; 0, "Yes", "No")</f>
        <v>Yes</v>
      </c>
      <c r="G642" t="str">
        <f t="shared" si="29"/>
        <v>15-03-2025 to 21-03-2025</v>
      </c>
    </row>
    <row r="643" spans="1:7">
      <c r="A643" s="1">
        <v>45731</v>
      </c>
      <c r="B643" s="6">
        <v>0.43263888888888891</v>
      </c>
      <c r="C643" s="10" t="s">
        <v>22</v>
      </c>
      <c r="D643" s="7">
        <f t="shared" ref="D643:D706" si="30">VALUE(A643) + VALUE(B643)</f>
        <v>45731.432638888888</v>
      </c>
      <c r="E643" t="str">
        <f t="shared" ref="E643:E706" si="31">TEXT(D643, "dd-mm-yyyy") &amp; " to " &amp; TEXT(D643+6, "dd-mm-yyyy")</f>
        <v>15-03-2025 to 21-03-2025</v>
      </c>
      <c r="F643" t="str">
        <f>IF(COUNTIF('Top5'!I:I, G643) &gt; 0, "Yes", "No")</f>
        <v>Yes</v>
      </c>
      <c r="G643" t="str">
        <f t="shared" ref="G643:G706" si="32">TRIM(E643)</f>
        <v>15-03-2025 to 21-03-2025</v>
      </c>
    </row>
    <row r="644" spans="1:7">
      <c r="A644" s="1">
        <v>45731</v>
      </c>
      <c r="B644" s="6">
        <v>0.49375000000000002</v>
      </c>
      <c r="C644" s="10" t="s">
        <v>22</v>
      </c>
      <c r="D644" s="7">
        <f t="shared" si="30"/>
        <v>45731.493750000001</v>
      </c>
      <c r="E644" t="str">
        <f t="shared" si="31"/>
        <v>15-03-2025 to 21-03-2025</v>
      </c>
      <c r="F644" t="str">
        <f>IF(COUNTIF('Top5'!I:I, G644) &gt; 0, "Yes", "No")</f>
        <v>Yes</v>
      </c>
      <c r="G644" t="str">
        <f t="shared" si="32"/>
        <v>15-03-2025 to 21-03-2025</v>
      </c>
    </row>
    <row r="645" spans="1:7">
      <c r="A645" s="1">
        <v>45732</v>
      </c>
      <c r="B645" s="6">
        <v>0.47569444444444442</v>
      </c>
      <c r="C645" s="10" t="s">
        <v>22</v>
      </c>
      <c r="D645" s="7">
        <f t="shared" si="30"/>
        <v>45732.475694444445</v>
      </c>
      <c r="E645" t="str">
        <f t="shared" si="31"/>
        <v>16-03-2025 to 22-03-2025</v>
      </c>
      <c r="F645" t="str">
        <f>IF(COUNTIF('Top5'!I:I, G645) &gt; 0, "Yes", "No")</f>
        <v>No</v>
      </c>
      <c r="G645" t="str">
        <f t="shared" si="32"/>
        <v>16-03-2025 to 22-03-2025</v>
      </c>
    </row>
    <row r="646" spans="1:7">
      <c r="A646" s="1">
        <v>45732</v>
      </c>
      <c r="B646" s="6">
        <v>0.47708333333333336</v>
      </c>
      <c r="C646" s="10" t="s">
        <v>22</v>
      </c>
      <c r="D646" s="7">
        <f t="shared" si="30"/>
        <v>45732.477083333331</v>
      </c>
      <c r="E646" t="str">
        <f t="shared" si="31"/>
        <v>16-03-2025 to 22-03-2025</v>
      </c>
      <c r="F646" t="str">
        <f>IF(COUNTIF('Top5'!I:I, G646) &gt; 0, "Yes", "No")</f>
        <v>No</v>
      </c>
      <c r="G646" t="str">
        <f t="shared" si="32"/>
        <v>16-03-2025 to 22-03-2025</v>
      </c>
    </row>
    <row r="647" spans="1:7">
      <c r="A647" s="1">
        <v>45732</v>
      </c>
      <c r="B647" s="6">
        <v>0.4909722222222222</v>
      </c>
      <c r="C647" s="10" t="s">
        <v>22</v>
      </c>
      <c r="D647" s="7">
        <f t="shared" si="30"/>
        <v>45732.490972222222</v>
      </c>
      <c r="E647" t="str">
        <f t="shared" si="31"/>
        <v>16-03-2025 to 22-03-2025</v>
      </c>
      <c r="F647" t="str">
        <f>IF(COUNTIF('Top5'!I:I, G647) &gt; 0, "Yes", "No")</f>
        <v>No</v>
      </c>
      <c r="G647" t="str">
        <f t="shared" si="32"/>
        <v>16-03-2025 to 22-03-2025</v>
      </c>
    </row>
    <row r="648" spans="1:7">
      <c r="A648" s="1">
        <v>45732</v>
      </c>
      <c r="B648" s="6">
        <v>0.49375000000000002</v>
      </c>
      <c r="C648" s="10" t="s">
        <v>22</v>
      </c>
      <c r="D648" s="7">
        <f t="shared" si="30"/>
        <v>45732.493750000001</v>
      </c>
      <c r="E648" t="str">
        <f t="shared" si="31"/>
        <v>16-03-2025 to 22-03-2025</v>
      </c>
      <c r="F648" t="str">
        <f>IF(COUNTIF('Top5'!I:I, G648) &gt; 0, "Yes", "No")</f>
        <v>No</v>
      </c>
      <c r="G648" t="str">
        <f t="shared" si="32"/>
        <v>16-03-2025 to 22-03-2025</v>
      </c>
    </row>
    <row r="649" spans="1:7">
      <c r="A649" s="1">
        <v>45732</v>
      </c>
      <c r="B649" s="6">
        <v>0.58819444444444446</v>
      </c>
      <c r="C649" s="10" t="s">
        <v>71</v>
      </c>
      <c r="D649" s="7">
        <f t="shared" si="30"/>
        <v>45732.588194444441</v>
      </c>
      <c r="E649" t="str">
        <f t="shared" si="31"/>
        <v>16-03-2025 to 22-03-2025</v>
      </c>
      <c r="F649" t="str">
        <f>IF(COUNTIF('Top5'!I:I, G649) &gt; 0, "Yes", "No")</f>
        <v>No</v>
      </c>
      <c r="G649" t="str">
        <f t="shared" si="32"/>
        <v>16-03-2025 to 22-03-2025</v>
      </c>
    </row>
    <row r="650" spans="1:7">
      <c r="A650" s="1">
        <v>45732</v>
      </c>
      <c r="B650" s="6">
        <v>0.95694444444444449</v>
      </c>
      <c r="C650" s="10" t="s">
        <v>70</v>
      </c>
      <c r="D650" s="7">
        <f t="shared" si="30"/>
        <v>45732.956944444442</v>
      </c>
      <c r="E650" t="str">
        <f t="shared" si="31"/>
        <v>16-03-2025 to 22-03-2025</v>
      </c>
      <c r="F650" t="str">
        <f>IF(COUNTIF('Top5'!I:I, G650) &gt; 0, "Yes", "No")</f>
        <v>No</v>
      </c>
      <c r="G650" t="str">
        <f t="shared" si="32"/>
        <v>16-03-2025 to 22-03-2025</v>
      </c>
    </row>
    <row r="651" spans="1:7">
      <c r="A651" s="1">
        <v>45732</v>
      </c>
      <c r="B651" s="6">
        <v>0.96111111111111114</v>
      </c>
      <c r="C651" s="10" t="s">
        <v>70</v>
      </c>
      <c r="D651" s="7">
        <f t="shared" si="30"/>
        <v>45732.961111111108</v>
      </c>
      <c r="E651" t="str">
        <f t="shared" si="31"/>
        <v>16-03-2025 to 22-03-2025</v>
      </c>
      <c r="F651" t="str">
        <f>IF(COUNTIF('Top5'!I:I, G651) &gt; 0, "Yes", "No")</f>
        <v>No</v>
      </c>
      <c r="G651" t="str">
        <f t="shared" si="32"/>
        <v>16-03-2025 to 22-03-2025</v>
      </c>
    </row>
    <row r="652" spans="1:7">
      <c r="A652" s="1">
        <v>45733</v>
      </c>
      <c r="B652" s="6">
        <v>0.44097222222222221</v>
      </c>
      <c r="C652" s="10" t="s">
        <v>22</v>
      </c>
      <c r="D652" s="7">
        <f t="shared" si="30"/>
        <v>45733.440972222219</v>
      </c>
      <c r="E652" t="str">
        <f t="shared" si="31"/>
        <v>17-03-2025 to 23-03-2025</v>
      </c>
      <c r="F652" t="str">
        <f>IF(COUNTIF('Top5'!I:I, G652) &gt; 0, "Yes", "No")</f>
        <v>No</v>
      </c>
      <c r="G652" t="str">
        <f t="shared" si="32"/>
        <v>17-03-2025 to 23-03-2025</v>
      </c>
    </row>
    <row r="653" spans="1:7">
      <c r="A653" s="1">
        <v>45733</v>
      </c>
      <c r="B653" s="6">
        <v>0.44236111111111109</v>
      </c>
      <c r="C653" s="10" t="s">
        <v>22</v>
      </c>
      <c r="D653" s="7">
        <f t="shared" si="30"/>
        <v>45733.442361111112</v>
      </c>
      <c r="E653" t="str">
        <f t="shared" si="31"/>
        <v>17-03-2025 to 23-03-2025</v>
      </c>
      <c r="F653" t="str">
        <f>IF(COUNTIF('Top5'!I:I, G653) &gt; 0, "Yes", "No")</f>
        <v>No</v>
      </c>
      <c r="G653" t="str">
        <f t="shared" si="32"/>
        <v>17-03-2025 to 23-03-2025</v>
      </c>
    </row>
    <row r="654" spans="1:7">
      <c r="A654" s="1">
        <v>45733</v>
      </c>
      <c r="B654" s="6">
        <v>0.51180555555555551</v>
      </c>
      <c r="C654" s="10" t="s">
        <v>71</v>
      </c>
      <c r="D654" s="7">
        <f t="shared" si="30"/>
        <v>45733.511805555558</v>
      </c>
      <c r="E654" t="str">
        <f t="shared" si="31"/>
        <v>17-03-2025 to 23-03-2025</v>
      </c>
      <c r="F654" t="str">
        <f>IF(COUNTIF('Top5'!I:I, G654) &gt; 0, "Yes", "No")</f>
        <v>No</v>
      </c>
      <c r="G654" t="str">
        <f t="shared" si="32"/>
        <v>17-03-2025 to 23-03-2025</v>
      </c>
    </row>
    <row r="655" spans="1:7">
      <c r="A655" s="1">
        <v>45733</v>
      </c>
      <c r="B655" s="6">
        <v>0.52152777777777781</v>
      </c>
      <c r="C655" s="10" t="s">
        <v>71</v>
      </c>
      <c r="D655" s="7">
        <f t="shared" si="30"/>
        <v>45733.521527777775</v>
      </c>
      <c r="E655" t="str">
        <f t="shared" si="31"/>
        <v>17-03-2025 to 23-03-2025</v>
      </c>
      <c r="F655" t="str">
        <f>IF(COUNTIF('Top5'!I:I, G655) &gt; 0, "Yes", "No")</f>
        <v>No</v>
      </c>
      <c r="G655" t="str">
        <f t="shared" si="32"/>
        <v>17-03-2025 to 23-03-2025</v>
      </c>
    </row>
    <row r="656" spans="1:7">
      <c r="A656" s="1">
        <v>45733</v>
      </c>
      <c r="B656" s="6">
        <v>0.59652777777777777</v>
      </c>
      <c r="C656" s="10" t="s">
        <v>71</v>
      </c>
      <c r="D656" s="7">
        <f t="shared" si="30"/>
        <v>45733.59652777778</v>
      </c>
      <c r="E656" t="str">
        <f t="shared" si="31"/>
        <v>17-03-2025 to 23-03-2025</v>
      </c>
      <c r="F656" t="str">
        <f>IF(COUNTIF('Top5'!I:I, G656) &gt; 0, "Yes", "No")</f>
        <v>No</v>
      </c>
      <c r="G656" t="str">
        <f t="shared" si="32"/>
        <v>17-03-2025 to 23-03-2025</v>
      </c>
    </row>
    <row r="657" spans="1:7">
      <c r="A657" s="1">
        <v>45733</v>
      </c>
      <c r="B657" s="6">
        <v>0.59791666666666665</v>
      </c>
      <c r="C657" s="10" t="s">
        <v>71</v>
      </c>
      <c r="D657" s="7">
        <f t="shared" si="30"/>
        <v>45733.597916666666</v>
      </c>
      <c r="E657" t="str">
        <f t="shared" si="31"/>
        <v>17-03-2025 to 23-03-2025</v>
      </c>
      <c r="F657" t="str">
        <f>IF(COUNTIF('Top5'!I:I, G657) &gt; 0, "Yes", "No")</f>
        <v>No</v>
      </c>
      <c r="G657" t="str">
        <f t="shared" si="32"/>
        <v>17-03-2025 to 23-03-2025</v>
      </c>
    </row>
    <row r="658" spans="1:7">
      <c r="A658" s="1">
        <v>45734</v>
      </c>
      <c r="B658" s="6">
        <v>0.42083333333333334</v>
      </c>
      <c r="C658" s="10" t="s">
        <v>22</v>
      </c>
      <c r="D658" s="7">
        <f t="shared" si="30"/>
        <v>45734.42083333333</v>
      </c>
      <c r="E658" t="str">
        <f t="shared" si="31"/>
        <v>18-03-2025 to 24-03-2025</v>
      </c>
      <c r="F658" t="str">
        <f>IF(COUNTIF('Top5'!I:I, G658) &gt; 0, "Yes", "No")</f>
        <v>No</v>
      </c>
      <c r="G658" t="str">
        <f t="shared" si="32"/>
        <v>18-03-2025 to 24-03-2025</v>
      </c>
    </row>
    <row r="659" spans="1:7">
      <c r="A659" s="1">
        <v>45734</v>
      </c>
      <c r="B659" s="6">
        <v>0.42777777777777776</v>
      </c>
      <c r="C659" s="10" t="s">
        <v>22</v>
      </c>
      <c r="D659" s="7">
        <f t="shared" si="30"/>
        <v>45734.427777777775</v>
      </c>
      <c r="E659" t="str">
        <f t="shared" si="31"/>
        <v>18-03-2025 to 24-03-2025</v>
      </c>
      <c r="F659" t="str">
        <f>IF(COUNTIF('Top5'!I:I, G659) &gt; 0, "Yes", "No")</f>
        <v>No</v>
      </c>
      <c r="G659" t="str">
        <f t="shared" si="32"/>
        <v>18-03-2025 to 24-03-2025</v>
      </c>
    </row>
    <row r="660" spans="1:7">
      <c r="A660" s="1">
        <v>45734</v>
      </c>
      <c r="B660" s="6">
        <v>0.42916666666666664</v>
      </c>
      <c r="C660" s="10" t="s">
        <v>22</v>
      </c>
      <c r="D660" s="7">
        <f t="shared" si="30"/>
        <v>45734.429166666669</v>
      </c>
      <c r="E660" t="str">
        <f t="shared" si="31"/>
        <v>18-03-2025 to 24-03-2025</v>
      </c>
      <c r="F660" t="str">
        <f>IF(COUNTIF('Top5'!I:I, G660) &gt; 0, "Yes", "No")</f>
        <v>No</v>
      </c>
      <c r="G660" t="str">
        <f t="shared" si="32"/>
        <v>18-03-2025 to 24-03-2025</v>
      </c>
    </row>
    <row r="661" spans="1:7">
      <c r="A661" s="1">
        <v>45734</v>
      </c>
      <c r="B661" s="6">
        <v>0.43055555555555558</v>
      </c>
      <c r="C661" s="10" t="s">
        <v>22</v>
      </c>
      <c r="D661" s="7">
        <f t="shared" si="30"/>
        <v>45734.430555555555</v>
      </c>
      <c r="E661" t="str">
        <f t="shared" si="31"/>
        <v>18-03-2025 to 24-03-2025</v>
      </c>
      <c r="F661" t="str">
        <f>IF(COUNTIF('Top5'!I:I, G661) &gt; 0, "Yes", "No")</f>
        <v>No</v>
      </c>
      <c r="G661" t="str">
        <f t="shared" si="32"/>
        <v>18-03-2025 to 24-03-2025</v>
      </c>
    </row>
    <row r="662" spans="1:7">
      <c r="A662" s="1">
        <v>45734</v>
      </c>
      <c r="B662" s="6">
        <v>0.6166666666666667</v>
      </c>
      <c r="C662" s="10" t="s">
        <v>71</v>
      </c>
      <c r="D662" s="7">
        <f t="shared" si="30"/>
        <v>45734.616666666669</v>
      </c>
      <c r="E662" t="str">
        <f t="shared" si="31"/>
        <v>18-03-2025 to 24-03-2025</v>
      </c>
      <c r="F662" t="str">
        <f>IF(COUNTIF('Top5'!I:I, G662) &gt; 0, "Yes", "No")</f>
        <v>No</v>
      </c>
      <c r="G662" t="str">
        <f t="shared" si="32"/>
        <v>18-03-2025 to 24-03-2025</v>
      </c>
    </row>
    <row r="663" spans="1:7">
      <c r="A663" s="1">
        <v>45734</v>
      </c>
      <c r="B663" s="6">
        <v>0.76111111111111107</v>
      </c>
      <c r="C663" s="10" t="s">
        <v>70</v>
      </c>
      <c r="D663" s="7">
        <f t="shared" si="30"/>
        <v>45734.761111111111</v>
      </c>
      <c r="E663" t="str">
        <f t="shared" si="31"/>
        <v>18-03-2025 to 24-03-2025</v>
      </c>
      <c r="F663" t="str">
        <f>IF(COUNTIF('Top5'!I:I, G663) &gt; 0, "Yes", "No")</f>
        <v>No</v>
      </c>
      <c r="G663" t="str">
        <f t="shared" si="32"/>
        <v>18-03-2025 to 24-03-2025</v>
      </c>
    </row>
    <row r="664" spans="1:7">
      <c r="A664" s="1">
        <v>45734</v>
      </c>
      <c r="B664" s="6">
        <v>0.76180555555555551</v>
      </c>
      <c r="C664" s="10" t="s">
        <v>70</v>
      </c>
      <c r="D664" s="7">
        <f t="shared" si="30"/>
        <v>45734.761805555558</v>
      </c>
      <c r="E664" t="str">
        <f t="shared" si="31"/>
        <v>18-03-2025 to 24-03-2025</v>
      </c>
      <c r="F664" t="str">
        <f>IF(COUNTIF('Top5'!I:I, G664) &gt; 0, "Yes", "No")</f>
        <v>No</v>
      </c>
      <c r="G664" t="str">
        <f t="shared" si="32"/>
        <v>18-03-2025 to 24-03-2025</v>
      </c>
    </row>
    <row r="665" spans="1:7">
      <c r="A665" s="1">
        <v>45734</v>
      </c>
      <c r="B665" s="6">
        <v>0.86527777777777781</v>
      </c>
      <c r="C665" s="10" t="s">
        <v>70</v>
      </c>
      <c r="D665" s="7">
        <f t="shared" si="30"/>
        <v>45734.865277777775</v>
      </c>
      <c r="E665" t="str">
        <f t="shared" si="31"/>
        <v>18-03-2025 to 24-03-2025</v>
      </c>
      <c r="F665" t="str">
        <f>IF(COUNTIF('Top5'!I:I, G665) &gt; 0, "Yes", "No")</f>
        <v>No</v>
      </c>
      <c r="G665" t="str">
        <f t="shared" si="32"/>
        <v>18-03-2025 to 24-03-2025</v>
      </c>
    </row>
    <row r="666" spans="1:7">
      <c r="A666" s="1">
        <v>45734</v>
      </c>
      <c r="B666" s="6">
        <v>0.875</v>
      </c>
      <c r="C666" s="10" t="s">
        <v>70</v>
      </c>
      <c r="D666" s="7">
        <f t="shared" si="30"/>
        <v>45734.875</v>
      </c>
      <c r="E666" t="str">
        <f t="shared" si="31"/>
        <v>18-03-2025 to 24-03-2025</v>
      </c>
      <c r="F666" t="str">
        <f>IF(COUNTIF('Top5'!I:I, G666) &gt; 0, "Yes", "No")</f>
        <v>No</v>
      </c>
      <c r="G666" t="str">
        <f t="shared" si="32"/>
        <v>18-03-2025 to 24-03-2025</v>
      </c>
    </row>
    <row r="667" spans="1:7">
      <c r="A667" s="1">
        <v>45734</v>
      </c>
      <c r="B667" s="6">
        <v>0.87569444444444444</v>
      </c>
      <c r="C667" s="10" t="s">
        <v>70</v>
      </c>
      <c r="D667" s="7">
        <f t="shared" si="30"/>
        <v>45734.875694444447</v>
      </c>
      <c r="E667" t="str">
        <f t="shared" si="31"/>
        <v>18-03-2025 to 24-03-2025</v>
      </c>
      <c r="F667" t="str">
        <f>IF(COUNTIF('Top5'!I:I, G667) &gt; 0, "Yes", "No")</f>
        <v>No</v>
      </c>
      <c r="G667" t="str">
        <f t="shared" si="32"/>
        <v>18-03-2025 to 24-03-2025</v>
      </c>
    </row>
    <row r="668" spans="1:7">
      <c r="A668" s="1">
        <v>45734</v>
      </c>
      <c r="B668" s="6">
        <v>0.87638888888888888</v>
      </c>
      <c r="C668" s="10" t="s">
        <v>70</v>
      </c>
      <c r="D668" s="7">
        <f t="shared" si="30"/>
        <v>45734.876388888886</v>
      </c>
      <c r="E668" t="str">
        <f t="shared" si="31"/>
        <v>18-03-2025 to 24-03-2025</v>
      </c>
      <c r="F668" t="str">
        <f>IF(COUNTIF('Top5'!I:I, G668) &gt; 0, "Yes", "No")</f>
        <v>No</v>
      </c>
      <c r="G668" t="str">
        <f t="shared" si="32"/>
        <v>18-03-2025 to 24-03-2025</v>
      </c>
    </row>
    <row r="669" spans="1:7">
      <c r="A669" s="1">
        <v>45734</v>
      </c>
      <c r="B669" s="6">
        <v>0.89861111111111114</v>
      </c>
      <c r="C669" s="10" t="s">
        <v>70</v>
      </c>
      <c r="D669" s="7">
        <f t="shared" si="30"/>
        <v>45734.898611111108</v>
      </c>
      <c r="E669" t="str">
        <f t="shared" si="31"/>
        <v>18-03-2025 to 24-03-2025</v>
      </c>
      <c r="F669" t="str">
        <f>IF(COUNTIF('Top5'!I:I, G669) &gt; 0, "Yes", "No")</f>
        <v>No</v>
      </c>
      <c r="G669" t="str">
        <f t="shared" si="32"/>
        <v>18-03-2025 to 24-03-2025</v>
      </c>
    </row>
    <row r="670" spans="1:7">
      <c r="A670" s="1">
        <v>45734</v>
      </c>
      <c r="B670" s="6">
        <v>0.89930555555555558</v>
      </c>
      <c r="C670" s="10" t="s">
        <v>70</v>
      </c>
      <c r="D670" s="7">
        <f t="shared" si="30"/>
        <v>45734.899305555555</v>
      </c>
      <c r="E670" t="str">
        <f t="shared" si="31"/>
        <v>18-03-2025 to 24-03-2025</v>
      </c>
      <c r="F670" t="str">
        <f>IF(COUNTIF('Top5'!I:I, G670) &gt; 0, "Yes", "No")</f>
        <v>No</v>
      </c>
      <c r="G670" t="str">
        <f t="shared" si="32"/>
        <v>18-03-2025 to 24-03-2025</v>
      </c>
    </row>
    <row r="671" spans="1:7">
      <c r="A671" s="1">
        <v>45734</v>
      </c>
      <c r="B671" s="6">
        <v>0.91527777777777775</v>
      </c>
      <c r="C671" s="10" t="s">
        <v>70</v>
      </c>
      <c r="D671" s="7">
        <f t="shared" si="30"/>
        <v>45734.915277777778</v>
      </c>
      <c r="E671" t="str">
        <f t="shared" si="31"/>
        <v>18-03-2025 to 24-03-2025</v>
      </c>
      <c r="F671" t="str">
        <f>IF(COUNTIF('Top5'!I:I, G671) &gt; 0, "Yes", "No")</f>
        <v>No</v>
      </c>
      <c r="G671" t="str">
        <f t="shared" si="32"/>
        <v>18-03-2025 to 24-03-2025</v>
      </c>
    </row>
    <row r="672" spans="1:7">
      <c r="A672" s="1">
        <v>45734</v>
      </c>
      <c r="B672" s="6">
        <v>0.91527777777777775</v>
      </c>
      <c r="C672" s="10" t="s">
        <v>70</v>
      </c>
      <c r="D672" s="7">
        <f t="shared" si="30"/>
        <v>45734.915277777778</v>
      </c>
      <c r="E672" t="str">
        <f t="shared" si="31"/>
        <v>18-03-2025 to 24-03-2025</v>
      </c>
      <c r="F672" t="str">
        <f>IF(COUNTIF('Top5'!I:I, G672) &gt; 0, "Yes", "No")</f>
        <v>No</v>
      </c>
      <c r="G672" t="str">
        <f t="shared" si="32"/>
        <v>18-03-2025 to 24-03-2025</v>
      </c>
    </row>
    <row r="673" spans="1:7">
      <c r="A673" s="1">
        <v>45735</v>
      </c>
      <c r="B673" s="6">
        <v>2.7777777777777779E-3</v>
      </c>
      <c r="C673" s="10" t="s">
        <v>70</v>
      </c>
      <c r="D673" s="7">
        <f t="shared" si="30"/>
        <v>45735.00277777778</v>
      </c>
      <c r="E673" t="str">
        <f t="shared" si="31"/>
        <v>19-03-2025 to 25-03-2025</v>
      </c>
      <c r="F673" t="str">
        <f>IF(COUNTIF('Top5'!I:I, G673) &gt; 0, "Yes", "No")</f>
        <v>No</v>
      </c>
      <c r="G673" t="str">
        <f t="shared" si="32"/>
        <v>19-03-2025 to 25-03-2025</v>
      </c>
    </row>
    <row r="674" spans="1:7">
      <c r="A674" s="1">
        <v>45735</v>
      </c>
      <c r="B674" s="6">
        <v>2.7777777777777779E-3</v>
      </c>
      <c r="C674" s="10" t="s">
        <v>70</v>
      </c>
      <c r="D674" s="7">
        <f t="shared" si="30"/>
        <v>45735.00277777778</v>
      </c>
      <c r="E674" t="str">
        <f t="shared" si="31"/>
        <v>19-03-2025 to 25-03-2025</v>
      </c>
      <c r="F674" t="str">
        <f>IF(COUNTIF('Top5'!I:I, G674) &gt; 0, "Yes", "No")</f>
        <v>No</v>
      </c>
      <c r="G674" t="str">
        <f t="shared" si="32"/>
        <v>19-03-2025 to 25-03-2025</v>
      </c>
    </row>
    <row r="675" spans="1:7">
      <c r="A675" s="1">
        <v>45735</v>
      </c>
      <c r="B675" s="6">
        <v>9.0277777777777769E-3</v>
      </c>
      <c r="C675" s="10" t="s">
        <v>70</v>
      </c>
      <c r="D675" s="7">
        <f t="shared" si="30"/>
        <v>45735.009027777778</v>
      </c>
      <c r="E675" t="str">
        <f t="shared" si="31"/>
        <v>19-03-2025 to 25-03-2025</v>
      </c>
      <c r="F675" t="str">
        <f>IF(COUNTIF('Top5'!I:I, G675) &gt; 0, "Yes", "No")</f>
        <v>No</v>
      </c>
      <c r="G675" t="str">
        <f t="shared" si="32"/>
        <v>19-03-2025 to 25-03-2025</v>
      </c>
    </row>
    <row r="676" spans="1:7">
      <c r="A676" s="1">
        <v>45735</v>
      </c>
      <c r="B676" s="6">
        <v>9.7222222222222224E-3</v>
      </c>
      <c r="C676" s="10" t="s">
        <v>70</v>
      </c>
      <c r="D676" s="7">
        <f t="shared" si="30"/>
        <v>45735.009722222225</v>
      </c>
      <c r="E676" t="str">
        <f t="shared" si="31"/>
        <v>19-03-2025 to 25-03-2025</v>
      </c>
      <c r="F676" t="str">
        <f>IF(COUNTIF('Top5'!I:I, G676) &gt; 0, "Yes", "No")</f>
        <v>No</v>
      </c>
      <c r="G676" t="str">
        <f t="shared" si="32"/>
        <v>19-03-2025 to 25-03-2025</v>
      </c>
    </row>
    <row r="677" spans="1:7">
      <c r="A677" s="1">
        <v>45735</v>
      </c>
      <c r="B677" s="6">
        <v>1.1111111111111112E-2</v>
      </c>
      <c r="C677" s="10" t="s">
        <v>70</v>
      </c>
      <c r="D677" s="7">
        <f t="shared" si="30"/>
        <v>45735.011111111111</v>
      </c>
      <c r="E677" t="str">
        <f t="shared" si="31"/>
        <v>19-03-2025 to 25-03-2025</v>
      </c>
      <c r="F677" t="str">
        <f>IF(COUNTIF('Top5'!I:I, G677) &gt; 0, "Yes", "No")</f>
        <v>No</v>
      </c>
      <c r="G677" t="str">
        <f t="shared" si="32"/>
        <v>19-03-2025 to 25-03-2025</v>
      </c>
    </row>
    <row r="678" spans="1:7">
      <c r="A678" s="1">
        <v>45735</v>
      </c>
      <c r="B678" s="6">
        <v>0.42986111111111114</v>
      </c>
      <c r="C678" s="10" t="s">
        <v>22</v>
      </c>
      <c r="D678" s="7">
        <f t="shared" si="30"/>
        <v>45735.429861111108</v>
      </c>
      <c r="E678" t="str">
        <f t="shared" si="31"/>
        <v>19-03-2025 to 25-03-2025</v>
      </c>
      <c r="F678" t="str">
        <f>IF(COUNTIF('Top5'!I:I, G678) &gt; 0, "Yes", "No")</f>
        <v>No</v>
      </c>
      <c r="G678" t="str">
        <f t="shared" si="32"/>
        <v>19-03-2025 to 25-03-2025</v>
      </c>
    </row>
    <row r="679" spans="1:7">
      <c r="A679" s="1">
        <v>45735</v>
      </c>
      <c r="B679" s="6">
        <v>0.44513888888888886</v>
      </c>
      <c r="C679" s="10" t="s">
        <v>22</v>
      </c>
      <c r="D679" s="7">
        <f t="shared" si="30"/>
        <v>45735.445138888892</v>
      </c>
      <c r="E679" t="str">
        <f t="shared" si="31"/>
        <v>19-03-2025 to 25-03-2025</v>
      </c>
      <c r="F679" t="str">
        <f>IF(COUNTIF('Top5'!I:I, G679) &gt; 0, "Yes", "No")</f>
        <v>No</v>
      </c>
      <c r="G679" t="str">
        <f t="shared" si="32"/>
        <v>19-03-2025 to 25-03-2025</v>
      </c>
    </row>
    <row r="680" spans="1:7">
      <c r="A680" s="1">
        <v>45735</v>
      </c>
      <c r="B680" s="6">
        <v>0.46527777777777779</v>
      </c>
      <c r="C680" s="10" t="s">
        <v>22</v>
      </c>
      <c r="D680" s="7">
        <f t="shared" si="30"/>
        <v>45735.465277777781</v>
      </c>
      <c r="E680" t="str">
        <f t="shared" si="31"/>
        <v>19-03-2025 to 25-03-2025</v>
      </c>
      <c r="F680" t="str">
        <f>IF(COUNTIF('Top5'!I:I, G680) &gt; 0, "Yes", "No")</f>
        <v>No</v>
      </c>
      <c r="G680" t="str">
        <f t="shared" si="32"/>
        <v>19-03-2025 to 25-03-2025</v>
      </c>
    </row>
    <row r="681" spans="1:7">
      <c r="A681" s="1">
        <v>45735</v>
      </c>
      <c r="B681" s="6">
        <v>0.47083333333333333</v>
      </c>
      <c r="C681" s="10" t="s">
        <v>22</v>
      </c>
      <c r="D681" s="7">
        <f t="shared" si="30"/>
        <v>45735.470833333333</v>
      </c>
      <c r="E681" t="str">
        <f t="shared" si="31"/>
        <v>19-03-2025 to 25-03-2025</v>
      </c>
      <c r="F681" t="str">
        <f>IF(COUNTIF('Top5'!I:I, G681) &gt; 0, "Yes", "No")</f>
        <v>No</v>
      </c>
      <c r="G681" t="str">
        <f t="shared" si="32"/>
        <v>19-03-2025 to 25-03-2025</v>
      </c>
    </row>
    <row r="682" spans="1:7">
      <c r="A682" s="1">
        <v>45735</v>
      </c>
      <c r="B682" s="6">
        <v>0.50347222222222221</v>
      </c>
      <c r="C682" s="10" t="s">
        <v>71</v>
      </c>
      <c r="D682" s="7">
        <f t="shared" si="30"/>
        <v>45735.503472222219</v>
      </c>
      <c r="E682" t="str">
        <f t="shared" si="31"/>
        <v>19-03-2025 to 25-03-2025</v>
      </c>
      <c r="F682" t="str">
        <f>IF(COUNTIF('Top5'!I:I, G682) &gt; 0, "Yes", "No")</f>
        <v>No</v>
      </c>
      <c r="G682" t="str">
        <f t="shared" si="32"/>
        <v>19-03-2025 to 25-03-2025</v>
      </c>
    </row>
    <row r="683" spans="1:7">
      <c r="A683" s="1">
        <v>45735</v>
      </c>
      <c r="B683" s="6">
        <v>0.57013888888888886</v>
      </c>
      <c r="C683" s="10" t="s">
        <v>71</v>
      </c>
      <c r="D683" s="7">
        <f t="shared" si="30"/>
        <v>45735.570138888892</v>
      </c>
      <c r="E683" t="str">
        <f t="shared" si="31"/>
        <v>19-03-2025 to 25-03-2025</v>
      </c>
      <c r="F683" t="str">
        <f>IF(COUNTIF('Top5'!I:I, G683) &gt; 0, "Yes", "No")</f>
        <v>No</v>
      </c>
      <c r="G683" t="str">
        <f t="shared" si="32"/>
        <v>19-03-2025 to 25-03-2025</v>
      </c>
    </row>
    <row r="684" spans="1:7">
      <c r="A684" s="1">
        <v>45735</v>
      </c>
      <c r="B684" s="6">
        <v>0.58958333333333335</v>
      </c>
      <c r="C684" s="10" t="s">
        <v>71</v>
      </c>
      <c r="D684" s="7">
        <f t="shared" si="30"/>
        <v>45735.589583333334</v>
      </c>
      <c r="E684" t="str">
        <f t="shared" si="31"/>
        <v>19-03-2025 to 25-03-2025</v>
      </c>
      <c r="F684" t="str">
        <f>IF(COUNTIF('Top5'!I:I, G684) &gt; 0, "Yes", "No")</f>
        <v>No</v>
      </c>
      <c r="G684" t="str">
        <f t="shared" si="32"/>
        <v>19-03-2025 to 25-03-2025</v>
      </c>
    </row>
    <row r="685" spans="1:7">
      <c r="A685" s="1">
        <v>45736</v>
      </c>
      <c r="B685" s="6">
        <v>6.2500000000000003E-3</v>
      </c>
      <c r="C685" s="10" t="s">
        <v>70</v>
      </c>
      <c r="D685" s="7">
        <f t="shared" si="30"/>
        <v>45736.006249999999</v>
      </c>
      <c r="E685" t="str">
        <f t="shared" si="31"/>
        <v>20-03-2025 to 26-03-2025</v>
      </c>
      <c r="F685" t="str">
        <f>IF(COUNTIF('Top5'!I:I, G685) &gt; 0, "Yes", "No")</f>
        <v>No</v>
      </c>
      <c r="G685" t="str">
        <f t="shared" si="32"/>
        <v>20-03-2025 to 26-03-2025</v>
      </c>
    </row>
    <row r="686" spans="1:7">
      <c r="A686" s="1">
        <v>45736</v>
      </c>
      <c r="B686" s="6">
        <v>0.39652777777777776</v>
      </c>
      <c r="C686" s="10" t="s">
        <v>22</v>
      </c>
      <c r="D686" s="7">
        <f t="shared" si="30"/>
        <v>45736.396527777775</v>
      </c>
      <c r="E686" t="str">
        <f t="shared" si="31"/>
        <v>20-03-2025 to 26-03-2025</v>
      </c>
      <c r="F686" t="str">
        <f>IF(COUNTIF('Top5'!I:I, G686) &gt; 0, "Yes", "No")</f>
        <v>No</v>
      </c>
      <c r="G686" t="str">
        <f t="shared" si="32"/>
        <v>20-03-2025 to 26-03-2025</v>
      </c>
    </row>
    <row r="687" spans="1:7">
      <c r="A687" s="1">
        <v>45736</v>
      </c>
      <c r="B687" s="6">
        <v>0.41944444444444445</v>
      </c>
      <c r="C687" s="10" t="s">
        <v>22</v>
      </c>
      <c r="D687" s="7">
        <f t="shared" si="30"/>
        <v>45736.419444444444</v>
      </c>
      <c r="E687" t="str">
        <f t="shared" si="31"/>
        <v>20-03-2025 to 26-03-2025</v>
      </c>
      <c r="F687" t="str">
        <f>IF(COUNTIF('Top5'!I:I, G687) &gt; 0, "Yes", "No")</f>
        <v>No</v>
      </c>
      <c r="G687" t="str">
        <f t="shared" si="32"/>
        <v>20-03-2025 to 26-03-2025</v>
      </c>
    </row>
    <row r="688" spans="1:7">
      <c r="A688" s="1">
        <v>45736</v>
      </c>
      <c r="B688" s="6">
        <v>0.42083333333333334</v>
      </c>
      <c r="C688" s="10" t="s">
        <v>22</v>
      </c>
      <c r="D688" s="7">
        <f t="shared" si="30"/>
        <v>45736.42083333333</v>
      </c>
      <c r="E688" t="str">
        <f t="shared" si="31"/>
        <v>20-03-2025 to 26-03-2025</v>
      </c>
      <c r="F688" t="str">
        <f>IF(COUNTIF('Top5'!I:I, G688) &gt; 0, "Yes", "No")</f>
        <v>No</v>
      </c>
      <c r="G688" t="str">
        <f t="shared" si="32"/>
        <v>20-03-2025 to 26-03-2025</v>
      </c>
    </row>
    <row r="689" spans="1:7">
      <c r="A689" s="1">
        <v>45736</v>
      </c>
      <c r="B689" s="6">
        <v>0.42430555555555555</v>
      </c>
      <c r="C689" s="10" t="s">
        <v>22</v>
      </c>
      <c r="D689" s="7">
        <f t="shared" si="30"/>
        <v>45736.424305555556</v>
      </c>
      <c r="E689" t="str">
        <f t="shared" si="31"/>
        <v>20-03-2025 to 26-03-2025</v>
      </c>
      <c r="F689" t="str">
        <f>IF(COUNTIF('Top5'!I:I, G689) &gt; 0, "Yes", "No")</f>
        <v>No</v>
      </c>
      <c r="G689" t="str">
        <f t="shared" si="32"/>
        <v>20-03-2025 to 26-03-2025</v>
      </c>
    </row>
    <row r="690" spans="1:7">
      <c r="A690" s="1">
        <v>45736</v>
      </c>
      <c r="B690" s="6">
        <v>0.42499999999999999</v>
      </c>
      <c r="C690" s="10" t="s">
        <v>22</v>
      </c>
      <c r="D690" s="7">
        <f t="shared" si="30"/>
        <v>45736.425000000003</v>
      </c>
      <c r="E690" t="str">
        <f t="shared" si="31"/>
        <v>20-03-2025 to 26-03-2025</v>
      </c>
      <c r="F690" t="str">
        <f>IF(COUNTIF('Top5'!I:I, G690) &gt; 0, "Yes", "No")</f>
        <v>No</v>
      </c>
      <c r="G690" t="str">
        <f t="shared" si="32"/>
        <v>20-03-2025 to 26-03-2025</v>
      </c>
    </row>
    <row r="691" spans="1:7">
      <c r="A691" s="1">
        <v>45736</v>
      </c>
      <c r="B691" s="6">
        <v>0.42916666666666664</v>
      </c>
      <c r="C691" s="10" t="s">
        <v>22</v>
      </c>
      <c r="D691" s="7">
        <f t="shared" si="30"/>
        <v>45736.429166666669</v>
      </c>
      <c r="E691" t="str">
        <f t="shared" si="31"/>
        <v>20-03-2025 to 26-03-2025</v>
      </c>
      <c r="F691" t="str">
        <f>IF(COUNTIF('Top5'!I:I, G691) &gt; 0, "Yes", "No")</f>
        <v>No</v>
      </c>
      <c r="G691" t="str">
        <f t="shared" si="32"/>
        <v>20-03-2025 to 26-03-2025</v>
      </c>
    </row>
    <row r="692" spans="1:7">
      <c r="A692" s="1">
        <v>45736</v>
      </c>
      <c r="B692" s="6">
        <v>0.46458333333333335</v>
      </c>
      <c r="C692" s="10" t="s">
        <v>22</v>
      </c>
      <c r="D692" s="7">
        <f t="shared" si="30"/>
        <v>45736.464583333334</v>
      </c>
      <c r="E692" t="str">
        <f t="shared" si="31"/>
        <v>20-03-2025 to 26-03-2025</v>
      </c>
      <c r="F692" t="str">
        <f>IF(COUNTIF('Top5'!I:I, G692) &gt; 0, "Yes", "No")</f>
        <v>No</v>
      </c>
      <c r="G692" t="str">
        <f t="shared" si="32"/>
        <v>20-03-2025 to 26-03-2025</v>
      </c>
    </row>
    <row r="693" spans="1:7">
      <c r="A693" s="1">
        <v>45736</v>
      </c>
      <c r="B693" s="6">
        <v>0.57222222222222219</v>
      </c>
      <c r="C693" s="10" t="s">
        <v>71</v>
      </c>
      <c r="D693" s="7">
        <f t="shared" si="30"/>
        <v>45736.572222222225</v>
      </c>
      <c r="E693" t="str">
        <f t="shared" si="31"/>
        <v>20-03-2025 to 26-03-2025</v>
      </c>
      <c r="F693" t="str">
        <f>IF(COUNTIF('Top5'!I:I, G693) &gt; 0, "Yes", "No")</f>
        <v>No</v>
      </c>
      <c r="G693" t="str">
        <f t="shared" si="32"/>
        <v>20-03-2025 to 26-03-2025</v>
      </c>
    </row>
    <row r="694" spans="1:7">
      <c r="A694" s="1">
        <v>45736</v>
      </c>
      <c r="B694" s="6">
        <v>0.7270833333333333</v>
      </c>
      <c r="C694" s="10" t="s">
        <v>70</v>
      </c>
      <c r="D694" s="7">
        <f t="shared" si="30"/>
        <v>45736.727083333331</v>
      </c>
      <c r="E694" t="str">
        <f t="shared" si="31"/>
        <v>20-03-2025 to 26-03-2025</v>
      </c>
      <c r="F694" t="str">
        <f>IF(COUNTIF('Top5'!I:I, G694) &gt; 0, "Yes", "No")</f>
        <v>No</v>
      </c>
      <c r="G694" t="str">
        <f t="shared" si="32"/>
        <v>20-03-2025 to 26-03-2025</v>
      </c>
    </row>
    <row r="695" spans="1:7">
      <c r="A695" s="1">
        <v>45736</v>
      </c>
      <c r="B695" s="6">
        <v>0.7319444444444444</v>
      </c>
      <c r="C695" s="10" t="s">
        <v>70</v>
      </c>
      <c r="D695" s="7">
        <f t="shared" si="30"/>
        <v>45736.731944444444</v>
      </c>
      <c r="E695" t="str">
        <f t="shared" si="31"/>
        <v>20-03-2025 to 26-03-2025</v>
      </c>
      <c r="F695" t="str">
        <f>IF(COUNTIF('Top5'!I:I, G695) &gt; 0, "Yes", "No")</f>
        <v>No</v>
      </c>
      <c r="G695" t="str">
        <f t="shared" si="32"/>
        <v>20-03-2025 to 26-03-2025</v>
      </c>
    </row>
    <row r="696" spans="1:7">
      <c r="A696" s="1">
        <v>45736</v>
      </c>
      <c r="B696" s="6">
        <v>0.8833333333333333</v>
      </c>
      <c r="C696" s="10" t="s">
        <v>70</v>
      </c>
      <c r="D696" s="7">
        <f t="shared" si="30"/>
        <v>45736.883333333331</v>
      </c>
      <c r="E696" t="str">
        <f t="shared" si="31"/>
        <v>20-03-2025 to 26-03-2025</v>
      </c>
      <c r="F696" t="str">
        <f>IF(COUNTIF('Top5'!I:I, G696) &gt; 0, "Yes", "No")</f>
        <v>No</v>
      </c>
      <c r="G696" t="str">
        <f t="shared" si="32"/>
        <v>20-03-2025 to 26-03-2025</v>
      </c>
    </row>
    <row r="697" spans="1:7">
      <c r="A697" s="1">
        <v>45736</v>
      </c>
      <c r="B697" s="6">
        <v>0.88402777777777775</v>
      </c>
      <c r="C697" s="10" t="s">
        <v>70</v>
      </c>
      <c r="D697" s="7">
        <f t="shared" si="30"/>
        <v>45736.884027777778</v>
      </c>
      <c r="E697" t="str">
        <f t="shared" si="31"/>
        <v>20-03-2025 to 26-03-2025</v>
      </c>
      <c r="F697" t="str">
        <f>IF(COUNTIF('Top5'!I:I, G697) &gt; 0, "Yes", "No")</f>
        <v>No</v>
      </c>
      <c r="G697" t="str">
        <f t="shared" si="32"/>
        <v>20-03-2025 to 26-03-2025</v>
      </c>
    </row>
    <row r="698" spans="1:7">
      <c r="A698" s="1">
        <v>45736</v>
      </c>
      <c r="B698" s="6">
        <v>0.88541666666666663</v>
      </c>
      <c r="C698" s="10" t="s">
        <v>70</v>
      </c>
      <c r="D698" s="7">
        <f t="shared" si="30"/>
        <v>45736.885416666664</v>
      </c>
      <c r="E698" t="str">
        <f t="shared" si="31"/>
        <v>20-03-2025 to 26-03-2025</v>
      </c>
      <c r="F698" t="str">
        <f>IF(COUNTIF('Top5'!I:I, G698) &gt; 0, "Yes", "No")</f>
        <v>No</v>
      </c>
      <c r="G698" t="str">
        <f t="shared" si="32"/>
        <v>20-03-2025 to 26-03-2025</v>
      </c>
    </row>
    <row r="699" spans="1:7">
      <c r="A699" s="1">
        <v>45736</v>
      </c>
      <c r="B699" s="6">
        <v>0.88680555555555551</v>
      </c>
      <c r="C699" s="10" t="s">
        <v>70</v>
      </c>
      <c r="D699" s="7">
        <f t="shared" si="30"/>
        <v>45736.886805555558</v>
      </c>
      <c r="E699" t="str">
        <f t="shared" si="31"/>
        <v>20-03-2025 to 26-03-2025</v>
      </c>
      <c r="F699" t="str">
        <f>IF(COUNTIF('Top5'!I:I, G699) &gt; 0, "Yes", "No")</f>
        <v>No</v>
      </c>
      <c r="G699" t="str">
        <f t="shared" si="32"/>
        <v>20-03-2025 to 26-03-2025</v>
      </c>
    </row>
    <row r="700" spans="1:7">
      <c r="A700" s="1">
        <v>45736</v>
      </c>
      <c r="B700" s="6">
        <v>0.8930555555555556</v>
      </c>
      <c r="C700" s="10" t="s">
        <v>70</v>
      </c>
      <c r="D700" s="7">
        <f t="shared" si="30"/>
        <v>45736.893055555556</v>
      </c>
      <c r="E700" t="str">
        <f t="shared" si="31"/>
        <v>20-03-2025 to 26-03-2025</v>
      </c>
      <c r="F700" t="str">
        <f>IF(COUNTIF('Top5'!I:I, G700) &gt; 0, "Yes", "No")</f>
        <v>No</v>
      </c>
      <c r="G700" t="str">
        <f t="shared" si="32"/>
        <v>20-03-2025 to 26-03-2025</v>
      </c>
    </row>
    <row r="701" spans="1:7">
      <c r="A701" s="1">
        <v>45736</v>
      </c>
      <c r="B701" s="6">
        <v>0.91249999999999998</v>
      </c>
      <c r="C701" s="10" t="s">
        <v>70</v>
      </c>
      <c r="D701" s="7">
        <f t="shared" si="30"/>
        <v>45736.912499999999</v>
      </c>
      <c r="E701" t="str">
        <f t="shared" si="31"/>
        <v>20-03-2025 to 26-03-2025</v>
      </c>
      <c r="F701" t="str">
        <f>IF(COUNTIF('Top5'!I:I, G701) &gt; 0, "Yes", "No")</f>
        <v>No</v>
      </c>
      <c r="G701" t="str">
        <f t="shared" si="32"/>
        <v>20-03-2025 to 26-03-2025</v>
      </c>
    </row>
    <row r="702" spans="1:7">
      <c r="A702" s="1">
        <v>45737</v>
      </c>
      <c r="B702" s="6">
        <v>0.40208333333333335</v>
      </c>
      <c r="C702" s="10" t="s">
        <v>22</v>
      </c>
      <c r="D702" s="7">
        <f t="shared" si="30"/>
        <v>45737.402083333334</v>
      </c>
      <c r="E702" t="str">
        <f t="shared" si="31"/>
        <v>21-03-2025 to 27-03-2025</v>
      </c>
      <c r="F702" t="str">
        <f>IF(COUNTIF('Top5'!I:I, G702) &gt; 0, "Yes", "No")</f>
        <v>No</v>
      </c>
      <c r="G702" t="str">
        <f t="shared" si="32"/>
        <v>21-03-2025 to 27-03-2025</v>
      </c>
    </row>
    <row r="703" spans="1:7">
      <c r="A703" s="1">
        <v>45737</v>
      </c>
      <c r="B703" s="6">
        <v>0.40208333333333335</v>
      </c>
      <c r="C703" s="10" t="s">
        <v>22</v>
      </c>
      <c r="D703" s="7">
        <f t="shared" si="30"/>
        <v>45737.402083333334</v>
      </c>
      <c r="E703" t="str">
        <f t="shared" si="31"/>
        <v>21-03-2025 to 27-03-2025</v>
      </c>
      <c r="F703" t="str">
        <f>IF(COUNTIF('Top5'!I:I, G703) &gt; 0, "Yes", "No")</f>
        <v>No</v>
      </c>
      <c r="G703" t="str">
        <f t="shared" si="32"/>
        <v>21-03-2025 to 27-03-2025</v>
      </c>
    </row>
    <row r="704" spans="1:7">
      <c r="A704" s="1">
        <v>45737</v>
      </c>
      <c r="B704" s="6">
        <v>0.47499999999999998</v>
      </c>
      <c r="C704" s="10" t="s">
        <v>22</v>
      </c>
      <c r="D704" s="7">
        <f t="shared" si="30"/>
        <v>45737.474999999999</v>
      </c>
      <c r="E704" t="str">
        <f t="shared" si="31"/>
        <v>21-03-2025 to 27-03-2025</v>
      </c>
      <c r="F704" t="str">
        <f>IF(COUNTIF('Top5'!I:I, G704) &gt; 0, "Yes", "No")</f>
        <v>No</v>
      </c>
      <c r="G704" t="str">
        <f t="shared" si="32"/>
        <v>21-03-2025 to 27-03-2025</v>
      </c>
    </row>
    <row r="705" spans="1:7">
      <c r="A705" s="1">
        <v>45737</v>
      </c>
      <c r="B705" s="6">
        <v>0.47569444444444442</v>
      </c>
      <c r="C705" s="10" t="s">
        <v>22</v>
      </c>
      <c r="D705" s="7">
        <f t="shared" si="30"/>
        <v>45737.475694444445</v>
      </c>
      <c r="E705" t="str">
        <f t="shared" si="31"/>
        <v>21-03-2025 to 27-03-2025</v>
      </c>
      <c r="F705" t="str">
        <f>IF(COUNTIF('Top5'!I:I, G705) &gt; 0, "Yes", "No")</f>
        <v>No</v>
      </c>
      <c r="G705" t="str">
        <f t="shared" si="32"/>
        <v>21-03-2025 to 27-03-2025</v>
      </c>
    </row>
    <row r="706" spans="1:7">
      <c r="A706" s="1">
        <v>45737</v>
      </c>
      <c r="B706" s="6">
        <v>0.48333333333333334</v>
      </c>
      <c r="C706" s="10" t="s">
        <v>22</v>
      </c>
      <c r="D706" s="7">
        <f t="shared" si="30"/>
        <v>45737.48333333333</v>
      </c>
      <c r="E706" t="str">
        <f t="shared" si="31"/>
        <v>21-03-2025 to 27-03-2025</v>
      </c>
      <c r="F706" t="str">
        <f>IF(COUNTIF('Top5'!I:I, G706) &gt; 0, "Yes", "No")</f>
        <v>No</v>
      </c>
      <c r="G706" t="str">
        <f t="shared" si="32"/>
        <v>21-03-2025 to 27-03-2025</v>
      </c>
    </row>
    <row r="707" spans="1:7">
      <c r="A707" s="1">
        <v>45737</v>
      </c>
      <c r="B707" s="6">
        <v>0.48472222222222222</v>
      </c>
      <c r="C707" s="10" t="s">
        <v>22</v>
      </c>
      <c r="D707" s="7">
        <f t="shared" ref="D707:D770" si="33">VALUE(A707) + VALUE(B707)</f>
        <v>45737.484722222223</v>
      </c>
      <c r="E707" t="str">
        <f t="shared" ref="E707:E770" si="34">TEXT(D707, "dd-mm-yyyy") &amp; " to " &amp; TEXT(D707+6, "dd-mm-yyyy")</f>
        <v>21-03-2025 to 27-03-2025</v>
      </c>
      <c r="F707" t="str">
        <f>IF(COUNTIF('Top5'!I:I, G707) &gt; 0, "Yes", "No")</f>
        <v>No</v>
      </c>
      <c r="G707" t="str">
        <f t="shared" ref="G707:G770" si="35">TRIM(E707)</f>
        <v>21-03-2025 to 27-03-2025</v>
      </c>
    </row>
    <row r="708" spans="1:7">
      <c r="A708" s="1">
        <v>45737</v>
      </c>
      <c r="B708" s="6">
        <v>0.48819444444444443</v>
      </c>
      <c r="C708" s="10" t="s">
        <v>22</v>
      </c>
      <c r="D708" s="7">
        <f t="shared" si="33"/>
        <v>45737.488194444442</v>
      </c>
      <c r="E708" t="str">
        <f t="shared" si="34"/>
        <v>21-03-2025 to 27-03-2025</v>
      </c>
      <c r="F708" t="str">
        <f>IF(COUNTIF('Top5'!I:I, G708) &gt; 0, "Yes", "No")</f>
        <v>No</v>
      </c>
      <c r="G708" t="str">
        <f t="shared" si="35"/>
        <v>21-03-2025 to 27-03-2025</v>
      </c>
    </row>
    <row r="709" spans="1:7">
      <c r="A709" s="1">
        <v>45737</v>
      </c>
      <c r="B709" s="6">
        <v>0.4909722222222222</v>
      </c>
      <c r="C709" s="10" t="s">
        <v>22</v>
      </c>
      <c r="D709" s="7">
        <f t="shared" si="33"/>
        <v>45737.490972222222</v>
      </c>
      <c r="E709" t="str">
        <f t="shared" si="34"/>
        <v>21-03-2025 to 27-03-2025</v>
      </c>
      <c r="F709" t="str">
        <f>IF(COUNTIF('Top5'!I:I, G709) &gt; 0, "Yes", "No")</f>
        <v>No</v>
      </c>
      <c r="G709" t="str">
        <f t="shared" si="35"/>
        <v>21-03-2025 to 27-03-2025</v>
      </c>
    </row>
    <row r="710" spans="1:7">
      <c r="A710" s="1">
        <v>45737</v>
      </c>
      <c r="B710" s="6">
        <v>0.72777777777777775</v>
      </c>
      <c r="C710" s="10" t="s">
        <v>70</v>
      </c>
      <c r="D710" s="7">
        <f t="shared" si="33"/>
        <v>45737.727777777778</v>
      </c>
      <c r="E710" t="str">
        <f t="shared" si="34"/>
        <v>21-03-2025 to 27-03-2025</v>
      </c>
      <c r="F710" t="str">
        <f>IF(COUNTIF('Top5'!I:I, G710) &gt; 0, "Yes", "No")</f>
        <v>No</v>
      </c>
      <c r="G710" t="str">
        <f t="shared" si="35"/>
        <v>21-03-2025 to 27-03-2025</v>
      </c>
    </row>
    <row r="711" spans="1:7">
      <c r="A711" s="1">
        <v>45737</v>
      </c>
      <c r="B711" s="6">
        <v>0.75138888888888888</v>
      </c>
      <c r="C711" s="10" t="s">
        <v>70</v>
      </c>
      <c r="D711" s="7">
        <f t="shared" si="33"/>
        <v>45737.751388888886</v>
      </c>
      <c r="E711" t="str">
        <f t="shared" si="34"/>
        <v>21-03-2025 to 27-03-2025</v>
      </c>
      <c r="F711" t="str">
        <f>IF(COUNTIF('Top5'!I:I, G711) &gt; 0, "Yes", "No")</f>
        <v>No</v>
      </c>
      <c r="G711" t="str">
        <f t="shared" si="35"/>
        <v>21-03-2025 to 27-03-2025</v>
      </c>
    </row>
    <row r="712" spans="1:7">
      <c r="A712" s="1">
        <v>45737</v>
      </c>
      <c r="B712" s="6">
        <v>0.93194444444444446</v>
      </c>
      <c r="C712" s="10" t="s">
        <v>70</v>
      </c>
      <c r="D712" s="7">
        <f t="shared" si="33"/>
        <v>45737.931944444441</v>
      </c>
      <c r="E712" t="str">
        <f t="shared" si="34"/>
        <v>21-03-2025 to 27-03-2025</v>
      </c>
      <c r="F712" t="str">
        <f>IF(COUNTIF('Top5'!I:I, G712) &gt; 0, "Yes", "No")</f>
        <v>No</v>
      </c>
      <c r="G712" t="str">
        <f t="shared" si="35"/>
        <v>21-03-2025 to 27-03-2025</v>
      </c>
    </row>
    <row r="713" spans="1:7">
      <c r="A713" s="1">
        <v>45738</v>
      </c>
      <c r="B713" s="6">
        <v>0.41458333333333336</v>
      </c>
      <c r="C713" s="10" t="s">
        <v>22</v>
      </c>
      <c r="D713" s="7">
        <f t="shared" si="33"/>
        <v>45738.414583333331</v>
      </c>
      <c r="E713" t="str">
        <f t="shared" si="34"/>
        <v>22-03-2025 to 28-03-2025</v>
      </c>
      <c r="F713" t="str">
        <f>IF(COUNTIF('Top5'!I:I, G713) &gt; 0, "Yes", "No")</f>
        <v>No</v>
      </c>
      <c r="G713" t="str">
        <f t="shared" si="35"/>
        <v>22-03-2025 to 28-03-2025</v>
      </c>
    </row>
    <row r="714" spans="1:7">
      <c r="A714" s="1">
        <v>45738</v>
      </c>
      <c r="B714" s="6">
        <v>0.47638888888888886</v>
      </c>
      <c r="C714" s="10" t="s">
        <v>22</v>
      </c>
      <c r="D714" s="7">
        <f t="shared" si="33"/>
        <v>45738.476388888892</v>
      </c>
      <c r="E714" t="str">
        <f t="shared" si="34"/>
        <v>22-03-2025 to 28-03-2025</v>
      </c>
      <c r="F714" t="str">
        <f>IF(COUNTIF('Top5'!I:I, G714) &gt; 0, "Yes", "No")</f>
        <v>No</v>
      </c>
      <c r="G714" t="str">
        <f t="shared" si="35"/>
        <v>22-03-2025 to 28-03-2025</v>
      </c>
    </row>
    <row r="715" spans="1:7">
      <c r="A715" s="1">
        <v>45738</v>
      </c>
      <c r="B715" s="6">
        <v>0.95763888888888893</v>
      </c>
      <c r="C715" s="10" t="s">
        <v>70</v>
      </c>
      <c r="D715" s="7">
        <f t="shared" si="33"/>
        <v>45738.957638888889</v>
      </c>
      <c r="E715" t="str">
        <f t="shared" si="34"/>
        <v>22-03-2025 to 28-03-2025</v>
      </c>
      <c r="F715" t="str">
        <f>IF(COUNTIF('Top5'!I:I, G715) &gt; 0, "Yes", "No")</f>
        <v>No</v>
      </c>
      <c r="G715" t="str">
        <f t="shared" si="35"/>
        <v>22-03-2025 to 28-03-2025</v>
      </c>
    </row>
    <row r="716" spans="1:7">
      <c r="A716" s="1">
        <v>45738</v>
      </c>
      <c r="B716" s="6">
        <v>0.96527777777777779</v>
      </c>
      <c r="C716" s="10" t="s">
        <v>70</v>
      </c>
      <c r="D716" s="7">
        <f t="shared" si="33"/>
        <v>45738.965277777781</v>
      </c>
      <c r="E716" t="str">
        <f t="shared" si="34"/>
        <v>22-03-2025 to 28-03-2025</v>
      </c>
      <c r="F716" t="str">
        <f>IF(COUNTIF('Top5'!I:I, G716) &gt; 0, "Yes", "No")</f>
        <v>No</v>
      </c>
      <c r="G716" t="str">
        <f t="shared" si="35"/>
        <v>22-03-2025 to 28-03-2025</v>
      </c>
    </row>
    <row r="717" spans="1:7">
      <c r="A717" s="1">
        <v>45738</v>
      </c>
      <c r="B717" s="6">
        <v>0.96875</v>
      </c>
      <c r="C717" s="10" t="s">
        <v>70</v>
      </c>
      <c r="D717" s="7">
        <f t="shared" si="33"/>
        <v>45738.96875</v>
      </c>
      <c r="E717" t="str">
        <f t="shared" si="34"/>
        <v>22-03-2025 to 28-03-2025</v>
      </c>
      <c r="F717" t="str">
        <f>IF(COUNTIF('Top5'!I:I, G717) &gt; 0, "Yes", "No")</f>
        <v>No</v>
      </c>
      <c r="G717" t="str">
        <f t="shared" si="35"/>
        <v>22-03-2025 to 28-03-2025</v>
      </c>
    </row>
    <row r="718" spans="1:7">
      <c r="A718" s="1">
        <v>45739</v>
      </c>
      <c r="B718" s="6">
        <v>0.40902777777777777</v>
      </c>
      <c r="C718" s="10" t="s">
        <v>22</v>
      </c>
      <c r="D718" s="7">
        <f t="shared" si="33"/>
        <v>45739.40902777778</v>
      </c>
      <c r="E718" t="str">
        <f t="shared" si="34"/>
        <v>23-03-2025 to 29-03-2025</v>
      </c>
      <c r="F718" t="str">
        <f>IF(COUNTIF('Top5'!I:I, G718) &gt; 0, "Yes", "No")</f>
        <v>No</v>
      </c>
      <c r="G718" t="str">
        <f t="shared" si="35"/>
        <v>23-03-2025 to 29-03-2025</v>
      </c>
    </row>
    <row r="719" spans="1:7">
      <c r="A719" s="1">
        <v>45739</v>
      </c>
      <c r="B719" s="6">
        <v>0.53680555555555554</v>
      </c>
      <c r="C719" s="10" t="s">
        <v>71</v>
      </c>
      <c r="D719" s="7">
        <f t="shared" si="33"/>
        <v>45739.536805555559</v>
      </c>
      <c r="E719" t="str">
        <f t="shared" si="34"/>
        <v>23-03-2025 to 29-03-2025</v>
      </c>
      <c r="F719" t="str">
        <f>IF(COUNTIF('Top5'!I:I, G719) &gt; 0, "Yes", "No")</f>
        <v>No</v>
      </c>
      <c r="G719" t="str">
        <f t="shared" si="35"/>
        <v>23-03-2025 to 29-03-2025</v>
      </c>
    </row>
    <row r="720" spans="1:7">
      <c r="A720" s="1">
        <v>45739</v>
      </c>
      <c r="B720" s="6">
        <v>0.72847222222222219</v>
      </c>
      <c r="C720" s="10" t="s">
        <v>70</v>
      </c>
      <c r="D720" s="7">
        <f t="shared" si="33"/>
        <v>45739.728472222225</v>
      </c>
      <c r="E720" t="str">
        <f t="shared" si="34"/>
        <v>23-03-2025 to 29-03-2025</v>
      </c>
      <c r="F720" t="str">
        <f>IF(COUNTIF('Top5'!I:I, G720) &gt; 0, "Yes", "No")</f>
        <v>No</v>
      </c>
      <c r="G720" t="str">
        <f t="shared" si="35"/>
        <v>23-03-2025 to 29-03-2025</v>
      </c>
    </row>
    <row r="721" spans="1:7">
      <c r="A721" s="1">
        <v>45739</v>
      </c>
      <c r="B721" s="6">
        <v>0.72916666666666663</v>
      </c>
      <c r="C721" s="10" t="s">
        <v>70</v>
      </c>
      <c r="D721" s="7">
        <f t="shared" si="33"/>
        <v>45739.729166666664</v>
      </c>
      <c r="E721" t="str">
        <f t="shared" si="34"/>
        <v>23-03-2025 to 29-03-2025</v>
      </c>
      <c r="F721" t="str">
        <f>IF(COUNTIF('Top5'!I:I, G721) &gt; 0, "Yes", "No")</f>
        <v>No</v>
      </c>
      <c r="G721" t="str">
        <f t="shared" si="35"/>
        <v>23-03-2025 to 29-03-2025</v>
      </c>
    </row>
    <row r="722" spans="1:7">
      <c r="A722" s="1">
        <v>45740</v>
      </c>
      <c r="B722" s="6">
        <v>0.49930555555555556</v>
      </c>
      <c r="C722" s="10" t="s">
        <v>22</v>
      </c>
      <c r="D722" s="7">
        <f t="shared" si="33"/>
        <v>45740.499305555553</v>
      </c>
      <c r="E722" t="str">
        <f t="shared" si="34"/>
        <v>24-03-2025 to 30-03-2025</v>
      </c>
      <c r="F722" t="str">
        <f>IF(COUNTIF('Top5'!I:I, G722) &gt; 0, "Yes", "No")</f>
        <v>No</v>
      </c>
      <c r="G722" t="str">
        <f t="shared" si="35"/>
        <v>24-03-2025 to 30-03-2025</v>
      </c>
    </row>
    <row r="723" spans="1:7">
      <c r="A723" s="1">
        <v>45740</v>
      </c>
      <c r="B723" s="6">
        <v>0.62291666666666667</v>
      </c>
      <c r="C723" s="10" t="s">
        <v>71</v>
      </c>
      <c r="D723" s="7">
        <f t="shared" si="33"/>
        <v>45740.622916666667</v>
      </c>
      <c r="E723" t="str">
        <f t="shared" si="34"/>
        <v>24-03-2025 to 30-03-2025</v>
      </c>
      <c r="F723" t="str">
        <f>IF(COUNTIF('Top5'!I:I, G723) &gt; 0, "Yes", "No")</f>
        <v>No</v>
      </c>
      <c r="G723" t="str">
        <f t="shared" si="35"/>
        <v>24-03-2025 to 30-03-2025</v>
      </c>
    </row>
    <row r="724" spans="1:7">
      <c r="A724" s="1">
        <v>45740</v>
      </c>
      <c r="B724" s="6">
        <v>0.62708333333333333</v>
      </c>
      <c r="C724" s="10" t="s">
        <v>71</v>
      </c>
      <c r="D724" s="7">
        <f t="shared" si="33"/>
        <v>45740.627083333333</v>
      </c>
      <c r="E724" t="str">
        <f t="shared" si="34"/>
        <v>24-03-2025 to 30-03-2025</v>
      </c>
      <c r="F724" t="str">
        <f>IF(COUNTIF('Top5'!I:I, G724) &gt; 0, "Yes", "No")</f>
        <v>No</v>
      </c>
      <c r="G724" t="str">
        <f t="shared" si="35"/>
        <v>24-03-2025 to 30-03-2025</v>
      </c>
    </row>
    <row r="725" spans="1:7">
      <c r="A725" s="1">
        <v>45740</v>
      </c>
      <c r="B725" s="6">
        <v>0.62986111111111109</v>
      </c>
      <c r="C725" s="10" t="s">
        <v>71</v>
      </c>
      <c r="D725" s="7">
        <f t="shared" si="33"/>
        <v>45740.629861111112</v>
      </c>
      <c r="E725" t="str">
        <f t="shared" si="34"/>
        <v>24-03-2025 to 30-03-2025</v>
      </c>
      <c r="F725" t="str">
        <f>IF(COUNTIF('Top5'!I:I, G725) &gt; 0, "Yes", "No")</f>
        <v>No</v>
      </c>
      <c r="G725" t="str">
        <f t="shared" si="35"/>
        <v>24-03-2025 to 30-03-2025</v>
      </c>
    </row>
    <row r="726" spans="1:7">
      <c r="A726" s="1">
        <v>45740</v>
      </c>
      <c r="B726" s="6">
        <v>0.64027777777777772</v>
      </c>
      <c r="C726" s="10" t="s">
        <v>71</v>
      </c>
      <c r="D726" s="7">
        <f t="shared" si="33"/>
        <v>45740.640277777777</v>
      </c>
      <c r="E726" t="str">
        <f t="shared" si="34"/>
        <v>24-03-2025 to 30-03-2025</v>
      </c>
      <c r="F726" t="str">
        <f>IF(COUNTIF('Top5'!I:I, G726) &gt; 0, "Yes", "No")</f>
        <v>No</v>
      </c>
      <c r="G726" t="str">
        <f t="shared" si="35"/>
        <v>24-03-2025 to 30-03-2025</v>
      </c>
    </row>
    <row r="727" spans="1:7">
      <c r="A727" s="1">
        <v>45740</v>
      </c>
      <c r="B727" s="6">
        <v>0.65</v>
      </c>
      <c r="C727" s="10" t="s">
        <v>71</v>
      </c>
      <c r="D727" s="7">
        <f t="shared" si="33"/>
        <v>45740.65</v>
      </c>
      <c r="E727" t="str">
        <f t="shared" si="34"/>
        <v>24-03-2025 to 30-03-2025</v>
      </c>
      <c r="F727" t="str">
        <f>IF(COUNTIF('Top5'!I:I, G727) &gt; 0, "Yes", "No")</f>
        <v>No</v>
      </c>
      <c r="G727" t="str">
        <f t="shared" si="35"/>
        <v>24-03-2025 to 30-03-2025</v>
      </c>
    </row>
    <row r="728" spans="1:7">
      <c r="A728" s="1">
        <v>45741</v>
      </c>
      <c r="B728" s="6">
        <v>0.50486111111111109</v>
      </c>
      <c r="C728" s="10" t="s">
        <v>71</v>
      </c>
      <c r="D728" s="7">
        <f t="shared" si="33"/>
        <v>45741.504861111112</v>
      </c>
      <c r="E728" t="str">
        <f t="shared" si="34"/>
        <v>25-03-2025 to 31-03-2025</v>
      </c>
      <c r="F728" t="str">
        <f>IF(COUNTIF('Top5'!I:I, G728) &gt; 0, "Yes", "No")</f>
        <v>No</v>
      </c>
      <c r="G728" t="str">
        <f t="shared" si="35"/>
        <v>25-03-2025 to 31-03-2025</v>
      </c>
    </row>
    <row r="729" spans="1:7">
      <c r="A729" s="1">
        <v>45741</v>
      </c>
      <c r="B729" s="6">
        <v>0.51944444444444449</v>
      </c>
      <c r="C729" s="10" t="s">
        <v>71</v>
      </c>
      <c r="D729" s="7">
        <f t="shared" si="33"/>
        <v>45741.519444444442</v>
      </c>
      <c r="E729" t="str">
        <f t="shared" si="34"/>
        <v>25-03-2025 to 31-03-2025</v>
      </c>
      <c r="F729" t="str">
        <f>IF(COUNTIF('Top5'!I:I, G729) &gt; 0, "Yes", "No")</f>
        <v>No</v>
      </c>
      <c r="G729" t="str">
        <f t="shared" si="35"/>
        <v>25-03-2025 to 31-03-2025</v>
      </c>
    </row>
    <row r="730" spans="1:7">
      <c r="A730" s="1">
        <v>45741</v>
      </c>
      <c r="B730" s="6">
        <v>0.54583333333333328</v>
      </c>
      <c r="C730" s="10" t="s">
        <v>71</v>
      </c>
      <c r="D730" s="7">
        <f t="shared" si="33"/>
        <v>45741.54583333333</v>
      </c>
      <c r="E730" t="str">
        <f t="shared" si="34"/>
        <v>25-03-2025 to 31-03-2025</v>
      </c>
      <c r="F730" t="str">
        <f>IF(COUNTIF('Top5'!I:I, G730) &gt; 0, "Yes", "No")</f>
        <v>No</v>
      </c>
      <c r="G730" t="str">
        <f t="shared" si="35"/>
        <v>25-03-2025 to 31-03-2025</v>
      </c>
    </row>
    <row r="731" spans="1:7">
      <c r="A731" s="1">
        <v>45741</v>
      </c>
      <c r="B731" s="6">
        <v>0.56319444444444444</v>
      </c>
      <c r="C731" s="10" t="s">
        <v>71</v>
      </c>
      <c r="D731" s="7">
        <f t="shared" si="33"/>
        <v>45741.563194444447</v>
      </c>
      <c r="E731" t="str">
        <f t="shared" si="34"/>
        <v>25-03-2025 to 31-03-2025</v>
      </c>
      <c r="F731" t="str">
        <f>IF(COUNTIF('Top5'!I:I, G731) &gt; 0, "Yes", "No")</f>
        <v>No</v>
      </c>
      <c r="G731" t="str">
        <f t="shared" si="35"/>
        <v>25-03-2025 to 31-03-2025</v>
      </c>
    </row>
    <row r="732" spans="1:7">
      <c r="A732" s="1">
        <v>45741</v>
      </c>
      <c r="B732" s="6">
        <v>0.56736111111111109</v>
      </c>
      <c r="C732" s="10" t="s">
        <v>71</v>
      </c>
      <c r="D732" s="7">
        <f t="shared" si="33"/>
        <v>45741.567361111112</v>
      </c>
      <c r="E732" t="str">
        <f t="shared" si="34"/>
        <v>25-03-2025 to 31-03-2025</v>
      </c>
      <c r="F732" t="str">
        <f>IF(COUNTIF('Top5'!I:I, G732) &gt; 0, "Yes", "No")</f>
        <v>No</v>
      </c>
      <c r="G732" t="str">
        <f t="shared" si="35"/>
        <v>25-03-2025 to 31-03-2025</v>
      </c>
    </row>
    <row r="733" spans="1:7">
      <c r="A733" s="1">
        <v>45741</v>
      </c>
      <c r="B733" s="6">
        <v>0.57361111111111107</v>
      </c>
      <c r="C733" s="10" t="s">
        <v>71</v>
      </c>
      <c r="D733" s="7">
        <f t="shared" si="33"/>
        <v>45741.573611111111</v>
      </c>
      <c r="E733" t="str">
        <f t="shared" si="34"/>
        <v>25-03-2025 to 31-03-2025</v>
      </c>
      <c r="F733" t="str">
        <f>IF(COUNTIF('Top5'!I:I, G733) &gt; 0, "Yes", "No")</f>
        <v>No</v>
      </c>
      <c r="G733" t="str">
        <f t="shared" si="35"/>
        <v>25-03-2025 to 31-03-2025</v>
      </c>
    </row>
    <row r="734" spans="1:7">
      <c r="A734" s="1">
        <v>45741</v>
      </c>
      <c r="B734" s="6">
        <v>0.5854166666666667</v>
      </c>
      <c r="C734" s="10" t="s">
        <v>71</v>
      </c>
      <c r="D734" s="7">
        <f t="shared" si="33"/>
        <v>45741.585416666669</v>
      </c>
      <c r="E734" t="str">
        <f t="shared" si="34"/>
        <v>25-03-2025 to 31-03-2025</v>
      </c>
      <c r="F734" t="str">
        <f>IF(COUNTIF('Top5'!I:I, G734) &gt; 0, "Yes", "No")</f>
        <v>No</v>
      </c>
      <c r="G734" t="str">
        <f t="shared" si="35"/>
        <v>25-03-2025 to 31-03-2025</v>
      </c>
    </row>
    <row r="735" spans="1:7">
      <c r="A735" s="1">
        <v>45742</v>
      </c>
      <c r="B735" s="6">
        <v>0.83472222222222225</v>
      </c>
      <c r="C735" s="10" t="s">
        <v>70</v>
      </c>
      <c r="D735" s="7">
        <f t="shared" si="33"/>
        <v>45742.834722222222</v>
      </c>
      <c r="E735" t="str">
        <f t="shared" si="34"/>
        <v>26-03-2025 to 01-04-2025</v>
      </c>
      <c r="F735" t="str">
        <f>IF(COUNTIF('Top5'!I:I, G735) &gt; 0, "Yes", "No")</f>
        <v>No</v>
      </c>
      <c r="G735" t="str">
        <f t="shared" si="35"/>
        <v>26-03-2025 to 01-04-2025</v>
      </c>
    </row>
    <row r="736" spans="1:7">
      <c r="A736" s="1">
        <v>45743</v>
      </c>
      <c r="B736" s="6">
        <v>0.40416666666666667</v>
      </c>
      <c r="C736" s="10" t="s">
        <v>22</v>
      </c>
      <c r="D736" s="7">
        <f t="shared" si="33"/>
        <v>45743.404166666667</v>
      </c>
      <c r="E736" t="str">
        <f t="shared" si="34"/>
        <v>27-03-2025 to 02-04-2025</v>
      </c>
      <c r="F736" t="str">
        <f>IF(COUNTIF('Top5'!I:I, G736) &gt; 0, "Yes", "No")</f>
        <v>No</v>
      </c>
      <c r="G736" t="str">
        <f t="shared" si="35"/>
        <v>27-03-2025 to 02-04-2025</v>
      </c>
    </row>
    <row r="737" spans="1:7">
      <c r="A737" s="1">
        <v>45743</v>
      </c>
      <c r="B737" s="6">
        <v>0.40763888888888888</v>
      </c>
      <c r="C737" s="10" t="s">
        <v>22</v>
      </c>
      <c r="D737" s="7">
        <f t="shared" si="33"/>
        <v>45743.407638888886</v>
      </c>
      <c r="E737" t="str">
        <f t="shared" si="34"/>
        <v>27-03-2025 to 02-04-2025</v>
      </c>
      <c r="F737" t="str">
        <f>IF(COUNTIF('Top5'!I:I, G737) &gt; 0, "Yes", "No")</f>
        <v>No</v>
      </c>
      <c r="G737" t="str">
        <f t="shared" si="35"/>
        <v>27-03-2025 to 02-04-2025</v>
      </c>
    </row>
    <row r="738" spans="1:7">
      <c r="A738" s="1">
        <v>45744</v>
      </c>
      <c r="B738" s="6">
        <v>1.3888888888888889E-3</v>
      </c>
      <c r="C738" s="10" t="s">
        <v>70</v>
      </c>
      <c r="D738" s="7">
        <f t="shared" si="33"/>
        <v>45744.001388888886</v>
      </c>
      <c r="E738" t="str">
        <f t="shared" si="34"/>
        <v>28-03-2025 to 03-04-2025</v>
      </c>
      <c r="F738" t="str">
        <f>IF(COUNTIF('Top5'!I:I, G738) &gt; 0, "Yes", "No")</f>
        <v>No</v>
      </c>
      <c r="G738" t="str">
        <f t="shared" si="35"/>
        <v>28-03-2025 to 03-04-2025</v>
      </c>
    </row>
    <row r="739" spans="1:7">
      <c r="A739" s="1">
        <v>45744</v>
      </c>
      <c r="B739" s="6">
        <v>0.45833333333333331</v>
      </c>
      <c r="C739" s="10" t="s">
        <v>22</v>
      </c>
      <c r="D739" s="7">
        <f t="shared" si="33"/>
        <v>45744.458333333336</v>
      </c>
      <c r="E739" t="str">
        <f t="shared" si="34"/>
        <v>28-03-2025 to 03-04-2025</v>
      </c>
      <c r="F739" t="str">
        <f>IF(COUNTIF('Top5'!I:I, G739) &gt; 0, "Yes", "No")</f>
        <v>No</v>
      </c>
      <c r="G739" t="str">
        <f t="shared" si="35"/>
        <v>28-03-2025 to 03-04-2025</v>
      </c>
    </row>
    <row r="740" spans="1:7">
      <c r="A740" s="1">
        <v>45744</v>
      </c>
      <c r="B740" s="6">
        <v>0.65902777777777777</v>
      </c>
      <c r="C740" s="10" t="s">
        <v>71</v>
      </c>
      <c r="D740" s="7">
        <f t="shared" si="33"/>
        <v>45744.65902777778</v>
      </c>
      <c r="E740" t="str">
        <f t="shared" si="34"/>
        <v>28-03-2025 to 03-04-2025</v>
      </c>
      <c r="F740" t="str">
        <f>IF(COUNTIF('Top5'!I:I, G740) &gt; 0, "Yes", "No")</f>
        <v>No</v>
      </c>
      <c r="G740" t="str">
        <f t="shared" si="35"/>
        <v>28-03-2025 to 03-04-2025</v>
      </c>
    </row>
    <row r="741" spans="1:7">
      <c r="A741" s="1">
        <v>45744</v>
      </c>
      <c r="B741" s="6">
        <v>0.66597222222222219</v>
      </c>
      <c r="C741" s="10" t="s">
        <v>71</v>
      </c>
      <c r="D741" s="7">
        <f t="shared" si="33"/>
        <v>45744.665972222225</v>
      </c>
      <c r="E741" t="str">
        <f t="shared" si="34"/>
        <v>28-03-2025 to 03-04-2025</v>
      </c>
      <c r="F741" t="str">
        <f>IF(COUNTIF('Top5'!I:I, G741) &gt; 0, "Yes", "No")</f>
        <v>No</v>
      </c>
      <c r="G741" t="str">
        <f t="shared" si="35"/>
        <v>28-03-2025 to 03-04-2025</v>
      </c>
    </row>
    <row r="742" spans="1:7">
      <c r="A742" s="1">
        <v>45744</v>
      </c>
      <c r="B742" s="6">
        <v>0.66666666666666663</v>
      </c>
      <c r="C742" s="10" t="s">
        <v>71</v>
      </c>
      <c r="D742" s="7">
        <f t="shared" si="33"/>
        <v>45744.666666666664</v>
      </c>
      <c r="E742" t="str">
        <f t="shared" si="34"/>
        <v>28-03-2025 to 03-04-2025</v>
      </c>
      <c r="F742" t="str">
        <f>IF(COUNTIF('Top5'!I:I, G742) &gt; 0, "Yes", "No")</f>
        <v>No</v>
      </c>
      <c r="G742" t="str">
        <f t="shared" si="35"/>
        <v>28-03-2025 to 03-04-2025</v>
      </c>
    </row>
    <row r="743" spans="1:7">
      <c r="A743" s="1">
        <v>45744</v>
      </c>
      <c r="B743" s="6">
        <v>0.71388888888888891</v>
      </c>
      <c r="C743" s="10" t="s">
        <v>70</v>
      </c>
      <c r="D743" s="7">
        <f t="shared" si="33"/>
        <v>45744.713888888888</v>
      </c>
      <c r="E743" t="str">
        <f t="shared" si="34"/>
        <v>28-03-2025 to 03-04-2025</v>
      </c>
      <c r="F743" t="str">
        <f>IF(COUNTIF('Top5'!I:I, G743) &gt; 0, "Yes", "No")</f>
        <v>No</v>
      </c>
      <c r="G743" t="str">
        <f t="shared" si="35"/>
        <v>28-03-2025 to 03-04-2025</v>
      </c>
    </row>
    <row r="744" spans="1:7">
      <c r="A744" s="1">
        <v>45744</v>
      </c>
      <c r="B744" s="6">
        <v>0.71666666666666667</v>
      </c>
      <c r="C744" s="10" t="s">
        <v>70</v>
      </c>
      <c r="D744" s="7">
        <f t="shared" si="33"/>
        <v>45744.716666666667</v>
      </c>
      <c r="E744" t="str">
        <f t="shared" si="34"/>
        <v>28-03-2025 to 03-04-2025</v>
      </c>
      <c r="F744" t="str">
        <f>IF(COUNTIF('Top5'!I:I, G744) &gt; 0, "Yes", "No")</f>
        <v>No</v>
      </c>
      <c r="G744" t="str">
        <f t="shared" si="35"/>
        <v>28-03-2025 to 03-04-2025</v>
      </c>
    </row>
    <row r="745" spans="1:7">
      <c r="A745" s="1">
        <v>45744</v>
      </c>
      <c r="B745" s="6">
        <v>0.75138888888888888</v>
      </c>
      <c r="C745" s="10" t="s">
        <v>70</v>
      </c>
      <c r="D745" s="7">
        <f t="shared" si="33"/>
        <v>45744.751388888886</v>
      </c>
      <c r="E745" t="str">
        <f t="shared" si="34"/>
        <v>28-03-2025 to 03-04-2025</v>
      </c>
      <c r="F745" t="str">
        <f>IF(COUNTIF('Top5'!I:I, G745) &gt; 0, "Yes", "No")</f>
        <v>No</v>
      </c>
      <c r="G745" t="str">
        <f t="shared" si="35"/>
        <v>28-03-2025 to 03-04-2025</v>
      </c>
    </row>
    <row r="746" spans="1:7">
      <c r="A746" s="1">
        <v>45744</v>
      </c>
      <c r="B746" s="6">
        <v>0.94722222222222219</v>
      </c>
      <c r="C746" s="10" t="s">
        <v>70</v>
      </c>
      <c r="D746" s="7">
        <f t="shared" si="33"/>
        <v>45744.947222222225</v>
      </c>
      <c r="E746" t="str">
        <f t="shared" si="34"/>
        <v>28-03-2025 to 03-04-2025</v>
      </c>
      <c r="F746" t="str">
        <f>IF(COUNTIF('Top5'!I:I, G746) &gt; 0, "Yes", "No")</f>
        <v>No</v>
      </c>
      <c r="G746" t="str">
        <f t="shared" si="35"/>
        <v>28-03-2025 to 03-04-2025</v>
      </c>
    </row>
    <row r="747" spans="1:7">
      <c r="A747" s="1">
        <v>45744</v>
      </c>
      <c r="B747" s="6">
        <v>0.94722222222222219</v>
      </c>
      <c r="C747" s="10" t="s">
        <v>70</v>
      </c>
      <c r="D747" s="7">
        <f t="shared" si="33"/>
        <v>45744.947222222225</v>
      </c>
      <c r="E747" t="str">
        <f t="shared" si="34"/>
        <v>28-03-2025 to 03-04-2025</v>
      </c>
      <c r="F747" t="str">
        <f>IF(COUNTIF('Top5'!I:I, G747) &gt; 0, "Yes", "No")</f>
        <v>No</v>
      </c>
      <c r="G747" t="str">
        <f t="shared" si="35"/>
        <v>28-03-2025 to 03-04-2025</v>
      </c>
    </row>
    <row r="748" spans="1:7">
      <c r="A748" s="1">
        <v>45745</v>
      </c>
      <c r="B748" s="6">
        <v>0.47499999999999998</v>
      </c>
      <c r="C748" s="10" t="s">
        <v>22</v>
      </c>
      <c r="D748" s="7">
        <f t="shared" si="33"/>
        <v>45745.474999999999</v>
      </c>
      <c r="E748" t="str">
        <f t="shared" si="34"/>
        <v>29-03-2025 to 04-04-2025</v>
      </c>
      <c r="F748" t="str">
        <f>IF(COUNTIF('Top5'!I:I, G748) &gt; 0, "Yes", "No")</f>
        <v>No</v>
      </c>
      <c r="G748" t="str">
        <f t="shared" si="35"/>
        <v>29-03-2025 to 04-04-2025</v>
      </c>
    </row>
    <row r="749" spans="1:7">
      <c r="A749" s="1">
        <v>45745</v>
      </c>
      <c r="B749" s="6">
        <v>0.48194444444444445</v>
      </c>
      <c r="C749" s="10" t="s">
        <v>22</v>
      </c>
      <c r="D749" s="7">
        <f t="shared" si="33"/>
        <v>45745.481944444444</v>
      </c>
      <c r="E749" t="str">
        <f t="shared" si="34"/>
        <v>29-03-2025 to 04-04-2025</v>
      </c>
      <c r="F749" t="str">
        <f>IF(COUNTIF('Top5'!I:I, G749) &gt; 0, "Yes", "No")</f>
        <v>No</v>
      </c>
      <c r="G749" t="str">
        <f t="shared" si="35"/>
        <v>29-03-2025 to 04-04-2025</v>
      </c>
    </row>
    <row r="750" spans="1:7">
      <c r="A750" s="1">
        <v>45745</v>
      </c>
      <c r="B750" s="6">
        <v>0.53125</v>
      </c>
      <c r="C750" s="10" t="s">
        <v>71</v>
      </c>
      <c r="D750" s="7">
        <f t="shared" si="33"/>
        <v>45745.53125</v>
      </c>
      <c r="E750" t="str">
        <f t="shared" si="34"/>
        <v>29-03-2025 to 04-04-2025</v>
      </c>
      <c r="F750" t="str">
        <f>IF(COUNTIF('Top5'!I:I, G750) &gt; 0, "Yes", "No")</f>
        <v>No</v>
      </c>
      <c r="G750" t="str">
        <f t="shared" si="35"/>
        <v>29-03-2025 to 04-04-2025</v>
      </c>
    </row>
    <row r="751" spans="1:7">
      <c r="A751" s="1">
        <v>45745</v>
      </c>
      <c r="B751" s="6">
        <v>0.53194444444444444</v>
      </c>
      <c r="C751" s="10" t="s">
        <v>71</v>
      </c>
      <c r="D751" s="7">
        <f t="shared" si="33"/>
        <v>45745.531944444447</v>
      </c>
      <c r="E751" t="str">
        <f t="shared" si="34"/>
        <v>29-03-2025 to 04-04-2025</v>
      </c>
      <c r="F751" t="str">
        <f>IF(COUNTIF('Top5'!I:I, G751) &gt; 0, "Yes", "No")</f>
        <v>No</v>
      </c>
      <c r="G751" t="str">
        <f t="shared" si="35"/>
        <v>29-03-2025 to 04-04-2025</v>
      </c>
    </row>
    <row r="752" spans="1:7">
      <c r="A752" s="1">
        <v>45745</v>
      </c>
      <c r="B752" s="6">
        <v>0.53402777777777777</v>
      </c>
      <c r="C752" s="10" t="s">
        <v>71</v>
      </c>
      <c r="D752" s="7">
        <f t="shared" si="33"/>
        <v>45745.53402777778</v>
      </c>
      <c r="E752" t="str">
        <f t="shared" si="34"/>
        <v>29-03-2025 to 04-04-2025</v>
      </c>
      <c r="F752" t="str">
        <f>IF(COUNTIF('Top5'!I:I, G752) &gt; 0, "Yes", "No")</f>
        <v>No</v>
      </c>
      <c r="G752" t="str">
        <f t="shared" si="35"/>
        <v>29-03-2025 to 04-04-2025</v>
      </c>
    </row>
    <row r="753" spans="1:7">
      <c r="A753" s="1">
        <v>45745</v>
      </c>
      <c r="B753" s="6">
        <v>0.75624999999999998</v>
      </c>
      <c r="C753" s="10" t="s">
        <v>70</v>
      </c>
      <c r="D753" s="7">
        <f t="shared" si="33"/>
        <v>45745.756249999999</v>
      </c>
      <c r="E753" t="str">
        <f t="shared" si="34"/>
        <v>29-03-2025 to 04-04-2025</v>
      </c>
      <c r="F753" t="str">
        <f>IF(COUNTIF('Top5'!I:I, G753) &gt; 0, "Yes", "No")</f>
        <v>No</v>
      </c>
      <c r="G753" t="str">
        <f t="shared" si="35"/>
        <v>29-03-2025 to 04-04-2025</v>
      </c>
    </row>
    <row r="754" spans="1:7">
      <c r="A754" s="1">
        <v>45746</v>
      </c>
      <c r="B754" s="6">
        <v>1.3888888888888889E-3</v>
      </c>
      <c r="C754" s="10" t="s">
        <v>70</v>
      </c>
      <c r="D754" s="7">
        <f t="shared" si="33"/>
        <v>45746.001388888886</v>
      </c>
      <c r="E754" t="str">
        <f t="shared" si="34"/>
        <v>30-03-2025 to 05-04-2025</v>
      </c>
      <c r="F754" t="str">
        <f>IF(COUNTIF('Top5'!I:I, G754) &gt; 0, "Yes", "No")</f>
        <v>No</v>
      </c>
      <c r="G754" t="str">
        <f t="shared" si="35"/>
        <v>30-03-2025 to 05-04-2025</v>
      </c>
    </row>
    <row r="755" spans="1:7">
      <c r="A755" s="1">
        <v>45746</v>
      </c>
      <c r="B755" s="6">
        <v>3.472222222222222E-3</v>
      </c>
      <c r="C755" s="10" t="s">
        <v>70</v>
      </c>
      <c r="D755" s="7">
        <f t="shared" si="33"/>
        <v>45746.003472222219</v>
      </c>
      <c r="E755" t="str">
        <f t="shared" si="34"/>
        <v>30-03-2025 to 05-04-2025</v>
      </c>
      <c r="F755" t="str">
        <f>IF(COUNTIF('Top5'!I:I, G755) &gt; 0, "Yes", "No")</f>
        <v>No</v>
      </c>
      <c r="G755" t="str">
        <f t="shared" si="35"/>
        <v>30-03-2025 to 05-04-2025</v>
      </c>
    </row>
    <row r="756" spans="1:7">
      <c r="A756" s="1">
        <v>45746</v>
      </c>
      <c r="B756" s="6">
        <v>6.2500000000000003E-3</v>
      </c>
      <c r="C756" s="10" t="s">
        <v>70</v>
      </c>
      <c r="D756" s="7">
        <f t="shared" si="33"/>
        <v>45746.006249999999</v>
      </c>
      <c r="E756" t="str">
        <f t="shared" si="34"/>
        <v>30-03-2025 to 05-04-2025</v>
      </c>
      <c r="F756" t="str">
        <f>IF(COUNTIF('Top5'!I:I, G756) &gt; 0, "Yes", "No")</f>
        <v>No</v>
      </c>
      <c r="G756" t="str">
        <f t="shared" si="35"/>
        <v>30-03-2025 to 05-04-2025</v>
      </c>
    </row>
    <row r="757" spans="1:7">
      <c r="A757" s="1">
        <v>45746</v>
      </c>
      <c r="B757" s="6">
        <v>6.2500000000000003E-3</v>
      </c>
      <c r="C757" s="10" t="s">
        <v>70</v>
      </c>
      <c r="D757" s="7">
        <f t="shared" si="33"/>
        <v>45746.006249999999</v>
      </c>
      <c r="E757" t="str">
        <f t="shared" si="34"/>
        <v>30-03-2025 to 05-04-2025</v>
      </c>
      <c r="F757" t="str">
        <f>IF(COUNTIF('Top5'!I:I, G757) &gt; 0, "Yes", "No")</f>
        <v>No</v>
      </c>
      <c r="G757" t="str">
        <f t="shared" si="35"/>
        <v>30-03-2025 to 05-04-2025</v>
      </c>
    </row>
    <row r="758" spans="1:7">
      <c r="A758" s="1">
        <v>45746</v>
      </c>
      <c r="B758" s="6">
        <v>7.6388888888888886E-3</v>
      </c>
      <c r="C758" s="10" t="s">
        <v>70</v>
      </c>
      <c r="D758" s="7">
        <f t="shared" si="33"/>
        <v>45746.007638888892</v>
      </c>
      <c r="E758" t="str">
        <f t="shared" si="34"/>
        <v>30-03-2025 to 05-04-2025</v>
      </c>
      <c r="F758" t="str">
        <f>IF(COUNTIF('Top5'!I:I, G758) &gt; 0, "Yes", "No")</f>
        <v>No</v>
      </c>
      <c r="G758" t="str">
        <f t="shared" si="35"/>
        <v>30-03-2025 to 05-04-2025</v>
      </c>
    </row>
    <row r="759" spans="1:7">
      <c r="A759" s="1">
        <v>45746</v>
      </c>
      <c r="B759" s="6">
        <v>7.6388888888888886E-3</v>
      </c>
      <c r="C759" s="10" t="s">
        <v>70</v>
      </c>
      <c r="D759" s="7">
        <f t="shared" si="33"/>
        <v>45746.007638888892</v>
      </c>
      <c r="E759" t="str">
        <f t="shared" si="34"/>
        <v>30-03-2025 to 05-04-2025</v>
      </c>
      <c r="F759" t="str">
        <f>IF(COUNTIF('Top5'!I:I, G759) &gt; 0, "Yes", "No")</f>
        <v>No</v>
      </c>
      <c r="G759" t="str">
        <f t="shared" si="35"/>
        <v>30-03-2025 to 05-04-2025</v>
      </c>
    </row>
    <row r="760" spans="1:7">
      <c r="A760" s="1">
        <v>45746</v>
      </c>
      <c r="B760" s="6">
        <v>1.1805555555555555E-2</v>
      </c>
      <c r="C760" s="10" t="s">
        <v>70</v>
      </c>
      <c r="D760" s="7">
        <f t="shared" si="33"/>
        <v>45746.011805555558</v>
      </c>
      <c r="E760" t="str">
        <f t="shared" si="34"/>
        <v>30-03-2025 to 05-04-2025</v>
      </c>
      <c r="F760" t="str">
        <f>IF(COUNTIF('Top5'!I:I, G760) &gt; 0, "Yes", "No")</f>
        <v>No</v>
      </c>
      <c r="G760" t="str">
        <f t="shared" si="35"/>
        <v>30-03-2025 to 05-04-2025</v>
      </c>
    </row>
    <row r="761" spans="1:7">
      <c r="A761" s="1">
        <v>45746</v>
      </c>
      <c r="B761" s="6">
        <v>1.2500000000000001E-2</v>
      </c>
      <c r="C761" s="10" t="s">
        <v>70</v>
      </c>
      <c r="D761" s="7">
        <f t="shared" si="33"/>
        <v>45746.012499999997</v>
      </c>
      <c r="E761" t="str">
        <f t="shared" si="34"/>
        <v>30-03-2025 to 05-04-2025</v>
      </c>
      <c r="F761" t="str">
        <f>IF(COUNTIF('Top5'!I:I, G761) &gt; 0, "Yes", "No")</f>
        <v>No</v>
      </c>
      <c r="G761" t="str">
        <f t="shared" si="35"/>
        <v>30-03-2025 to 05-04-2025</v>
      </c>
    </row>
    <row r="762" spans="1:7">
      <c r="A762" s="1">
        <v>45746</v>
      </c>
      <c r="B762" s="6">
        <v>1.7361111111111112E-2</v>
      </c>
      <c r="C762" s="10" t="s">
        <v>70</v>
      </c>
      <c r="D762" s="7">
        <f t="shared" si="33"/>
        <v>45746.017361111109</v>
      </c>
      <c r="E762" t="str">
        <f t="shared" si="34"/>
        <v>30-03-2025 to 05-04-2025</v>
      </c>
      <c r="F762" t="str">
        <f>IF(COUNTIF('Top5'!I:I, G762) &gt; 0, "Yes", "No")</f>
        <v>No</v>
      </c>
      <c r="G762" t="str">
        <f t="shared" si="35"/>
        <v>30-03-2025 to 05-04-2025</v>
      </c>
    </row>
    <row r="763" spans="1:7">
      <c r="A763" s="1">
        <v>45746</v>
      </c>
      <c r="B763" s="6">
        <v>0.61250000000000004</v>
      </c>
      <c r="C763" s="10" t="s">
        <v>71</v>
      </c>
      <c r="D763" s="7">
        <f t="shared" si="33"/>
        <v>45746.612500000003</v>
      </c>
      <c r="E763" t="str">
        <f t="shared" si="34"/>
        <v>30-03-2025 to 05-04-2025</v>
      </c>
      <c r="F763" t="str">
        <f>IF(COUNTIF('Top5'!I:I, G763) &gt; 0, "Yes", "No")</f>
        <v>No</v>
      </c>
      <c r="G763" t="str">
        <f t="shared" si="35"/>
        <v>30-03-2025 to 05-04-2025</v>
      </c>
    </row>
    <row r="764" spans="1:7">
      <c r="A764" s="1">
        <v>45746</v>
      </c>
      <c r="B764" s="6">
        <v>0.69027777777777777</v>
      </c>
      <c r="C764" s="10" t="s">
        <v>71</v>
      </c>
      <c r="D764" s="7">
        <f t="shared" si="33"/>
        <v>45746.69027777778</v>
      </c>
      <c r="E764" t="str">
        <f t="shared" si="34"/>
        <v>30-03-2025 to 05-04-2025</v>
      </c>
      <c r="F764" t="str">
        <f>IF(COUNTIF('Top5'!I:I, G764) &gt; 0, "Yes", "No")</f>
        <v>No</v>
      </c>
      <c r="G764" t="str">
        <f t="shared" si="35"/>
        <v>30-03-2025 to 05-04-2025</v>
      </c>
    </row>
    <row r="765" spans="1:7">
      <c r="A765" s="1">
        <v>45746</v>
      </c>
      <c r="B765" s="6">
        <v>0.7104166666666667</v>
      </c>
      <c r="C765" s="10" t="s">
        <v>70</v>
      </c>
      <c r="D765" s="7">
        <f t="shared" si="33"/>
        <v>45746.710416666669</v>
      </c>
      <c r="E765" t="str">
        <f t="shared" si="34"/>
        <v>30-03-2025 to 05-04-2025</v>
      </c>
      <c r="F765" t="str">
        <f>IF(COUNTIF('Top5'!I:I, G765) &gt; 0, "Yes", "No")</f>
        <v>No</v>
      </c>
      <c r="G765" t="str">
        <f t="shared" si="35"/>
        <v>30-03-2025 to 05-04-2025</v>
      </c>
    </row>
    <row r="766" spans="1:7">
      <c r="A766" s="1">
        <v>45746</v>
      </c>
      <c r="B766" s="6">
        <v>0.71111111111111114</v>
      </c>
      <c r="C766" s="10" t="s">
        <v>70</v>
      </c>
      <c r="D766" s="7">
        <f t="shared" si="33"/>
        <v>45746.711111111108</v>
      </c>
      <c r="E766" t="str">
        <f t="shared" si="34"/>
        <v>30-03-2025 to 05-04-2025</v>
      </c>
      <c r="F766" t="str">
        <f>IF(COUNTIF('Top5'!I:I, G766) &gt; 0, "Yes", "No")</f>
        <v>No</v>
      </c>
      <c r="G766" t="str">
        <f t="shared" si="35"/>
        <v>30-03-2025 to 05-04-2025</v>
      </c>
    </row>
    <row r="767" spans="1:7">
      <c r="A767" s="1">
        <v>45746</v>
      </c>
      <c r="B767" s="6">
        <v>0.73888888888888893</v>
      </c>
      <c r="C767" s="10" t="s">
        <v>70</v>
      </c>
      <c r="D767" s="7">
        <f t="shared" si="33"/>
        <v>45746.738888888889</v>
      </c>
      <c r="E767" t="str">
        <f t="shared" si="34"/>
        <v>30-03-2025 to 05-04-2025</v>
      </c>
      <c r="F767" t="str">
        <f>IF(COUNTIF('Top5'!I:I, G767) &gt; 0, "Yes", "No")</f>
        <v>No</v>
      </c>
      <c r="G767" t="str">
        <f t="shared" si="35"/>
        <v>30-03-2025 to 05-04-2025</v>
      </c>
    </row>
    <row r="768" spans="1:7">
      <c r="A768" s="1">
        <v>45746</v>
      </c>
      <c r="B768" s="6">
        <v>0.95763888888888893</v>
      </c>
      <c r="C768" s="10" t="s">
        <v>70</v>
      </c>
      <c r="D768" s="7">
        <f t="shared" si="33"/>
        <v>45746.957638888889</v>
      </c>
      <c r="E768" t="str">
        <f t="shared" si="34"/>
        <v>30-03-2025 to 05-04-2025</v>
      </c>
      <c r="F768" t="str">
        <f>IF(COUNTIF('Top5'!I:I, G768) &gt; 0, "Yes", "No")</f>
        <v>No</v>
      </c>
      <c r="G768" t="str">
        <f t="shared" si="35"/>
        <v>30-03-2025 to 05-04-2025</v>
      </c>
    </row>
    <row r="769" spans="1:7">
      <c r="A769" s="1">
        <v>45746</v>
      </c>
      <c r="B769" s="6">
        <v>0.98958333333333337</v>
      </c>
      <c r="C769" s="10" t="s">
        <v>70</v>
      </c>
      <c r="D769" s="7">
        <f t="shared" si="33"/>
        <v>45746.989583333336</v>
      </c>
      <c r="E769" t="str">
        <f t="shared" si="34"/>
        <v>30-03-2025 to 05-04-2025</v>
      </c>
      <c r="F769" t="str">
        <f>IF(COUNTIF('Top5'!I:I, G769) &gt; 0, "Yes", "No")</f>
        <v>No</v>
      </c>
      <c r="G769" t="str">
        <f t="shared" si="35"/>
        <v>30-03-2025 to 05-04-2025</v>
      </c>
    </row>
    <row r="770" spans="1:7">
      <c r="A770" s="1">
        <v>45746</v>
      </c>
      <c r="B770" s="6">
        <v>0.99027777777777781</v>
      </c>
      <c r="C770" s="10" t="s">
        <v>70</v>
      </c>
      <c r="D770" s="7">
        <f t="shared" si="33"/>
        <v>45746.990277777775</v>
      </c>
      <c r="E770" t="str">
        <f t="shared" si="34"/>
        <v>30-03-2025 to 05-04-2025</v>
      </c>
      <c r="F770" t="str">
        <f>IF(COUNTIF('Top5'!I:I, G770) &gt; 0, "Yes", "No")</f>
        <v>No</v>
      </c>
      <c r="G770" t="str">
        <f t="shared" si="35"/>
        <v>30-03-2025 to 05-04-2025</v>
      </c>
    </row>
    <row r="771" spans="1:7">
      <c r="A771" s="1">
        <v>45747</v>
      </c>
      <c r="B771" s="6">
        <v>0.62013888888888891</v>
      </c>
      <c r="C771" s="10" t="s">
        <v>71</v>
      </c>
      <c r="D771" s="7">
        <f t="shared" ref="D771:D834" si="36">VALUE(A771) + VALUE(B771)</f>
        <v>45747.620138888888</v>
      </c>
      <c r="E771" t="str">
        <f t="shared" ref="E771:E834" si="37">TEXT(D771, "dd-mm-yyyy") &amp; " to " &amp; TEXT(D771+6, "dd-mm-yyyy")</f>
        <v>31-03-2025 to 06-04-2025</v>
      </c>
      <c r="F771" t="str">
        <f>IF(COUNTIF('Top5'!I:I, G771) &gt; 0, "Yes", "No")</f>
        <v>No</v>
      </c>
      <c r="G771" t="str">
        <f t="shared" ref="G771:G834" si="38">TRIM(E771)</f>
        <v>31-03-2025 to 06-04-2025</v>
      </c>
    </row>
    <row r="772" spans="1:7">
      <c r="A772" s="1">
        <v>45747</v>
      </c>
      <c r="B772" s="6">
        <v>0.89722222222222225</v>
      </c>
      <c r="C772" s="10" t="s">
        <v>70</v>
      </c>
      <c r="D772" s="7">
        <f t="shared" si="36"/>
        <v>45747.897222222222</v>
      </c>
      <c r="E772" t="str">
        <f t="shared" si="37"/>
        <v>31-03-2025 to 06-04-2025</v>
      </c>
      <c r="F772" t="str">
        <f>IF(COUNTIF('Top5'!I:I, G772) &gt; 0, "Yes", "No")</f>
        <v>No</v>
      </c>
      <c r="G772" t="str">
        <f t="shared" si="38"/>
        <v>31-03-2025 to 06-04-2025</v>
      </c>
    </row>
    <row r="773" spans="1:7">
      <c r="A773" s="1">
        <v>45747</v>
      </c>
      <c r="B773" s="6">
        <v>0.91805555555555551</v>
      </c>
      <c r="C773" s="10" t="s">
        <v>70</v>
      </c>
      <c r="D773" s="7">
        <f t="shared" si="36"/>
        <v>45747.918055555558</v>
      </c>
      <c r="E773" t="str">
        <f t="shared" si="37"/>
        <v>31-03-2025 to 06-04-2025</v>
      </c>
      <c r="F773" t="str">
        <f>IF(COUNTIF('Top5'!I:I, G773) &gt; 0, "Yes", "No")</f>
        <v>No</v>
      </c>
      <c r="G773" t="str">
        <f t="shared" si="38"/>
        <v>31-03-2025 to 06-04-2025</v>
      </c>
    </row>
    <row r="774" spans="1:7">
      <c r="A774" s="1">
        <v>45747</v>
      </c>
      <c r="B774" s="6">
        <v>0.92361111111111116</v>
      </c>
      <c r="C774" s="10" t="s">
        <v>70</v>
      </c>
      <c r="D774" s="7">
        <f t="shared" si="36"/>
        <v>45747.923611111109</v>
      </c>
      <c r="E774" t="str">
        <f t="shared" si="37"/>
        <v>31-03-2025 to 06-04-2025</v>
      </c>
      <c r="F774" t="str">
        <f>IF(COUNTIF('Top5'!I:I, G774) &gt; 0, "Yes", "No")</f>
        <v>No</v>
      </c>
      <c r="G774" t="str">
        <f t="shared" si="38"/>
        <v>31-03-2025 to 06-04-2025</v>
      </c>
    </row>
    <row r="775" spans="1:7">
      <c r="A775" s="1">
        <v>45748</v>
      </c>
      <c r="B775" s="6">
        <v>0.40902777777777777</v>
      </c>
      <c r="C775" s="10" t="s">
        <v>22</v>
      </c>
      <c r="D775" s="7">
        <f t="shared" si="36"/>
        <v>45748.40902777778</v>
      </c>
      <c r="E775" t="str">
        <f t="shared" si="37"/>
        <v>01-04-2025 to 07-04-2025</v>
      </c>
      <c r="F775" t="str">
        <f>IF(COUNTIF('Top5'!I:I, G775) &gt; 0, "Yes", "No")</f>
        <v>Yes</v>
      </c>
      <c r="G775" t="str">
        <f t="shared" si="38"/>
        <v>01-04-2025 to 07-04-2025</v>
      </c>
    </row>
    <row r="776" spans="1:7">
      <c r="A776" s="1">
        <v>45748</v>
      </c>
      <c r="B776" s="6">
        <v>0.40972222222222221</v>
      </c>
      <c r="C776" s="10" t="s">
        <v>22</v>
      </c>
      <c r="D776" s="7">
        <f t="shared" si="36"/>
        <v>45748.409722222219</v>
      </c>
      <c r="E776" t="str">
        <f t="shared" si="37"/>
        <v>01-04-2025 to 07-04-2025</v>
      </c>
      <c r="F776" t="str">
        <f>IF(COUNTIF('Top5'!I:I, G776) &gt; 0, "Yes", "No")</f>
        <v>Yes</v>
      </c>
      <c r="G776" t="str">
        <f t="shared" si="38"/>
        <v>01-04-2025 to 07-04-2025</v>
      </c>
    </row>
    <row r="777" spans="1:7">
      <c r="A777" s="1">
        <v>45748</v>
      </c>
      <c r="B777" s="6">
        <v>0.41041666666666665</v>
      </c>
      <c r="C777" s="10" t="s">
        <v>22</v>
      </c>
      <c r="D777" s="7">
        <f t="shared" si="36"/>
        <v>45748.410416666666</v>
      </c>
      <c r="E777" t="str">
        <f t="shared" si="37"/>
        <v>01-04-2025 to 07-04-2025</v>
      </c>
      <c r="F777" t="str">
        <f>IF(COUNTIF('Top5'!I:I, G777) &gt; 0, "Yes", "No")</f>
        <v>Yes</v>
      </c>
      <c r="G777" t="str">
        <f t="shared" si="38"/>
        <v>01-04-2025 to 07-04-2025</v>
      </c>
    </row>
    <row r="778" spans="1:7">
      <c r="A778" s="1">
        <v>45748</v>
      </c>
      <c r="B778" s="6">
        <v>0.70208333333333328</v>
      </c>
      <c r="C778" s="10" t="s">
        <v>71</v>
      </c>
      <c r="D778" s="7">
        <f t="shared" si="36"/>
        <v>45748.70208333333</v>
      </c>
      <c r="E778" t="str">
        <f t="shared" si="37"/>
        <v>01-04-2025 to 07-04-2025</v>
      </c>
      <c r="F778" t="str">
        <f>IF(COUNTIF('Top5'!I:I, G778) &gt; 0, "Yes", "No")</f>
        <v>Yes</v>
      </c>
      <c r="G778" t="str">
        <f t="shared" si="38"/>
        <v>01-04-2025 to 07-04-2025</v>
      </c>
    </row>
    <row r="779" spans="1:7">
      <c r="A779" s="1">
        <v>45749</v>
      </c>
      <c r="B779" s="6">
        <v>0.66180555555555554</v>
      </c>
      <c r="C779" s="10" t="s">
        <v>71</v>
      </c>
      <c r="D779" s="7">
        <f t="shared" si="36"/>
        <v>45749.661805555559</v>
      </c>
      <c r="E779" t="str">
        <f t="shared" si="37"/>
        <v>02-04-2025 to 08-04-2025</v>
      </c>
      <c r="F779" t="str">
        <f>IF(COUNTIF('Top5'!I:I, G779) &gt; 0, "Yes", "No")</f>
        <v>No</v>
      </c>
      <c r="G779" t="str">
        <f t="shared" si="38"/>
        <v>02-04-2025 to 08-04-2025</v>
      </c>
    </row>
    <row r="780" spans="1:7">
      <c r="A780" s="1">
        <v>45749</v>
      </c>
      <c r="B780" s="6">
        <v>0.66319444444444442</v>
      </c>
      <c r="C780" s="10" t="s">
        <v>71</v>
      </c>
      <c r="D780" s="7">
        <f t="shared" si="36"/>
        <v>45749.663194444445</v>
      </c>
      <c r="E780" t="str">
        <f t="shared" si="37"/>
        <v>02-04-2025 to 08-04-2025</v>
      </c>
      <c r="F780" t="str">
        <f>IF(COUNTIF('Top5'!I:I, G780) &gt; 0, "Yes", "No")</f>
        <v>No</v>
      </c>
      <c r="G780" t="str">
        <f t="shared" si="38"/>
        <v>02-04-2025 to 08-04-2025</v>
      </c>
    </row>
    <row r="781" spans="1:7">
      <c r="A781" s="1">
        <v>45749</v>
      </c>
      <c r="B781" s="6">
        <v>0.66319444444444442</v>
      </c>
      <c r="C781" s="10" t="s">
        <v>71</v>
      </c>
      <c r="D781" s="7">
        <f t="shared" si="36"/>
        <v>45749.663194444445</v>
      </c>
      <c r="E781" t="str">
        <f t="shared" si="37"/>
        <v>02-04-2025 to 08-04-2025</v>
      </c>
      <c r="F781" t="str">
        <f>IF(COUNTIF('Top5'!I:I, G781) &gt; 0, "Yes", "No")</f>
        <v>No</v>
      </c>
      <c r="G781" t="str">
        <f t="shared" si="38"/>
        <v>02-04-2025 to 08-04-2025</v>
      </c>
    </row>
    <row r="782" spans="1:7">
      <c r="A782" s="1">
        <v>45749</v>
      </c>
      <c r="B782" s="6">
        <v>0.90902777777777777</v>
      </c>
      <c r="C782" s="10" t="s">
        <v>70</v>
      </c>
      <c r="D782" s="7">
        <f t="shared" si="36"/>
        <v>45749.90902777778</v>
      </c>
      <c r="E782" t="str">
        <f t="shared" si="37"/>
        <v>02-04-2025 to 08-04-2025</v>
      </c>
      <c r="F782" t="str">
        <f>IF(COUNTIF('Top5'!I:I, G782) &gt; 0, "Yes", "No")</f>
        <v>No</v>
      </c>
      <c r="G782" t="str">
        <f t="shared" si="38"/>
        <v>02-04-2025 to 08-04-2025</v>
      </c>
    </row>
    <row r="783" spans="1:7">
      <c r="A783" s="1">
        <v>45750</v>
      </c>
      <c r="B783" s="6">
        <v>0.43263888888888891</v>
      </c>
      <c r="C783" s="10" t="s">
        <v>22</v>
      </c>
      <c r="D783" s="7">
        <f t="shared" si="36"/>
        <v>45750.432638888888</v>
      </c>
      <c r="E783" t="str">
        <f t="shared" si="37"/>
        <v>03-04-2025 to 09-04-2025</v>
      </c>
      <c r="F783" t="str">
        <f>IF(COUNTIF('Top5'!I:I, G783) &gt; 0, "Yes", "No")</f>
        <v>No</v>
      </c>
      <c r="G783" t="str">
        <f t="shared" si="38"/>
        <v>03-04-2025 to 09-04-2025</v>
      </c>
    </row>
    <row r="784" spans="1:7">
      <c r="A784" s="1">
        <v>45750</v>
      </c>
      <c r="B784" s="6">
        <v>0.48680555555555555</v>
      </c>
      <c r="C784" s="10" t="s">
        <v>22</v>
      </c>
      <c r="D784" s="7">
        <f t="shared" si="36"/>
        <v>45750.486805555556</v>
      </c>
      <c r="E784" t="str">
        <f t="shared" si="37"/>
        <v>03-04-2025 to 09-04-2025</v>
      </c>
      <c r="F784" t="str">
        <f>IF(COUNTIF('Top5'!I:I, G784) &gt; 0, "Yes", "No")</f>
        <v>No</v>
      </c>
      <c r="G784" t="str">
        <f t="shared" si="38"/>
        <v>03-04-2025 to 09-04-2025</v>
      </c>
    </row>
    <row r="785" spans="1:7">
      <c r="A785" s="1">
        <v>45750</v>
      </c>
      <c r="B785" s="6">
        <v>0.50069444444444444</v>
      </c>
      <c r="C785" s="10" t="s">
        <v>71</v>
      </c>
      <c r="D785" s="7">
        <f t="shared" si="36"/>
        <v>45750.500694444447</v>
      </c>
      <c r="E785" t="str">
        <f t="shared" si="37"/>
        <v>03-04-2025 to 09-04-2025</v>
      </c>
      <c r="F785" t="str">
        <f>IF(COUNTIF('Top5'!I:I, G785) &gt; 0, "Yes", "No")</f>
        <v>No</v>
      </c>
      <c r="G785" t="str">
        <f t="shared" si="38"/>
        <v>03-04-2025 to 09-04-2025</v>
      </c>
    </row>
    <row r="786" spans="1:7">
      <c r="A786" s="1">
        <v>45750</v>
      </c>
      <c r="B786" s="6">
        <v>0.51111111111111107</v>
      </c>
      <c r="C786" s="10" t="s">
        <v>71</v>
      </c>
      <c r="D786" s="7">
        <f t="shared" si="36"/>
        <v>45750.511111111111</v>
      </c>
      <c r="E786" t="str">
        <f t="shared" si="37"/>
        <v>03-04-2025 to 09-04-2025</v>
      </c>
      <c r="F786" t="str">
        <f>IF(COUNTIF('Top5'!I:I, G786) &gt; 0, "Yes", "No")</f>
        <v>No</v>
      </c>
      <c r="G786" t="str">
        <f t="shared" si="38"/>
        <v>03-04-2025 to 09-04-2025</v>
      </c>
    </row>
    <row r="787" spans="1:7">
      <c r="A787" s="1">
        <v>45750</v>
      </c>
      <c r="B787" s="6">
        <v>0.51180555555555551</v>
      </c>
      <c r="C787" s="10" t="s">
        <v>71</v>
      </c>
      <c r="D787" s="7">
        <f t="shared" si="36"/>
        <v>45750.511805555558</v>
      </c>
      <c r="E787" t="str">
        <f t="shared" si="37"/>
        <v>03-04-2025 to 09-04-2025</v>
      </c>
      <c r="F787" t="str">
        <f>IF(COUNTIF('Top5'!I:I, G787) &gt; 0, "Yes", "No")</f>
        <v>No</v>
      </c>
      <c r="G787" t="str">
        <f t="shared" si="38"/>
        <v>03-04-2025 to 09-04-2025</v>
      </c>
    </row>
    <row r="788" spans="1:7">
      <c r="A788" s="1">
        <v>45750</v>
      </c>
      <c r="B788" s="6">
        <v>0.57222222222222219</v>
      </c>
      <c r="C788" s="10" t="s">
        <v>71</v>
      </c>
      <c r="D788" s="7">
        <f t="shared" si="36"/>
        <v>45750.572222222225</v>
      </c>
      <c r="E788" t="str">
        <f t="shared" si="37"/>
        <v>03-04-2025 to 09-04-2025</v>
      </c>
      <c r="F788" t="str">
        <f>IF(COUNTIF('Top5'!I:I, G788) &gt; 0, "Yes", "No")</f>
        <v>No</v>
      </c>
      <c r="G788" t="str">
        <f t="shared" si="38"/>
        <v>03-04-2025 to 09-04-2025</v>
      </c>
    </row>
    <row r="789" spans="1:7">
      <c r="A789" s="1">
        <v>45750</v>
      </c>
      <c r="B789" s="6">
        <v>0.74375000000000002</v>
      </c>
      <c r="C789" s="10" t="s">
        <v>70</v>
      </c>
      <c r="D789" s="7">
        <f t="shared" si="36"/>
        <v>45750.743750000001</v>
      </c>
      <c r="E789" t="str">
        <f t="shared" si="37"/>
        <v>03-04-2025 to 09-04-2025</v>
      </c>
      <c r="F789" t="str">
        <f>IF(COUNTIF('Top5'!I:I, G789) &gt; 0, "Yes", "No")</f>
        <v>No</v>
      </c>
      <c r="G789" t="str">
        <f t="shared" si="38"/>
        <v>03-04-2025 to 09-04-2025</v>
      </c>
    </row>
    <row r="790" spans="1:7">
      <c r="A790" s="1">
        <v>45750</v>
      </c>
      <c r="B790" s="6">
        <v>0.76458333333333328</v>
      </c>
      <c r="C790" s="10" t="s">
        <v>70</v>
      </c>
      <c r="D790" s="7">
        <f t="shared" si="36"/>
        <v>45750.76458333333</v>
      </c>
      <c r="E790" t="str">
        <f t="shared" si="37"/>
        <v>03-04-2025 to 09-04-2025</v>
      </c>
      <c r="F790" t="str">
        <f>IF(COUNTIF('Top5'!I:I, G790) &gt; 0, "Yes", "No")</f>
        <v>No</v>
      </c>
      <c r="G790" t="str">
        <f t="shared" si="38"/>
        <v>03-04-2025 to 09-04-2025</v>
      </c>
    </row>
    <row r="791" spans="1:7">
      <c r="A791" s="1">
        <v>45750</v>
      </c>
      <c r="B791" s="6">
        <v>0.77152777777777781</v>
      </c>
      <c r="C791" s="10" t="s">
        <v>70</v>
      </c>
      <c r="D791" s="7">
        <f t="shared" si="36"/>
        <v>45750.771527777775</v>
      </c>
      <c r="E791" t="str">
        <f t="shared" si="37"/>
        <v>03-04-2025 to 09-04-2025</v>
      </c>
      <c r="F791" t="str">
        <f>IF(COUNTIF('Top5'!I:I, G791) &gt; 0, "Yes", "No")</f>
        <v>No</v>
      </c>
      <c r="G791" t="str">
        <f t="shared" si="38"/>
        <v>03-04-2025 to 09-04-2025</v>
      </c>
    </row>
    <row r="792" spans="1:7">
      <c r="A792" s="1">
        <v>45750</v>
      </c>
      <c r="B792" s="6">
        <v>0.81736111111111109</v>
      </c>
      <c r="C792" s="10" t="s">
        <v>70</v>
      </c>
      <c r="D792" s="7">
        <f t="shared" si="36"/>
        <v>45750.817361111112</v>
      </c>
      <c r="E792" t="str">
        <f t="shared" si="37"/>
        <v>03-04-2025 to 09-04-2025</v>
      </c>
      <c r="F792" t="str">
        <f>IF(COUNTIF('Top5'!I:I, G792) &gt; 0, "Yes", "No")</f>
        <v>No</v>
      </c>
      <c r="G792" t="str">
        <f t="shared" si="38"/>
        <v>03-04-2025 to 09-04-2025</v>
      </c>
    </row>
    <row r="793" spans="1:7">
      <c r="A793" s="1">
        <v>45750</v>
      </c>
      <c r="B793" s="6">
        <v>0.88194444444444442</v>
      </c>
      <c r="C793" s="10" t="s">
        <v>70</v>
      </c>
      <c r="D793" s="7">
        <f t="shared" si="36"/>
        <v>45750.881944444445</v>
      </c>
      <c r="E793" t="str">
        <f t="shared" si="37"/>
        <v>03-04-2025 to 09-04-2025</v>
      </c>
      <c r="F793" t="str">
        <f>IF(COUNTIF('Top5'!I:I, G793) &gt; 0, "Yes", "No")</f>
        <v>No</v>
      </c>
      <c r="G793" t="str">
        <f t="shared" si="38"/>
        <v>03-04-2025 to 09-04-2025</v>
      </c>
    </row>
    <row r="794" spans="1:7">
      <c r="A794" s="1">
        <v>45751</v>
      </c>
      <c r="B794" s="6">
        <v>1.1111111111111112E-2</v>
      </c>
      <c r="C794" s="10" t="s">
        <v>70</v>
      </c>
      <c r="D794" s="7">
        <f t="shared" si="36"/>
        <v>45751.011111111111</v>
      </c>
      <c r="E794" t="str">
        <f t="shared" si="37"/>
        <v>04-04-2025 to 10-04-2025</v>
      </c>
      <c r="F794" t="str">
        <f>IF(COUNTIF('Top5'!I:I, G794) &gt; 0, "Yes", "No")</f>
        <v>No</v>
      </c>
      <c r="G794" t="str">
        <f t="shared" si="38"/>
        <v>04-04-2025 to 10-04-2025</v>
      </c>
    </row>
    <row r="795" spans="1:7">
      <c r="A795" s="1">
        <v>45751</v>
      </c>
      <c r="B795" s="6">
        <v>1.1111111111111112E-2</v>
      </c>
      <c r="C795" s="10" t="s">
        <v>70</v>
      </c>
      <c r="D795" s="7">
        <f t="shared" si="36"/>
        <v>45751.011111111111</v>
      </c>
      <c r="E795" t="str">
        <f t="shared" si="37"/>
        <v>04-04-2025 to 10-04-2025</v>
      </c>
      <c r="F795" t="str">
        <f>IF(COUNTIF('Top5'!I:I, G795) &gt; 0, "Yes", "No")</f>
        <v>No</v>
      </c>
      <c r="G795" t="str">
        <f t="shared" si="38"/>
        <v>04-04-2025 to 10-04-2025</v>
      </c>
    </row>
    <row r="796" spans="1:7">
      <c r="A796" s="1">
        <v>45751</v>
      </c>
      <c r="B796" s="6">
        <v>0.7368055555555556</v>
      </c>
      <c r="C796" s="10" t="s">
        <v>70</v>
      </c>
      <c r="D796" s="7">
        <f t="shared" si="36"/>
        <v>45751.736805555556</v>
      </c>
      <c r="E796" t="str">
        <f t="shared" si="37"/>
        <v>04-04-2025 to 10-04-2025</v>
      </c>
      <c r="F796" t="str">
        <f>IF(COUNTIF('Top5'!I:I, G796) &gt; 0, "Yes", "No")</f>
        <v>No</v>
      </c>
      <c r="G796" t="str">
        <f t="shared" si="38"/>
        <v>04-04-2025 to 10-04-2025</v>
      </c>
    </row>
    <row r="797" spans="1:7">
      <c r="A797" s="1">
        <v>45751</v>
      </c>
      <c r="B797" s="6">
        <v>0.89652777777777781</v>
      </c>
      <c r="C797" s="10" t="s">
        <v>70</v>
      </c>
      <c r="D797" s="7">
        <f t="shared" si="36"/>
        <v>45751.896527777775</v>
      </c>
      <c r="E797" t="str">
        <f t="shared" si="37"/>
        <v>04-04-2025 to 10-04-2025</v>
      </c>
      <c r="F797" t="str">
        <f>IF(COUNTIF('Top5'!I:I, G797) &gt; 0, "Yes", "No")</f>
        <v>No</v>
      </c>
      <c r="G797" t="str">
        <f t="shared" si="38"/>
        <v>04-04-2025 to 10-04-2025</v>
      </c>
    </row>
    <row r="798" spans="1:7">
      <c r="A798" s="1">
        <v>45752</v>
      </c>
      <c r="B798" s="6">
        <v>0.41944444444444445</v>
      </c>
      <c r="C798" s="10" t="s">
        <v>22</v>
      </c>
      <c r="D798" s="7">
        <f t="shared" si="36"/>
        <v>45752.419444444444</v>
      </c>
      <c r="E798" t="str">
        <f t="shared" si="37"/>
        <v>05-04-2025 to 11-04-2025</v>
      </c>
      <c r="F798" t="str">
        <f>IF(COUNTIF('Top5'!I:I, G798) &gt; 0, "Yes", "No")</f>
        <v>No</v>
      </c>
      <c r="G798" t="str">
        <f t="shared" si="38"/>
        <v>05-04-2025 to 11-04-2025</v>
      </c>
    </row>
    <row r="799" spans="1:7">
      <c r="A799" s="1">
        <v>45752</v>
      </c>
      <c r="B799" s="6">
        <v>0.42291666666666666</v>
      </c>
      <c r="C799" s="10" t="s">
        <v>22</v>
      </c>
      <c r="D799" s="7">
        <f t="shared" si="36"/>
        <v>45752.42291666667</v>
      </c>
      <c r="E799" t="str">
        <f t="shared" si="37"/>
        <v>05-04-2025 to 11-04-2025</v>
      </c>
      <c r="F799" t="str">
        <f>IF(COUNTIF('Top5'!I:I, G799) &gt; 0, "Yes", "No")</f>
        <v>No</v>
      </c>
      <c r="G799" t="str">
        <f t="shared" si="38"/>
        <v>05-04-2025 to 11-04-2025</v>
      </c>
    </row>
    <row r="800" spans="1:7">
      <c r="A800" s="1">
        <v>45752</v>
      </c>
      <c r="B800" s="6">
        <v>0.49861111111111112</v>
      </c>
      <c r="C800" s="10" t="s">
        <v>22</v>
      </c>
      <c r="D800" s="7">
        <f t="shared" si="36"/>
        <v>45752.498611111114</v>
      </c>
      <c r="E800" t="str">
        <f t="shared" si="37"/>
        <v>05-04-2025 to 11-04-2025</v>
      </c>
      <c r="F800" t="str">
        <f>IF(COUNTIF('Top5'!I:I, G800) &gt; 0, "Yes", "No")</f>
        <v>No</v>
      </c>
      <c r="G800" t="str">
        <f t="shared" si="38"/>
        <v>05-04-2025 to 11-04-2025</v>
      </c>
    </row>
    <row r="801" spans="1:7">
      <c r="A801" s="1">
        <v>45752</v>
      </c>
      <c r="B801" s="6">
        <v>0.53402777777777777</v>
      </c>
      <c r="C801" s="10" t="s">
        <v>71</v>
      </c>
      <c r="D801" s="7">
        <f t="shared" si="36"/>
        <v>45752.53402777778</v>
      </c>
      <c r="E801" t="str">
        <f t="shared" si="37"/>
        <v>05-04-2025 to 11-04-2025</v>
      </c>
      <c r="F801" t="str">
        <f>IF(COUNTIF('Top5'!I:I, G801) &gt; 0, "Yes", "No")</f>
        <v>No</v>
      </c>
      <c r="G801" t="str">
        <f t="shared" si="38"/>
        <v>05-04-2025 to 11-04-2025</v>
      </c>
    </row>
    <row r="802" spans="1:7">
      <c r="A802" s="1">
        <v>45752</v>
      </c>
      <c r="B802" s="6">
        <v>0.53541666666666665</v>
      </c>
      <c r="C802" s="10" t="s">
        <v>71</v>
      </c>
      <c r="D802" s="7">
        <f t="shared" si="36"/>
        <v>45752.535416666666</v>
      </c>
      <c r="E802" t="str">
        <f t="shared" si="37"/>
        <v>05-04-2025 to 11-04-2025</v>
      </c>
      <c r="F802" t="str">
        <f>IF(COUNTIF('Top5'!I:I, G802) &gt; 0, "Yes", "No")</f>
        <v>No</v>
      </c>
      <c r="G802" t="str">
        <f t="shared" si="38"/>
        <v>05-04-2025 to 11-04-2025</v>
      </c>
    </row>
    <row r="803" spans="1:7">
      <c r="A803" s="1">
        <v>45752</v>
      </c>
      <c r="B803" s="6">
        <v>0.53819444444444442</v>
      </c>
      <c r="C803" s="10" t="s">
        <v>71</v>
      </c>
      <c r="D803" s="7">
        <f t="shared" si="36"/>
        <v>45752.538194444445</v>
      </c>
      <c r="E803" t="str">
        <f t="shared" si="37"/>
        <v>05-04-2025 to 11-04-2025</v>
      </c>
      <c r="F803" t="str">
        <f>IF(COUNTIF('Top5'!I:I, G803) &gt; 0, "Yes", "No")</f>
        <v>No</v>
      </c>
      <c r="G803" t="str">
        <f t="shared" si="38"/>
        <v>05-04-2025 to 11-04-2025</v>
      </c>
    </row>
    <row r="804" spans="1:7">
      <c r="A804" s="1">
        <v>45752</v>
      </c>
      <c r="B804" s="6">
        <v>0.59930555555555554</v>
      </c>
      <c r="C804" s="10" t="s">
        <v>71</v>
      </c>
      <c r="D804" s="7">
        <f t="shared" si="36"/>
        <v>45752.599305555559</v>
      </c>
      <c r="E804" t="str">
        <f t="shared" si="37"/>
        <v>05-04-2025 to 11-04-2025</v>
      </c>
      <c r="F804" t="str">
        <f>IF(COUNTIF('Top5'!I:I, G804) &gt; 0, "Yes", "No")</f>
        <v>No</v>
      </c>
      <c r="G804" t="str">
        <f t="shared" si="38"/>
        <v>05-04-2025 to 11-04-2025</v>
      </c>
    </row>
    <row r="805" spans="1:7">
      <c r="A805" s="1">
        <v>45752</v>
      </c>
      <c r="B805" s="6">
        <v>0.79027777777777775</v>
      </c>
      <c r="C805" s="10" t="s">
        <v>70</v>
      </c>
      <c r="D805" s="7">
        <f t="shared" si="36"/>
        <v>45752.790277777778</v>
      </c>
      <c r="E805" t="str">
        <f t="shared" si="37"/>
        <v>05-04-2025 to 11-04-2025</v>
      </c>
      <c r="F805" t="str">
        <f>IF(COUNTIF('Top5'!I:I, G805) &gt; 0, "Yes", "No")</f>
        <v>No</v>
      </c>
      <c r="G805" t="str">
        <f t="shared" si="38"/>
        <v>05-04-2025 to 11-04-2025</v>
      </c>
    </row>
    <row r="806" spans="1:7">
      <c r="A806" s="1">
        <v>45752</v>
      </c>
      <c r="B806" s="6">
        <v>0.87638888888888888</v>
      </c>
      <c r="C806" s="10" t="s">
        <v>70</v>
      </c>
      <c r="D806" s="7">
        <f t="shared" si="36"/>
        <v>45752.876388888886</v>
      </c>
      <c r="E806" t="str">
        <f t="shared" si="37"/>
        <v>05-04-2025 to 11-04-2025</v>
      </c>
      <c r="F806" t="str">
        <f>IF(COUNTIF('Top5'!I:I, G806) &gt; 0, "Yes", "No")</f>
        <v>No</v>
      </c>
      <c r="G806" t="str">
        <f t="shared" si="38"/>
        <v>05-04-2025 to 11-04-2025</v>
      </c>
    </row>
    <row r="807" spans="1:7">
      <c r="A807" s="1">
        <v>45752</v>
      </c>
      <c r="B807" s="6">
        <v>0.88055555555555554</v>
      </c>
      <c r="C807" s="10" t="s">
        <v>70</v>
      </c>
      <c r="D807" s="7">
        <f t="shared" si="36"/>
        <v>45752.880555555559</v>
      </c>
      <c r="E807" t="str">
        <f t="shared" si="37"/>
        <v>05-04-2025 to 11-04-2025</v>
      </c>
      <c r="F807" t="str">
        <f>IF(COUNTIF('Top5'!I:I, G807) &gt; 0, "Yes", "No")</f>
        <v>No</v>
      </c>
      <c r="G807" t="str">
        <f t="shared" si="38"/>
        <v>05-04-2025 to 11-04-2025</v>
      </c>
    </row>
    <row r="808" spans="1:7">
      <c r="A808" s="1">
        <v>45753</v>
      </c>
      <c r="B808" s="6">
        <v>0.38124999999999998</v>
      </c>
      <c r="C808" s="10" t="s">
        <v>22</v>
      </c>
      <c r="D808" s="7">
        <f t="shared" si="36"/>
        <v>45753.381249999999</v>
      </c>
      <c r="E808" t="str">
        <f t="shared" si="37"/>
        <v>06-04-2025 to 12-04-2025</v>
      </c>
      <c r="F808" t="str">
        <f>IF(COUNTIF('Top5'!I:I, G808) &gt; 0, "Yes", "No")</f>
        <v>No</v>
      </c>
      <c r="G808" t="str">
        <f t="shared" si="38"/>
        <v>06-04-2025 to 12-04-2025</v>
      </c>
    </row>
    <row r="809" spans="1:7">
      <c r="A809" s="1">
        <v>45753</v>
      </c>
      <c r="B809" s="6">
        <v>0.38194444444444442</v>
      </c>
      <c r="C809" s="10" t="s">
        <v>22</v>
      </c>
      <c r="D809" s="7">
        <f t="shared" si="36"/>
        <v>45753.381944444445</v>
      </c>
      <c r="E809" t="str">
        <f t="shared" si="37"/>
        <v>06-04-2025 to 12-04-2025</v>
      </c>
      <c r="F809" t="str">
        <f>IF(COUNTIF('Top5'!I:I, G809) &gt; 0, "Yes", "No")</f>
        <v>No</v>
      </c>
      <c r="G809" t="str">
        <f t="shared" si="38"/>
        <v>06-04-2025 to 12-04-2025</v>
      </c>
    </row>
    <row r="810" spans="1:7">
      <c r="A810" s="1">
        <v>45753</v>
      </c>
      <c r="B810" s="6">
        <v>0.38263888888888886</v>
      </c>
      <c r="C810" s="10" t="s">
        <v>22</v>
      </c>
      <c r="D810" s="7">
        <f t="shared" si="36"/>
        <v>45753.382638888892</v>
      </c>
      <c r="E810" t="str">
        <f t="shared" si="37"/>
        <v>06-04-2025 to 12-04-2025</v>
      </c>
      <c r="F810" t="str">
        <f>IF(COUNTIF('Top5'!I:I, G810) &gt; 0, "Yes", "No")</f>
        <v>No</v>
      </c>
      <c r="G810" t="str">
        <f t="shared" si="38"/>
        <v>06-04-2025 to 12-04-2025</v>
      </c>
    </row>
    <row r="811" spans="1:7">
      <c r="A811" s="1">
        <v>45753</v>
      </c>
      <c r="B811" s="6">
        <v>0.60972222222222228</v>
      </c>
      <c r="C811" s="10" t="s">
        <v>71</v>
      </c>
      <c r="D811" s="7">
        <f t="shared" si="36"/>
        <v>45753.609722222223</v>
      </c>
      <c r="E811" t="str">
        <f t="shared" si="37"/>
        <v>06-04-2025 to 12-04-2025</v>
      </c>
      <c r="F811" t="str">
        <f>IF(COUNTIF('Top5'!I:I, G811) &gt; 0, "Yes", "No")</f>
        <v>No</v>
      </c>
      <c r="G811" t="str">
        <f t="shared" si="38"/>
        <v>06-04-2025 to 12-04-2025</v>
      </c>
    </row>
    <row r="812" spans="1:7">
      <c r="A812" s="1">
        <v>45753</v>
      </c>
      <c r="B812" s="6">
        <v>0.69305555555555554</v>
      </c>
      <c r="C812" s="10" t="s">
        <v>71</v>
      </c>
      <c r="D812" s="7">
        <f t="shared" si="36"/>
        <v>45753.693055555559</v>
      </c>
      <c r="E812" t="str">
        <f t="shared" si="37"/>
        <v>06-04-2025 to 12-04-2025</v>
      </c>
      <c r="F812" t="str">
        <f>IF(COUNTIF('Top5'!I:I, G812) &gt; 0, "Yes", "No")</f>
        <v>No</v>
      </c>
      <c r="G812" t="str">
        <f t="shared" si="38"/>
        <v>06-04-2025 to 12-04-2025</v>
      </c>
    </row>
    <row r="813" spans="1:7">
      <c r="A813" s="1">
        <v>45753</v>
      </c>
      <c r="B813" s="6">
        <v>0.69652777777777775</v>
      </c>
      <c r="C813" s="10" t="s">
        <v>71</v>
      </c>
      <c r="D813" s="7">
        <f t="shared" si="36"/>
        <v>45753.696527777778</v>
      </c>
      <c r="E813" t="str">
        <f t="shared" si="37"/>
        <v>06-04-2025 to 12-04-2025</v>
      </c>
      <c r="F813" t="str">
        <f>IF(COUNTIF('Top5'!I:I, G813) &gt; 0, "Yes", "No")</f>
        <v>No</v>
      </c>
      <c r="G813" t="str">
        <f t="shared" si="38"/>
        <v>06-04-2025 to 12-04-2025</v>
      </c>
    </row>
    <row r="814" spans="1:7">
      <c r="A814" s="1">
        <v>45753</v>
      </c>
      <c r="B814" s="6">
        <v>0.98402777777777772</v>
      </c>
      <c r="C814" s="10" t="s">
        <v>70</v>
      </c>
      <c r="D814" s="7">
        <f t="shared" si="36"/>
        <v>45753.984027777777</v>
      </c>
      <c r="E814" t="str">
        <f t="shared" si="37"/>
        <v>06-04-2025 to 12-04-2025</v>
      </c>
      <c r="F814" t="str">
        <f>IF(COUNTIF('Top5'!I:I, G814) &gt; 0, "Yes", "No")</f>
        <v>No</v>
      </c>
      <c r="G814" t="str">
        <f t="shared" si="38"/>
        <v>06-04-2025 to 12-04-2025</v>
      </c>
    </row>
    <row r="815" spans="1:7">
      <c r="A815" s="1">
        <v>45753</v>
      </c>
      <c r="B815" s="6">
        <v>0.99097222222222225</v>
      </c>
      <c r="C815" s="10" t="s">
        <v>70</v>
      </c>
      <c r="D815" s="7">
        <f t="shared" si="36"/>
        <v>45753.990972222222</v>
      </c>
      <c r="E815" t="str">
        <f t="shared" si="37"/>
        <v>06-04-2025 to 12-04-2025</v>
      </c>
      <c r="F815" t="str">
        <f>IF(COUNTIF('Top5'!I:I, G815) &gt; 0, "Yes", "No")</f>
        <v>No</v>
      </c>
      <c r="G815" t="str">
        <f t="shared" si="38"/>
        <v>06-04-2025 to 12-04-2025</v>
      </c>
    </row>
    <row r="816" spans="1:7">
      <c r="A816" s="1">
        <v>45753</v>
      </c>
      <c r="B816" s="6">
        <v>0.99236111111111114</v>
      </c>
      <c r="C816" s="10" t="s">
        <v>70</v>
      </c>
      <c r="D816" s="7">
        <f t="shared" si="36"/>
        <v>45753.992361111108</v>
      </c>
      <c r="E816" t="str">
        <f t="shared" si="37"/>
        <v>06-04-2025 to 12-04-2025</v>
      </c>
      <c r="F816" t="str">
        <f>IF(COUNTIF('Top5'!I:I, G816) &gt; 0, "Yes", "No")</f>
        <v>No</v>
      </c>
      <c r="G816" t="str">
        <f t="shared" si="38"/>
        <v>06-04-2025 to 12-04-2025</v>
      </c>
    </row>
    <row r="817" spans="1:7">
      <c r="A817" s="1">
        <v>45753</v>
      </c>
      <c r="B817" s="6">
        <v>0.99375000000000002</v>
      </c>
      <c r="C817" s="10" t="s">
        <v>70</v>
      </c>
      <c r="D817" s="7">
        <f t="shared" si="36"/>
        <v>45753.993750000001</v>
      </c>
      <c r="E817" t="str">
        <f t="shared" si="37"/>
        <v>06-04-2025 to 12-04-2025</v>
      </c>
      <c r="F817" t="str">
        <f>IF(COUNTIF('Top5'!I:I, G817) &gt; 0, "Yes", "No")</f>
        <v>No</v>
      </c>
      <c r="G817" t="str">
        <f t="shared" si="38"/>
        <v>06-04-2025 to 12-04-2025</v>
      </c>
    </row>
    <row r="818" spans="1:7">
      <c r="A818" s="1">
        <v>45753</v>
      </c>
      <c r="B818" s="6">
        <v>0.99513888888888891</v>
      </c>
      <c r="C818" s="10" t="s">
        <v>70</v>
      </c>
      <c r="D818" s="7">
        <f t="shared" si="36"/>
        <v>45753.995138888888</v>
      </c>
      <c r="E818" t="str">
        <f t="shared" si="37"/>
        <v>06-04-2025 to 12-04-2025</v>
      </c>
      <c r="F818" t="str">
        <f>IF(COUNTIF('Top5'!I:I, G818) &gt; 0, "Yes", "No")</f>
        <v>No</v>
      </c>
      <c r="G818" t="str">
        <f t="shared" si="38"/>
        <v>06-04-2025 to 12-04-2025</v>
      </c>
    </row>
    <row r="819" spans="1:7">
      <c r="A819" s="1">
        <v>45754</v>
      </c>
      <c r="B819" s="6">
        <v>1.3888888888888889E-3</v>
      </c>
      <c r="C819" s="10" t="s">
        <v>70</v>
      </c>
      <c r="D819" s="7">
        <f t="shared" si="36"/>
        <v>45754.001388888886</v>
      </c>
      <c r="E819" t="str">
        <f t="shared" si="37"/>
        <v>07-04-2025 to 13-04-2025</v>
      </c>
      <c r="F819" t="str">
        <f>IF(COUNTIF('Top5'!I:I, G819) &gt; 0, "Yes", "No")</f>
        <v>No</v>
      </c>
      <c r="G819" t="str">
        <f t="shared" si="38"/>
        <v>07-04-2025 to 13-04-2025</v>
      </c>
    </row>
    <row r="820" spans="1:7">
      <c r="A820" s="1">
        <v>45754</v>
      </c>
      <c r="B820" s="6">
        <v>7.6388888888888886E-3</v>
      </c>
      <c r="C820" s="10" t="s">
        <v>70</v>
      </c>
      <c r="D820" s="7">
        <f t="shared" si="36"/>
        <v>45754.007638888892</v>
      </c>
      <c r="E820" t="str">
        <f t="shared" si="37"/>
        <v>07-04-2025 to 13-04-2025</v>
      </c>
      <c r="F820" t="str">
        <f>IF(COUNTIF('Top5'!I:I, G820) &gt; 0, "Yes", "No")</f>
        <v>No</v>
      </c>
      <c r="G820" t="str">
        <f t="shared" si="38"/>
        <v>07-04-2025 to 13-04-2025</v>
      </c>
    </row>
    <row r="821" spans="1:7">
      <c r="A821" s="1">
        <v>45754</v>
      </c>
      <c r="B821" s="6">
        <v>0.75138888888888888</v>
      </c>
      <c r="C821" s="10" t="s">
        <v>70</v>
      </c>
      <c r="D821" s="7">
        <f t="shared" si="36"/>
        <v>45754.751388888886</v>
      </c>
      <c r="E821" t="str">
        <f t="shared" si="37"/>
        <v>07-04-2025 to 13-04-2025</v>
      </c>
      <c r="F821" t="str">
        <f>IF(COUNTIF('Top5'!I:I, G821) &gt; 0, "Yes", "No")</f>
        <v>No</v>
      </c>
      <c r="G821" t="str">
        <f t="shared" si="38"/>
        <v>07-04-2025 to 13-04-2025</v>
      </c>
    </row>
    <row r="822" spans="1:7">
      <c r="A822" s="1">
        <v>45754</v>
      </c>
      <c r="B822" s="6">
        <v>0.75416666666666665</v>
      </c>
      <c r="C822" s="10" t="s">
        <v>70</v>
      </c>
      <c r="D822" s="7">
        <f t="shared" si="36"/>
        <v>45754.754166666666</v>
      </c>
      <c r="E822" t="str">
        <f t="shared" si="37"/>
        <v>07-04-2025 to 13-04-2025</v>
      </c>
      <c r="F822" t="str">
        <f>IF(COUNTIF('Top5'!I:I, G822) &gt; 0, "Yes", "No")</f>
        <v>No</v>
      </c>
      <c r="G822" t="str">
        <f t="shared" si="38"/>
        <v>07-04-2025 to 13-04-2025</v>
      </c>
    </row>
    <row r="823" spans="1:7">
      <c r="A823" s="1">
        <v>45754</v>
      </c>
      <c r="B823" s="6">
        <v>0.77986111111111112</v>
      </c>
      <c r="C823" s="10" t="s">
        <v>70</v>
      </c>
      <c r="D823" s="7">
        <f t="shared" si="36"/>
        <v>45754.779861111114</v>
      </c>
      <c r="E823" t="str">
        <f t="shared" si="37"/>
        <v>07-04-2025 to 13-04-2025</v>
      </c>
      <c r="F823" t="str">
        <f>IF(COUNTIF('Top5'!I:I, G823) &gt; 0, "Yes", "No")</f>
        <v>No</v>
      </c>
      <c r="G823" t="str">
        <f t="shared" si="38"/>
        <v>07-04-2025 to 13-04-2025</v>
      </c>
    </row>
    <row r="824" spans="1:7">
      <c r="A824" s="1">
        <v>45754</v>
      </c>
      <c r="B824" s="6">
        <v>0.98124999999999996</v>
      </c>
      <c r="C824" s="10" t="s">
        <v>70</v>
      </c>
      <c r="D824" s="7">
        <f t="shared" si="36"/>
        <v>45754.981249999997</v>
      </c>
      <c r="E824" t="str">
        <f t="shared" si="37"/>
        <v>07-04-2025 to 13-04-2025</v>
      </c>
      <c r="F824" t="str">
        <f>IF(COUNTIF('Top5'!I:I, G824) &gt; 0, "Yes", "No")</f>
        <v>No</v>
      </c>
      <c r="G824" t="str">
        <f t="shared" si="38"/>
        <v>07-04-2025 to 13-04-2025</v>
      </c>
    </row>
    <row r="825" spans="1:7">
      <c r="A825" s="1">
        <v>45754</v>
      </c>
      <c r="B825" s="6">
        <v>0.9819444444444444</v>
      </c>
      <c r="C825" s="10" t="s">
        <v>70</v>
      </c>
      <c r="D825" s="7">
        <f t="shared" si="36"/>
        <v>45754.981944444444</v>
      </c>
      <c r="E825" t="str">
        <f t="shared" si="37"/>
        <v>07-04-2025 to 13-04-2025</v>
      </c>
      <c r="F825" t="str">
        <f>IF(COUNTIF('Top5'!I:I, G825) &gt; 0, "Yes", "No")</f>
        <v>No</v>
      </c>
      <c r="G825" t="str">
        <f t="shared" si="38"/>
        <v>07-04-2025 to 13-04-2025</v>
      </c>
    </row>
    <row r="826" spans="1:7">
      <c r="A826" s="1">
        <v>45754</v>
      </c>
      <c r="B826" s="6">
        <v>0.98263888888888884</v>
      </c>
      <c r="C826" s="10" t="s">
        <v>70</v>
      </c>
      <c r="D826" s="7">
        <f t="shared" si="36"/>
        <v>45754.982638888891</v>
      </c>
      <c r="E826" t="str">
        <f t="shared" si="37"/>
        <v>07-04-2025 to 13-04-2025</v>
      </c>
      <c r="F826" t="str">
        <f>IF(COUNTIF('Top5'!I:I, G826) &gt; 0, "Yes", "No")</f>
        <v>No</v>
      </c>
      <c r="G826" t="str">
        <f t="shared" si="38"/>
        <v>07-04-2025 to 13-04-2025</v>
      </c>
    </row>
    <row r="827" spans="1:7">
      <c r="A827" s="1">
        <v>45755</v>
      </c>
      <c r="B827" s="6">
        <v>0.4375</v>
      </c>
      <c r="C827" s="10" t="s">
        <v>22</v>
      </c>
      <c r="D827" s="7">
        <f t="shared" si="36"/>
        <v>45755.4375</v>
      </c>
      <c r="E827" t="str">
        <f t="shared" si="37"/>
        <v>08-04-2025 to 14-04-2025</v>
      </c>
      <c r="F827" t="str">
        <f>IF(COUNTIF('Top5'!I:I, G827) &gt; 0, "Yes", "No")</f>
        <v>No</v>
      </c>
      <c r="G827" t="str">
        <f t="shared" si="38"/>
        <v>08-04-2025 to 14-04-2025</v>
      </c>
    </row>
    <row r="828" spans="1:7">
      <c r="A828" s="1">
        <v>45755</v>
      </c>
      <c r="B828" s="6">
        <v>0.4513888888888889</v>
      </c>
      <c r="C828" s="10" t="s">
        <v>22</v>
      </c>
      <c r="D828" s="7">
        <f t="shared" si="36"/>
        <v>45755.451388888891</v>
      </c>
      <c r="E828" t="str">
        <f t="shared" si="37"/>
        <v>08-04-2025 to 14-04-2025</v>
      </c>
      <c r="F828" t="str">
        <f>IF(COUNTIF('Top5'!I:I, G828) &gt; 0, "Yes", "No")</f>
        <v>No</v>
      </c>
      <c r="G828" t="str">
        <f t="shared" si="38"/>
        <v>08-04-2025 to 14-04-2025</v>
      </c>
    </row>
    <row r="829" spans="1:7">
      <c r="A829" s="1">
        <v>45755</v>
      </c>
      <c r="B829" s="6">
        <v>0.5541666666666667</v>
      </c>
      <c r="C829" s="10" t="s">
        <v>71</v>
      </c>
      <c r="D829" s="7">
        <f t="shared" si="36"/>
        <v>45755.554166666669</v>
      </c>
      <c r="E829" t="str">
        <f t="shared" si="37"/>
        <v>08-04-2025 to 14-04-2025</v>
      </c>
      <c r="F829" t="str">
        <f>IF(COUNTIF('Top5'!I:I, G829) &gt; 0, "Yes", "No")</f>
        <v>No</v>
      </c>
      <c r="G829" t="str">
        <f t="shared" si="38"/>
        <v>08-04-2025 to 14-04-2025</v>
      </c>
    </row>
    <row r="830" spans="1:7">
      <c r="A830" s="1">
        <v>45755</v>
      </c>
      <c r="B830" s="6">
        <v>0.5805555555555556</v>
      </c>
      <c r="C830" s="10" t="s">
        <v>71</v>
      </c>
      <c r="D830" s="7">
        <f t="shared" si="36"/>
        <v>45755.580555555556</v>
      </c>
      <c r="E830" t="str">
        <f t="shared" si="37"/>
        <v>08-04-2025 to 14-04-2025</v>
      </c>
      <c r="F830" t="str">
        <f>IF(COUNTIF('Top5'!I:I, G830) &gt; 0, "Yes", "No")</f>
        <v>No</v>
      </c>
      <c r="G830" t="str">
        <f t="shared" si="38"/>
        <v>08-04-2025 to 14-04-2025</v>
      </c>
    </row>
    <row r="831" spans="1:7">
      <c r="A831" s="1">
        <v>45755</v>
      </c>
      <c r="B831" s="6">
        <v>0.73750000000000004</v>
      </c>
      <c r="C831" s="10" t="s">
        <v>70</v>
      </c>
      <c r="D831" s="7">
        <f t="shared" si="36"/>
        <v>45755.737500000003</v>
      </c>
      <c r="E831" t="str">
        <f t="shared" si="37"/>
        <v>08-04-2025 to 14-04-2025</v>
      </c>
      <c r="F831" t="str">
        <f>IF(COUNTIF('Top5'!I:I, G831) &gt; 0, "Yes", "No")</f>
        <v>No</v>
      </c>
      <c r="G831" t="str">
        <f t="shared" si="38"/>
        <v>08-04-2025 to 14-04-2025</v>
      </c>
    </row>
    <row r="832" spans="1:7">
      <c r="A832" s="1">
        <v>45755</v>
      </c>
      <c r="B832" s="6">
        <v>0.94791666666666663</v>
      </c>
      <c r="C832" s="10" t="s">
        <v>70</v>
      </c>
      <c r="D832" s="7">
        <f t="shared" si="36"/>
        <v>45755.947916666664</v>
      </c>
      <c r="E832" t="str">
        <f t="shared" si="37"/>
        <v>08-04-2025 to 14-04-2025</v>
      </c>
      <c r="F832" t="str">
        <f>IF(COUNTIF('Top5'!I:I, G832) &gt; 0, "Yes", "No")</f>
        <v>No</v>
      </c>
      <c r="G832" t="str">
        <f t="shared" si="38"/>
        <v>08-04-2025 to 14-04-2025</v>
      </c>
    </row>
    <row r="833" spans="1:7">
      <c r="A833" s="1">
        <v>45755</v>
      </c>
      <c r="B833" s="6">
        <v>0.94861111111111107</v>
      </c>
      <c r="C833" s="10" t="s">
        <v>70</v>
      </c>
      <c r="D833" s="7">
        <f t="shared" si="36"/>
        <v>45755.948611111111</v>
      </c>
      <c r="E833" t="str">
        <f t="shared" si="37"/>
        <v>08-04-2025 to 14-04-2025</v>
      </c>
      <c r="F833" t="str">
        <f>IF(COUNTIF('Top5'!I:I, G833) &gt; 0, "Yes", "No")</f>
        <v>No</v>
      </c>
      <c r="G833" t="str">
        <f t="shared" si="38"/>
        <v>08-04-2025 to 14-04-2025</v>
      </c>
    </row>
    <row r="834" spans="1:7">
      <c r="A834" s="1">
        <v>45756</v>
      </c>
      <c r="B834" s="6">
        <v>0.375</v>
      </c>
      <c r="C834" s="10" t="s">
        <v>22</v>
      </c>
      <c r="D834" s="7">
        <f t="shared" si="36"/>
        <v>45756.375</v>
      </c>
      <c r="E834" t="str">
        <f t="shared" si="37"/>
        <v>09-04-2025 to 15-04-2025</v>
      </c>
      <c r="F834" t="str">
        <f>IF(COUNTIF('Top5'!I:I, G834) &gt; 0, "Yes", "No")</f>
        <v>No</v>
      </c>
      <c r="G834" t="str">
        <f t="shared" si="38"/>
        <v>09-04-2025 to 15-04-2025</v>
      </c>
    </row>
    <row r="835" spans="1:7">
      <c r="A835" s="1">
        <v>45756</v>
      </c>
      <c r="B835" s="6">
        <v>0.41388888888888886</v>
      </c>
      <c r="C835" s="10" t="s">
        <v>22</v>
      </c>
      <c r="D835" s="7">
        <f t="shared" ref="D835:D898" si="39">VALUE(A835) + VALUE(B835)</f>
        <v>45756.413888888892</v>
      </c>
      <c r="E835" t="str">
        <f t="shared" ref="E835:E898" si="40">TEXT(D835, "dd-mm-yyyy") &amp; " to " &amp; TEXT(D835+6, "dd-mm-yyyy")</f>
        <v>09-04-2025 to 15-04-2025</v>
      </c>
      <c r="F835" t="str">
        <f>IF(COUNTIF('Top5'!I:I, G835) &gt; 0, "Yes", "No")</f>
        <v>No</v>
      </c>
      <c r="G835" t="str">
        <f t="shared" ref="G835:G898" si="41">TRIM(E835)</f>
        <v>09-04-2025 to 15-04-2025</v>
      </c>
    </row>
    <row r="836" spans="1:7">
      <c r="A836" s="1">
        <v>45756</v>
      </c>
      <c r="B836" s="6">
        <v>0.41458333333333336</v>
      </c>
      <c r="C836" s="10" t="s">
        <v>22</v>
      </c>
      <c r="D836" s="7">
        <f t="shared" si="39"/>
        <v>45756.414583333331</v>
      </c>
      <c r="E836" t="str">
        <f t="shared" si="40"/>
        <v>09-04-2025 to 15-04-2025</v>
      </c>
      <c r="F836" t="str">
        <f>IF(COUNTIF('Top5'!I:I, G836) &gt; 0, "Yes", "No")</f>
        <v>No</v>
      </c>
      <c r="G836" t="str">
        <f t="shared" si="41"/>
        <v>09-04-2025 to 15-04-2025</v>
      </c>
    </row>
    <row r="837" spans="1:7">
      <c r="A837" s="1">
        <v>45756</v>
      </c>
      <c r="B837" s="6">
        <v>0.4152777777777778</v>
      </c>
      <c r="C837" s="10" t="s">
        <v>22</v>
      </c>
      <c r="D837" s="7">
        <f t="shared" si="39"/>
        <v>45756.415277777778</v>
      </c>
      <c r="E837" t="str">
        <f t="shared" si="40"/>
        <v>09-04-2025 to 15-04-2025</v>
      </c>
      <c r="F837" t="str">
        <f>IF(COUNTIF('Top5'!I:I, G837) &gt; 0, "Yes", "No")</f>
        <v>No</v>
      </c>
      <c r="G837" t="str">
        <f t="shared" si="41"/>
        <v>09-04-2025 to 15-04-2025</v>
      </c>
    </row>
    <row r="838" spans="1:7">
      <c r="A838" s="1">
        <v>45756</v>
      </c>
      <c r="B838" s="6">
        <v>0.42083333333333334</v>
      </c>
      <c r="C838" s="10" t="s">
        <v>22</v>
      </c>
      <c r="D838" s="7">
        <f t="shared" si="39"/>
        <v>45756.42083333333</v>
      </c>
      <c r="E838" t="str">
        <f t="shared" si="40"/>
        <v>09-04-2025 to 15-04-2025</v>
      </c>
      <c r="F838" t="str">
        <f>IF(COUNTIF('Top5'!I:I, G838) &gt; 0, "Yes", "No")</f>
        <v>No</v>
      </c>
      <c r="G838" t="str">
        <f t="shared" si="41"/>
        <v>09-04-2025 to 15-04-2025</v>
      </c>
    </row>
    <row r="839" spans="1:7">
      <c r="A839" s="1">
        <v>45756</v>
      </c>
      <c r="B839" s="6">
        <v>0.42499999999999999</v>
      </c>
      <c r="C839" s="10" t="s">
        <v>22</v>
      </c>
      <c r="D839" s="7">
        <f t="shared" si="39"/>
        <v>45756.425000000003</v>
      </c>
      <c r="E839" t="str">
        <f t="shared" si="40"/>
        <v>09-04-2025 to 15-04-2025</v>
      </c>
      <c r="F839" t="str">
        <f>IF(COUNTIF('Top5'!I:I, G839) &gt; 0, "Yes", "No")</f>
        <v>No</v>
      </c>
      <c r="G839" t="str">
        <f t="shared" si="41"/>
        <v>09-04-2025 to 15-04-2025</v>
      </c>
    </row>
    <row r="840" spans="1:7">
      <c r="A840" s="1">
        <v>45756</v>
      </c>
      <c r="B840" s="6">
        <v>0.51458333333333328</v>
      </c>
      <c r="C840" s="10" t="s">
        <v>71</v>
      </c>
      <c r="D840" s="7">
        <f t="shared" si="39"/>
        <v>45756.51458333333</v>
      </c>
      <c r="E840" t="str">
        <f t="shared" si="40"/>
        <v>09-04-2025 to 15-04-2025</v>
      </c>
      <c r="F840" t="str">
        <f>IF(COUNTIF('Top5'!I:I, G840) &gt; 0, "Yes", "No")</f>
        <v>No</v>
      </c>
      <c r="G840" t="str">
        <f t="shared" si="41"/>
        <v>09-04-2025 to 15-04-2025</v>
      </c>
    </row>
    <row r="841" spans="1:7">
      <c r="A841" s="1">
        <v>45756</v>
      </c>
      <c r="B841" s="6">
        <v>0.64166666666666672</v>
      </c>
      <c r="C841" s="10" t="s">
        <v>71</v>
      </c>
      <c r="D841" s="7">
        <f t="shared" si="39"/>
        <v>45756.64166666667</v>
      </c>
      <c r="E841" t="str">
        <f t="shared" si="40"/>
        <v>09-04-2025 to 15-04-2025</v>
      </c>
      <c r="F841" t="str">
        <f>IF(COUNTIF('Top5'!I:I, G841) &gt; 0, "Yes", "No")</f>
        <v>No</v>
      </c>
      <c r="G841" t="str">
        <f t="shared" si="41"/>
        <v>09-04-2025 to 15-04-2025</v>
      </c>
    </row>
    <row r="842" spans="1:7">
      <c r="A842" s="1">
        <v>45756</v>
      </c>
      <c r="B842" s="6">
        <v>0.64513888888888893</v>
      </c>
      <c r="C842" s="10" t="s">
        <v>71</v>
      </c>
      <c r="D842" s="7">
        <f t="shared" si="39"/>
        <v>45756.645138888889</v>
      </c>
      <c r="E842" t="str">
        <f t="shared" si="40"/>
        <v>09-04-2025 to 15-04-2025</v>
      </c>
      <c r="F842" t="str">
        <f>IF(COUNTIF('Top5'!I:I, G842) &gt; 0, "Yes", "No")</f>
        <v>No</v>
      </c>
      <c r="G842" t="str">
        <f t="shared" si="41"/>
        <v>09-04-2025 to 15-04-2025</v>
      </c>
    </row>
    <row r="843" spans="1:7">
      <c r="A843" s="1">
        <v>45756</v>
      </c>
      <c r="B843" s="6">
        <v>0.74236111111111114</v>
      </c>
      <c r="C843" s="10" t="s">
        <v>70</v>
      </c>
      <c r="D843" s="7">
        <f t="shared" si="39"/>
        <v>45756.742361111108</v>
      </c>
      <c r="E843" t="str">
        <f t="shared" si="40"/>
        <v>09-04-2025 to 15-04-2025</v>
      </c>
      <c r="F843" t="str">
        <f>IF(COUNTIF('Top5'!I:I, G843) &gt; 0, "Yes", "No")</f>
        <v>No</v>
      </c>
      <c r="G843" t="str">
        <f t="shared" si="41"/>
        <v>09-04-2025 to 15-04-2025</v>
      </c>
    </row>
    <row r="844" spans="1:7">
      <c r="A844" s="1">
        <v>45756</v>
      </c>
      <c r="B844" s="6">
        <v>0.75069444444444444</v>
      </c>
      <c r="C844" s="10" t="s">
        <v>70</v>
      </c>
      <c r="D844" s="7">
        <f t="shared" si="39"/>
        <v>45756.750694444447</v>
      </c>
      <c r="E844" t="str">
        <f t="shared" si="40"/>
        <v>09-04-2025 to 15-04-2025</v>
      </c>
      <c r="F844" t="str">
        <f>IF(COUNTIF('Top5'!I:I, G844) &gt; 0, "Yes", "No")</f>
        <v>No</v>
      </c>
      <c r="G844" t="str">
        <f t="shared" si="41"/>
        <v>09-04-2025 to 15-04-2025</v>
      </c>
    </row>
    <row r="845" spans="1:7">
      <c r="A845" s="1">
        <v>45756</v>
      </c>
      <c r="B845" s="6">
        <v>0.99930555555555556</v>
      </c>
      <c r="C845" s="10" t="s">
        <v>70</v>
      </c>
      <c r="D845" s="7">
        <f t="shared" si="39"/>
        <v>45756.999305555553</v>
      </c>
      <c r="E845" t="str">
        <f t="shared" si="40"/>
        <v>09-04-2025 to 15-04-2025</v>
      </c>
      <c r="F845" t="str">
        <f>IF(COUNTIF('Top5'!I:I, G845) &gt; 0, "Yes", "No")</f>
        <v>No</v>
      </c>
      <c r="G845" t="str">
        <f t="shared" si="41"/>
        <v>09-04-2025 to 15-04-2025</v>
      </c>
    </row>
    <row r="846" spans="1:7">
      <c r="A846" s="1">
        <v>45757</v>
      </c>
      <c r="B846" s="6">
        <v>5.5555555555555558E-3</v>
      </c>
      <c r="C846" s="10" t="s">
        <v>70</v>
      </c>
      <c r="D846" s="7">
        <f t="shared" si="39"/>
        <v>45757.005555555559</v>
      </c>
      <c r="E846" t="str">
        <f t="shared" si="40"/>
        <v>10-04-2025 to 16-04-2025</v>
      </c>
      <c r="F846" t="str">
        <f>IF(COUNTIF('Top5'!I:I, G846) &gt; 0, "Yes", "No")</f>
        <v>No</v>
      </c>
      <c r="G846" t="str">
        <f t="shared" si="41"/>
        <v>10-04-2025 to 16-04-2025</v>
      </c>
    </row>
    <row r="847" spans="1:7">
      <c r="A847" s="1">
        <v>45757</v>
      </c>
      <c r="B847" s="6">
        <v>5.5555555555555558E-3</v>
      </c>
      <c r="C847" s="10" t="s">
        <v>70</v>
      </c>
      <c r="D847" s="7">
        <f t="shared" si="39"/>
        <v>45757.005555555559</v>
      </c>
      <c r="E847" t="str">
        <f t="shared" si="40"/>
        <v>10-04-2025 to 16-04-2025</v>
      </c>
      <c r="F847" t="str">
        <f>IF(COUNTIF('Top5'!I:I, G847) &gt; 0, "Yes", "No")</f>
        <v>No</v>
      </c>
      <c r="G847" t="str">
        <f t="shared" si="41"/>
        <v>10-04-2025 to 16-04-2025</v>
      </c>
    </row>
    <row r="848" spans="1:7">
      <c r="A848" s="1">
        <v>45757</v>
      </c>
      <c r="B848" s="6">
        <v>7.6388888888888886E-3</v>
      </c>
      <c r="C848" s="10" t="s">
        <v>70</v>
      </c>
      <c r="D848" s="7">
        <f t="shared" si="39"/>
        <v>45757.007638888892</v>
      </c>
      <c r="E848" t="str">
        <f t="shared" si="40"/>
        <v>10-04-2025 to 16-04-2025</v>
      </c>
      <c r="F848" t="str">
        <f>IF(COUNTIF('Top5'!I:I, G848) &gt; 0, "Yes", "No")</f>
        <v>No</v>
      </c>
      <c r="G848" t="str">
        <f t="shared" si="41"/>
        <v>10-04-2025 to 16-04-2025</v>
      </c>
    </row>
    <row r="849" spans="1:7">
      <c r="A849" s="1">
        <v>45757</v>
      </c>
      <c r="B849" s="6">
        <v>8.3333333333333332E-3</v>
      </c>
      <c r="C849" s="10" t="s">
        <v>70</v>
      </c>
      <c r="D849" s="7">
        <f t="shared" si="39"/>
        <v>45757.008333333331</v>
      </c>
      <c r="E849" t="str">
        <f t="shared" si="40"/>
        <v>10-04-2025 to 16-04-2025</v>
      </c>
      <c r="F849" t="str">
        <f>IF(COUNTIF('Top5'!I:I, G849) &gt; 0, "Yes", "No")</f>
        <v>No</v>
      </c>
      <c r="G849" t="str">
        <f t="shared" si="41"/>
        <v>10-04-2025 to 16-04-2025</v>
      </c>
    </row>
    <row r="850" spans="1:7">
      <c r="A850" s="1">
        <v>45757</v>
      </c>
      <c r="B850" s="6">
        <v>8.3333333333333332E-3</v>
      </c>
      <c r="C850" s="10" t="s">
        <v>70</v>
      </c>
      <c r="D850" s="7">
        <f t="shared" si="39"/>
        <v>45757.008333333331</v>
      </c>
      <c r="E850" t="str">
        <f t="shared" si="40"/>
        <v>10-04-2025 to 16-04-2025</v>
      </c>
      <c r="F850" t="str">
        <f>IF(COUNTIF('Top5'!I:I, G850) &gt; 0, "Yes", "No")</f>
        <v>No</v>
      </c>
      <c r="G850" t="str">
        <f t="shared" si="41"/>
        <v>10-04-2025 to 16-04-2025</v>
      </c>
    </row>
    <row r="851" spans="1:7">
      <c r="A851" s="1">
        <v>45757</v>
      </c>
      <c r="B851" s="6">
        <v>1.1111111111111112E-2</v>
      </c>
      <c r="C851" s="10" t="s">
        <v>70</v>
      </c>
      <c r="D851" s="7">
        <f t="shared" si="39"/>
        <v>45757.011111111111</v>
      </c>
      <c r="E851" t="str">
        <f t="shared" si="40"/>
        <v>10-04-2025 to 16-04-2025</v>
      </c>
      <c r="F851" t="str">
        <f>IF(COUNTIF('Top5'!I:I, G851) &gt; 0, "Yes", "No")</f>
        <v>No</v>
      </c>
      <c r="G851" t="str">
        <f t="shared" si="41"/>
        <v>10-04-2025 to 16-04-2025</v>
      </c>
    </row>
    <row r="852" spans="1:7">
      <c r="A852" s="1">
        <v>45757</v>
      </c>
      <c r="B852" s="6">
        <v>2.013888888888889E-2</v>
      </c>
      <c r="C852" s="10" t="s">
        <v>70</v>
      </c>
      <c r="D852" s="7">
        <f t="shared" si="39"/>
        <v>45757.020138888889</v>
      </c>
      <c r="E852" t="str">
        <f t="shared" si="40"/>
        <v>10-04-2025 to 16-04-2025</v>
      </c>
      <c r="F852" t="str">
        <f>IF(COUNTIF('Top5'!I:I, G852) &gt; 0, "Yes", "No")</f>
        <v>No</v>
      </c>
      <c r="G852" t="str">
        <f t="shared" si="41"/>
        <v>10-04-2025 to 16-04-2025</v>
      </c>
    </row>
    <row r="853" spans="1:7">
      <c r="A853" s="1">
        <v>45757</v>
      </c>
      <c r="B853" s="6">
        <v>0.36388888888888887</v>
      </c>
      <c r="C853" s="10" t="s">
        <v>22</v>
      </c>
      <c r="D853" s="7">
        <f t="shared" si="39"/>
        <v>45757.363888888889</v>
      </c>
      <c r="E853" t="str">
        <f t="shared" si="40"/>
        <v>10-04-2025 to 16-04-2025</v>
      </c>
      <c r="F853" t="str">
        <f>IF(COUNTIF('Top5'!I:I, G853) &gt; 0, "Yes", "No")</f>
        <v>No</v>
      </c>
      <c r="G853" t="str">
        <f t="shared" si="41"/>
        <v>10-04-2025 to 16-04-2025</v>
      </c>
    </row>
    <row r="854" spans="1:7">
      <c r="A854" s="1">
        <v>45757</v>
      </c>
      <c r="B854" s="6">
        <v>0.42152777777777778</v>
      </c>
      <c r="C854" s="10" t="s">
        <v>22</v>
      </c>
      <c r="D854" s="7">
        <f t="shared" si="39"/>
        <v>45757.421527777777</v>
      </c>
      <c r="E854" t="str">
        <f t="shared" si="40"/>
        <v>10-04-2025 to 16-04-2025</v>
      </c>
      <c r="F854" t="str">
        <f>IF(COUNTIF('Top5'!I:I, G854) &gt; 0, "Yes", "No")</f>
        <v>No</v>
      </c>
      <c r="G854" t="str">
        <f t="shared" si="41"/>
        <v>10-04-2025 to 16-04-2025</v>
      </c>
    </row>
    <row r="855" spans="1:7">
      <c r="A855" s="1">
        <v>45757</v>
      </c>
      <c r="B855" s="6">
        <v>0.42291666666666666</v>
      </c>
      <c r="C855" s="10" t="s">
        <v>22</v>
      </c>
      <c r="D855" s="7">
        <f t="shared" si="39"/>
        <v>45757.42291666667</v>
      </c>
      <c r="E855" t="str">
        <f t="shared" si="40"/>
        <v>10-04-2025 to 16-04-2025</v>
      </c>
      <c r="F855" t="str">
        <f>IF(COUNTIF('Top5'!I:I, G855) &gt; 0, "Yes", "No")</f>
        <v>No</v>
      </c>
      <c r="G855" t="str">
        <f t="shared" si="41"/>
        <v>10-04-2025 to 16-04-2025</v>
      </c>
    </row>
    <row r="856" spans="1:7">
      <c r="A856" s="1">
        <v>45757</v>
      </c>
      <c r="B856" s="6">
        <v>0.4236111111111111</v>
      </c>
      <c r="C856" s="10" t="s">
        <v>22</v>
      </c>
      <c r="D856" s="7">
        <f t="shared" si="39"/>
        <v>45757.423611111109</v>
      </c>
      <c r="E856" t="str">
        <f t="shared" si="40"/>
        <v>10-04-2025 to 16-04-2025</v>
      </c>
      <c r="F856" t="str">
        <f>IF(COUNTIF('Top5'!I:I, G856) &gt; 0, "Yes", "No")</f>
        <v>No</v>
      </c>
      <c r="G856" t="str">
        <f t="shared" si="41"/>
        <v>10-04-2025 to 16-04-2025</v>
      </c>
    </row>
    <row r="857" spans="1:7">
      <c r="A857" s="1">
        <v>45757</v>
      </c>
      <c r="B857" s="6">
        <v>0.43888888888888888</v>
      </c>
      <c r="C857" s="10" t="s">
        <v>22</v>
      </c>
      <c r="D857" s="7">
        <f t="shared" si="39"/>
        <v>45757.438888888886</v>
      </c>
      <c r="E857" t="str">
        <f t="shared" si="40"/>
        <v>10-04-2025 to 16-04-2025</v>
      </c>
      <c r="F857" t="str">
        <f>IF(COUNTIF('Top5'!I:I, G857) &gt; 0, "Yes", "No")</f>
        <v>No</v>
      </c>
      <c r="G857" t="str">
        <f t="shared" si="41"/>
        <v>10-04-2025 to 16-04-2025</v>
      </c>
    </row>
    <row r="858" spans="1:7">
      <c r="A858" s="1">
        <v>45757</v>
      </c>
      <c r="B858" s="6">
        <v>0.57847222222222228</v>
      </c>
      <c r="C858" s="10" t="s">
        <v>71</v>
      </c>
      <c r="D858" s="7">
        <f t="shared" si="39"/>
        <v>45757.578472222223</v>
      </c>
      <c r="E858" t="str">
        <f t="shared" si="40"/>
        <v>10-04-2025 to 16-04-2025</v>
      </c>
      <c r="F858" t="str">
        <f>IF(COUNTIF('Top5'!I:I, G858) &gt; 0, "Yes", "No")</f>
        <v>No</v>
      </c>
      <c r="G858" t="str">
        <f t="shared" si="41"/>
        <v>10-04-2025 to 16-04-2025</v>
      </c>
    </row>
    <row r="859" spans="1:7">
      <c r="A859" s="1">
        <v>45757</v>
      </c>
      <c r="B859" s="6">
        <v>0.63958333333333328</v>
      </c>
      <c r="C859" s="10" t="s">
        <v>71</v>
      </c>
      <c r="D859" s="7">
        <f t="shared" si="39"/>
        <v>45757.63958333333</v>
      </c>
      <c r="E859" t="str">
        <f t="shared" si="40"/>
        <v>10-04-2025 to 16-04-2025</v>
      </c>
      <c r="F859" t="str">
        <f>IF(COUNTIF('Top5'!I:I, G859) &gt; 0, "Yes", "No")</f>
        <v>No</v>
      </c>
      <c r="G859" t="str">
        <f t="shared" si="41"/>
        <v>10-04-2025 to 16-04-2025</v>
      </c>
    </row>
    <row r="860" spans="1:7">
      <c r="A860" s="1">
        <v>45758</v>
      </c>
      <c r="B860" s="6">
        <v>2.0833333333333333E-3</v>
      </c>
      <c r="C860" s="10" t="s">
        <v>70</v>
      </c>
      <c r="D860" s="7">
        <f t="shared" si="39"/>
        <v>45758.002083333333</v>
      </c>
      <c r="E860" t="str">
        <f t="shared" si="40"/>
        <v>11-04-2025 to 17-04-2025</v>
      </c>
      <c r="F860" t="str">
        <f>IF(COUNTIF('Top5'!I:I, G860) &gt; 0, "Yes", "No")</f>
        <v>No</v>
      </c>
      <c r="G860" t="str">
        <f t="shared" si="41"/>
        <v>11-04-2025 to 17-04-2025</v>
      </c>
    </row>
    <row r="861" spans="1:7">
      <c r="A861" s="1">
        <v>45758</v>
      </c>
      <c r="B861" s="6">
        <v>2.7777777777777779E-3</v>
      </c>
      <c r="C861" s="10" t="s">
        <v>70</v>
      </c>
      <c r="D861" s="7">
        <f t="shared" si="39"/>
        <v>45758.00277777778</v>
      </c>
      <c r="E861" t="str">
        <f t="shared" si="40"/>
        <v>11-04-2025 to 17-04-2025</v>
      </c>
      <c r="F861" t="str">
        <f>IF(COUNTIF('Top5'!I:I, G861) &gt; 0, "Yes", "No")</f>
        <v>No</v>
      </c>
      <c r="G861" t="str">
        <f t="shared" si="41"/>
        <v>11-04-2025 to 17-04-2025</v>
      </c>
    </row>
    <row r="862" spans="1:7">
      <c r="A862" s="1">
        <v>45758</v>
      </c>
      <c r="B862" s="6">
        <v>5.5555555555555558E-3</v>
      </c>
      <c r="C862" s="10" t="s">
        <v>70</v>
      </c>
      <c r="D862" s="7">
        <f t="shared" si="39"/>
        <v>45758.005555555559</v>
      </c>
      <c r="E862" t="str">
        <f t="shared" si="40"/>
        <v>11-04-2025 to 17-04-2025</v>
      </c>
      <c r="F862" t="str">
        <f>IF(COUNTIF('Top5'!I:I, G862) &gt; 0, "Yes", "No")</f>
        <v>No</v>
      </c>
      <c r="G862" t="str">
        <f t="shared" si="41"/>
        <v>11-04-2025 to 17-04-2025</v>
      </c>
    </row>
    <row r="863" spans="1:7">
      <c r="A863" s="1">
        <v>45758</v>
      </c>
      <c r="B863" s="6">
        <v>0.52013888888888893</v>
      </c>
      <c r="C863" s="10" t="s">
        <v>71</v>
      </c>
      <c r="D863" s="7">
        <f t="shared" si="39"/>
        <v>45758.520138888889</v>
      </c>
      <c r="E863" t="str">
        <f t="shared" si="40"/>
        <v>11-04-2025 to 17-04-2025</v>
      </c>
      <c r="F863" t="str">
        <f>IF(COUNTIF('Top5'!I:I, G863) &gt; 0, "Yes", "No")</f>
        <v>No</v>
      </c>
      <c r="G863" t="str">
        <f t="shared" si="41"/>
        <v>11-04-2025 to 17-04-2025</v>
      </c>
    </row>
    <row r="864" spans="1:7">
      <c r="A864" s="1">
        <v>45758</v>
      </c>
      <c r="B864" s="6">
        <v>0.92291666666666672</v>
      </c>
      <c r="C864" s="10" t="s">
        <v>70</v>
      </c>
      <c r="D864" s="7">
        <f t="shared" si="39"/>
        <v>45758.92291666667</v>
      </c>
      <c r="E864" t="str">
        <f t="shared" si="40"/>
        <v>11-04-2025 to 17-04-2025</v>
      </c>
      <c r="F864" t="str">
        <f>IF(COUNTIF('Top5'!I:I, G864) &gt; 0, "Yes", "No")</f>
        <v>No</v>
      </c>
      <c r="G864" t="str">
        <f t="shared" si="41"/>
        <v>11-04-2025 to 17-04-2025</v>
      </c>
    </row>
    <row r="865" spans="1:7">
      <c r="A865" s="1">
        <v>45758</v>
      </c>
      <c r="B865" s="6">
        <v>0.98750000000000004</v>
      </c>
      <c r="C865" s="10" t="s">
        <v>70</v>
      </c>
      <c r="D865" s="7">
        <f t="shared" si="39"/>
        <v>45758.987500000003</v>
      </c>
      <c r="E865" t="str">
        <f t="shared" si="40"/>
        <v>11-04-2025 to 17-04-2025</v>
      </c>
      <c r="F865" t="str">
        <f>IF(COUNTIF('Top5'!I:I, G865) &gt; 0, "Yes", "No")</f>
        <v>No</v>
      </c>
      <c r="G865" t="str">
        <f t="shared" si="41"/>
        <v>11-04-2025 to 17-04-2025</v>
      </c>
    </row>
    <row r="866" spans="1:7">
      <c r="A866" s="1">
        <v>45759</v>
      </c>
      <c r="B866" s="6">
        <v>4.8611111111111112E-3</v>
      </c>
      <c r="C866" s="10" t="s">
        <v>70</v>
      </c>
      <c r="D866" s="7">
        <f t="shared" si="39"/>
        <v>45759.004861111112</v>
      </c>
      <c r="E866" t="str">
        <f t="shared" si="40"/>
        <v>12-04-2025 to 18-04-2025</v>
      </c>
      <c r="F866" t="str">
        <f>IF(COUNTIF('Top5'!I:I, G866) &gt; 0, "Yes", "No")</f>
        <v>No</v>
      </c>
      <c r="G866" t="str">
        <f t="shared" si="41"/>
        <v>12-04-2025 to 18-04-2025</v>
      </c>
    </row>
    <row r="867" spans="1:7">
      <c r="A867" s="1">
        <v>45759</v>
      </c>
      <c r="B867" s="6">
        <v>4.8611111111111112E-3</v>
      </c>
      <c r="C867" s="10" t="s">
        <v>70</v>
      </c>
      <c r="D867" s="7">
        <f t="shared" si="39"/>
        <v>45759.004861111112</v>
      </c>
      <c r="E867" t="str">
        <f t="shared" si="40"/>
        <v>12-04-2025 to 18-04-2025</v>
      </c>
      <c r="F867" t="str">
        <f>IF(COUNTIF('Top5'!I:I, G867) &gt; 0, "Yes", "No")</f>
        <v>No</v>
      </c>
      <c r="G867" t="str">
        <f t="shared" si="41"/>
        <v>12-04-2025 to 18-04-2025</v>
      </c>
    </row>
    <row r="868" spans="1:7">
      <c r="A868" s="1">
        <v>45759</v>
      </c>
      <c r="B868" s="6">
        <v>4.8611111111111112E-3</v>
      </c>
      <c r="C868" s="10" t="s">
        <v>70</v>
      </c>
      <c r="D868" s="7">
        <f t="shared" si="39"/>
        <v>45759.004861111112</v>
      </c>
      <c r="E868" t="str">
        <f t="shared" si="40"/>
        <v>12-04-2025 to 18-04-2025</v>
      </c>
      <c r="F868" t="str">
        <f>IF(COUNTIF('Top5'!I:I, G868) &gt; 0, "Yes", "No")</f>
        <v>No</v>
      </c>
      <c r="G868" t="str">
        <f t="shared" si="41"/>
        <v>12-04-2025 to 18-04-2025</v>
      </c>
    </row>
    <row r="869" spans="1:7">
      <c r="A869" s="1">
        <v>45759</v>
      </c>
      <c r="B869" s="6">
        <v>4.8611111111111112E-3</v>
      </c>
      <c r="C869" s="10" t="s">
        <v>70</v>
      </c>
      <c r="D869" s="7">
        <f t="shared" si="39"/>
        <v>45759.004861111112</v>
      </c>
      <c r="E869" t="str">
        <f t="shared" si="40"/>
        <v>12-04-2025 to 18-04-2025</v>
      </c>
      <c r="F869" t="str">
        <f>IF(COUNTIF('Top5'!I:I, G869) &gt; 0, "Yes", "No")</f>
        <v>No</v>
      </c>
      <c r="G869" t="str">
        <f t="shared" si="41"/>
        <v>12-04-2025 to 18-04-2025</v>
      </c>
    </row>
    <row r="870" spans="1:7">
      <c r="A870" s="1">
        <v>45759</v>
      </c>
      <c r="B870" s="6">
        <v>4.8611111111111112E-3</v>
      </c>
      <c r="C870" s="10" t="s">
        <v>70</v>
      </c>
      <c r="D870" s="7">
        <f t="shared" si="39"/>
        <v>45759.004861111112</v>
      </c>
      <c r="E870" t="str">
        <f t="shared" si="40"/>
        <v>12-04-2025 to 18-04-2025</v>
      </c>
      <c r="F870" t="str">
        <f>IF(COUNTIF('Top5'!I:I, G870) &gt; 0, "Yes", "No")</f>
        <v>No</v>
      </c>
      <c r="G870" t="str">
        <f t="shared" si="41"/>
        <v>12-04-2025 to 18-04-2025</v>
      </c>
    </row>
    <row r="871" spans="1:7">
      <c r="A871" s="1">
        <v>45759</v>
      </c>
      <c r="B871" s="6">
        <v>4.8611111111111112E-3</v>
      </c>
      <c r="C871" s="10" t="s">
        <v>70</v>
      </c>
      <c r="D871" s="7">
        <f t="shared" si="39"/>
        <v>45759.004861111112</v>
      </c>
      <c r="E871" t="str">
        <f t="shared" si="40"/>
        <v>12-04-2025 to 18-04-2025</v>
      </c>
      <c r="F871" t="str">
        <f>IF(COUNTIF('Top5'!I:I, G871) &gt; 0, "Yes", "No")</f>
        <v>No</v>
      </c>
      <c r="G871" t="str">
        <f t="shared" si="41"/>
        <v>12-04-2025 to 18-04-2025</v>
      </c>
    </row>
    <row r="872" spans="1:7">
      <c r="A872" s="1">
        <v>45759</v>
      </c>
      <c r="B872" s="6">
        <v>0.40486111111111112</v>
      </c>
      <c r="C872" s="10" t="s">
        <v>22</v>
      </c>
      <c r="D872" s="7">
        <f t="shared" si="39"/>
        <v>45759.404861111114</v>
      </c>
      <c r="E872" t="str">
        <f t="shared" si="40"/>
        <v>12-04-2025 to 18-04-2025</v>
      </c>
      <c r="F872" t="str">
        <f>IF(COUNTIF('Top5'!I:I, G872) &gt; 0, "Yes", "No")</f>
        <v>No</v>
      </c>
      <c r="G872" t="str">
        <f t="shared" si="41"/>
        <v>12-04-2025 to 18-04-2025</v>
      </c>
    </row>
    <row r="873" spans="1:7">
      <c r="A873" s="1">
        <v>45759</v>
      </c>
      <c r="B873" s="6">
        <v>0.40555555555555556</v>
      </c>
      <c r="C873" s="10" t="s">
        <v>22</v>
      </c>
      <c r="D873" s="7">
        <f t="shared" si="39"/>
        <v>45759.405555555553</v>
      </c>
      <c r="E873" t="str">
        <f t="shared" si="40"/>
        <v>12-04-2025 to 18-04-2025</v>
      </c>
      <c r="F873" t="str">
        <f>IF(COUNTIF('Top5'!I:I, G873) &gt; 0, "Yes", "No")</f>
        <v>No</v>
      </c>
      <c r="G873" t="str">
        <f t="shared" si="41"/>
        <v>12-04-2025 to 18-04-2025</v>
      </c>
    </row>
    <row r="874" spans="1:7">
      <c r="A874" s="1">
        <v>45759</v>
      </c>
      <c r="B874" s="6">
        <v>0.42291666666666666</v>
      </c>
      <c r="C874" s="10" t="s">
        <v>22</v>
      </c>
      <c r="D874" s="7">
        <f t="shared" si="39"/>
        <v>45759.42291666667</v>
      </c>
      <c r="E874" t="str">
        <f t="shared" si="40"/>
        <v>12-04-2025 to 18-04-2025</v>
      </c>
      <c r="F874" t="str">
        <f>IF(COUNTIF('Top5'!I:I, G874) &gt; 0, "Yes", "No")</f>
        <v>No</v>
      </c>
      <c r="G874" t="str">
        <f t="shared" si="41"/>
        <v>12-04-2025 to 18-04-2025</v>
      </c>
    </row>
    <row r="875" spans="1:7">
      <c r="A875" s="1">
        <v>45759</v>
      </c>
      <c r="B875" s="6">
        <v>0.42569444444444443</v>
      </c>
      <c r="C875" s="10" t="s">
        <v>22</v>
      </c>
      <c r="D875" s="7">
        <f t="shared" si="39"/>
        <v>45759.425694444442</v>
      </c>
      <c r="E875" t="str">
        <f t="shared" si="40"/>
        <v>12-04-2025 to 18-04-2025</v>
      </c>
      <c r="F875" t="str">
        <f>IF(COUNTIF('Top5'!I:I, G875) &gt; 0, "Yes", "No")</f>
        <v>No</v>
      </c>
      <c r="G875" t="str">
        <f t="shared" si="41"/>
        <v>12-04-2025 to 18-04-2025</v>
      </c>
    </row>
    <row r="876" spans="1:7">
      <c r="A876" s="1">
        <v>45759</v>
      </c>
      <c r="B876" s="6">
        <v>0.42708333333333331</v>
      </c>
      <c r="C876" s="10" t="s">
        <v>22</v>
      </c>
      <c r="D876" s="7">
        <f t="shared" si="39"/>
        <v>45759.427083333336</v>
      </c>
      <c r="E876" t="str">
        <f t="shared" si="40"/>
        <v>12-04-2025 to 18-04-2025</v>
      </c>
      <c r="F876" t="str">
        <f>IF(COUNTIF('Top5'!I:I, G876) &gt; 0, "Yes", "No")</f>
        <v>No</v>
      </c>
      <c r="G876" t="str">
        <f t="shared" si="41"/>
        <v>12-04-2025 to 18-04-2025</v>
      </c>
    </row>
    <row r="877" spans="1:7">
      <c r="A877" s="1">
        <v>45759</v>
      </c>
      <c r="B877" s="6">
        <v>0.79305555555555551</v>
      </c>
      <c r="C877" s="10" t="s">
        <v>70</v>
      </c>
      <c r="D877" s="7">
        <f t="shared" si="39"/>
        <v>45759.793055555558</v>
      </c>
      <c r="E877" t="str">
        <f t="shared" si="40"/>
        <v>12-04-2025 to 18-04-2025</v>
      </c>
      <c r="F877" t="str">
        <f>IF(COUNTIF('Top5'!I:I, G877) &gt; 0, "Yes", "No")</f>
        <v>No</v>
      </c>
      <c r="G877" t="str">
        <f t="shared" si="41"/>
        <v>12-04-2025 to 18-04-2025</v>
      </c>
    </row>
    <row r="878" spans="1:7">
      <c r="A878" s="1">
        <v>45760</v>
      </c>
      <c r="B878" s="6">
        <v>0.375</v>
      </c>
      <c r="C878" s="10" t="s">
        <v>22</v>
      </c>
      <c r="D878" s="7">
        <f t="shared" si="39"/>
        <v>45760.375</v>
      </c>
      <c r="E878" t="str">
        <f t="shared" si="40"/>
        <v>13-04-2025 to 19-04-2025</v>
      </c>
      <c r="F878" t="str">
        <f>IF(COUNTIF('Top5'!I:I, G878) &gt; 0, "Yes", "No")</f>
        <v>No</v>
      </c>
      <c r="G878" t="str">
        <f t="shared" si="41"/>
        <v>13-04-2025 to 19-04-2025</v>
      </c>
    </row>
    <row r="879" spans="1:7">
      <c r="A879" s="1">
        <v>45760</v>
      </c>
      <c r="B879" s="6">
        <v>0.37916666666666665</v>
      </c>
      <c r="C879" s="10" t="s">
        <v>22</v>
      </c>
      <c r="D879" s="7">
        <f t="shared" si="39"/>
        <v>45760.379166666666</v>
      </c>
      <c r="E879" t="str">
        <f t="shared" si="40"/>
        <v>13-04-2025 to 19-04-2025</v>
      </c>
      <c r="F879" t="str">
        <f>IF(COUNTIF('Top5'!I:I, G879) &gt; 0, "Yes", "No")</f>
        <v>No</v>
      </c>
      <c r="G879" t="str">
        <f t="shared" si="41"/>
        <v>13-04-2025 to 19-04-2025</v>
      </c>
    </row>
    <row r="880" spans="1:7">
      <c r="A880" s="1">
        <v>45760</v>
      </c>
      <c r="B880" s="6">
        <v>0.62430555555555556</v>
      </c>
      <c r="C880" s="10" t="s">
        <v>71</v>
      </c>
      <c r="D880" s="7">
        <f t="shared" si="39"/>
        <v>45760.624305555553</v>
      </c>
      <c r="E880" t="str">
        <f t="shared" si="40"/>
        <v>13-04-2025 to 19-04-2025</v>
      </c>
      <c r="F880" t="str">
        <f>IF(COUNTIF('Top5'!I:I, G880) &gt; 0, "Yes", "No")</f>
        <v>No</v>
      </c>
      <c r="G880" t="str">
        <f t="shared" si="41"/>
        <v>13-04-2025 to 19-04-2025</v>
      </c>
    </row>
    <row r="881" spans="1:7">
      <c r="A881" s="1">
        <v>45760</v>
      </c>
      <c r="B881" s="6">
        <v>0.625</v>
      </c>
      <c r="C881" s="10" t="s">
        <v>71</v>
      </c>
      <c r="D881" s="7">
        <f t="shared" si="39"/>
        <v>45760.625</v>
      </c>
      <c r="E881" t="str">
        <f t="shared" si="40"/>
        <v>13-04-2025 to 19-04-2025</v>
      </c>
      <c r="F881" t="str">
        <f>IF(COUNTIF('Top5'!I:I, G881) &gt; 0, "Yes", "No")</f>
        <v>No</v>
      </c>
      <c r="G881" t="str">
        <f t="shared" si="41"/>
        <v>13-04-2025 to 19-04-2025</v>
      </c>
    </row>
    <row r="882" spans="1:7">
      <c r="A882" s="1">
        <v>45760</v>
      </c>
      <c r="B882" s="6">
        <v>0.67291666666666672</v>
      </c>
      <c r="C882" s="10" t="s">
        <v>71</v>
      </c>
      <c r="D882" s="7">
        <f t="shared" si="39"/>
        <v>45760.67291666667</v>
      </c>
      <c r="E882" t="str">
        <f t="shared" si="40"/>
        <v>13-04-2025 to 19-04-2025</v>
      </c>
      <c r="F882" t="str">
        <f>IF(COUNTIF('Top5'!I:I, G882) &gt; 0, "Yes", "No")</f>
        <v>No</v>
      </c>
      <c r="G882" t="str">
        <f t="shared" si="41"/>
        <v>13-04-2025 to 19-04-2025</v>
      </c>
    </row>
    <row r="883" spans="1:7">
      <c r="A883" s="1">
        <v>45761</v>
      </c>
      <c r="B883" s="6">
        <v>0.50277777777777777</v>
      </c>
      <c r="C883" s="10" t="s">
        <v>71</v>
      </c>
      <c r="D883" s="7">
        <f t="shared" si="39"/>
        <v>45761.50277777778</v>
      </c>
      <c r="E883" t="str">
        <f t="shared" si="40"/>
        <v>14-04-2025 to 20-04-2025</v>
      </c>
      <c r="F883" t="str">
        <f>IF(COUNTIF('Top5'!I:I, G883) &gt; 0, "Yes", "No")</f>
        <v>No</v>
      </c>
      <c r="G883" t="str">
        <f t="shared" si="41"/>
        <v>14-04-2025 to 20-04-2025</v>
      </c>
    </row>
    <row r="884" spans="1:7">
      <c r="A884" s="1">
        <v>45761</v>
      </c>
      <c r="B884" s="6">
        <v>0.51736111111111116</v>
      </c>
      <c r="C884" s="10" t="s">
        <v>71</v>
      </c>
      <c r="D884" s="7">
        <f t="shared" si="39"/>
        <v>45761.517361111109</v>
      </c>
      <c r="E884" t="str">
        <f t="shared" si="40"/>
        <v>14-04-2025 to 20-04-2025</v>
      </c>
      <c r="F884" t="str">
        <f>IF(COUNTIF('Top5'!I:I, G884) &gt; 0, "Yes", "No")</f>
        <v>No</v>
      </c>
      <c r="G884" t="str">
        <f t="shared" si="41"/>
        <v>14-04-2025 to 20-04-2025</v>
      </c>
    </row>
    <row r="885" spans="1:7">
      <c r="A885" s="1">
        <v>45761</v>
      </c>
      <c r="B885" s="6">
        <v>0.5854166666666667</v>
      </c>
      <c r="C885" s="10" t="s">
        <v>71</v>
      </c>
      <c r="D885" s="7">
        <f t="shared" si="39"/>
        <v>45761.585416666669</v>
      </c>
      <c r="E885" t="str">
        <f t="shared" si="40"/>
        <v>14-04-2025 to 20-04-2025</v>
      </c>
      <c r="F885" t="str">
        <f>IF(COUNTIF('Top5'!I:I, G885) &gt; 0, "Yes", "No")</f>
        <v>No</v>
      </c>
      <c r="G885" t="str">
        <f t="shared" si="41"/>
        <v>14-04-2025 to 20-04-2025</v>
      </c>
    </row>
    <row r="886" spans="1:7">
      <c r="A886" s="1">
        <v>45761</v>
      </c>
      <c r="B886" s="6">
        <v>0.77013888888888893</v>
      </c>
      <c r="C886" s="10" t="s">
        <v>70</v>
      </c>
      <c r="D886" s="7">
        <f t="shared" si="39"/>
        <v>45761.770138888889</v>
      </c>
      <c r="E886" t="str">
        <f t="shared" si="40"/>
        <v>14-04-2025 to 20-04-2025</v>
      </c>
      <c r="F886" t="str">
        <f>IF(COUNTIF('Top5'!I:I, G886) &gt; 0, "Yes", "No")</f>
        <v>No</v>
      </c>
      <c r="G886" t="str">
        <f t="shared" si="41"/>
        <v>14-04-2025 to 20-04-2025</v>
      </c>
    </row>
    <row r="887" spans="1:7">
      <c r="A887" s="1">
        <v>45761</v>
      </c>
      <c r="B887" s="6">
        <v>0.77152777777777781</v>
      </c>
      <c r="C887" s="10" t="s">
        <v>70</v>
      </c>
      <c r="D887" s="7">
        <f t="shared" si="39"/>
        <v>45761.771527777775</v>
      </c>
      <c r="E887" t="str">
        <f t="shared" si="40"/>
        <v>14-04-2025 to 20-04-2025</v>
      </c>
      <c r="F887" t="str">
        <f>IF(COUNTIF('Top5'!I:I, G887) &gt; 0, "Yes", "No")</f>
        <v>No</v>
      </c>
      <c r="G887" t="str">
        <f t="shared" si="41"/>
        <v>14-04-2025 to 20-04-2025</v>
      </c>
    </row>
    <row r="888" spans="1:7">
      <c r="A888" s="1">
        <v>45761</v>
      </c>
      <c r="B888" s="6">
        <v>0.78472222222222221</v>
      </c>
      <c r="C888" s="10" t="s">
        <v>70</v>
      </c>
      <c r="D888" s="7">
        <f t="shared" si="39"/>
        <v>45761.784722222219</v>
      </c>
      <c r="E888" t="str">
        <f t="shared" si="40"/>
        <v>14-04-2025 to 20-04-2025</v>
      </c>
      <c r="F888" t="str">
        <f>IF(COUNTIF('Top5'!I:I, G888) &gt; 0, "Yes", "No")</f>
        <v>No</v>
      </c>
      <c r="G888" t="str">
        <f t="shared" si="41"/>
        <v>14-04-2025 to 20-04-2025</v>
      </c>
    </row>
    <row r="889" spans="1:7">
      <c r="A889" s="1">
        <v>45761</v>
      </c>
      <c r="B889" s="6">
        <v>0.85416666666666663</v>
      </c>
      <c r="C889" s="10" t="s">
        <v>70</v>
      </c>
      <c r="D889" s="7">
        <f t="shared" si="39"/>
        <v>45761.854166666664</v>
      </c>
      <c r="E889" t="str">
        <f t="shared" si="40"/>
        <v>14-04-2025 to 20-04-2025</v>
      </c>
      <c r="F889" t="str">
        <f>IF(COUNTIF('Top5'!I:I, G889) &gt; 0, "Yes", "No")</f>
        <v>No</v>
      </c>
      <c r="G889" t="str">
        <f t="shared" si="41"/>
        <v>14-04-2025 to 20-04-2025</v>
      </c>
    </row>
    <row r="890" spans="1:7">
      <c r="A890" s="1">
        <v>45762</v>
      </c>
      <c r="B890" s="6">
        <v>0.41666666666666669</v>
      </c>
      <c r="C890" s="10" t="s">
        <v>22</v>
      </c>
      <c r="D890" s="7">
        <f t="shared" si="39"/>
        <v>45762.416666666664</v>
      </c>
      <c r="E890" t="str">
        <f t="shared" si="40"/>
        <v>15-04-2025 to 21-04-2025</v>
      </c>
      <c r="F890" t="str">
        <f>IF(COUNTIF('Top5'!I:I, G890) &gt; 0, "Yes", "No")</f>
        <v>No</v>
      </c>
      <c r="G890" t="str">
        <f t="shared" si="41"/>
        <v>15-04-2025 to 21-04-2025</v>
      </c>
    </row>
    <row r="891" spans="1:7">
      <c r="A891" s="1">
        <v>45762</v>
      </c>
      <c r="B891" s="6">
        <v>0.45763888888888887</v>
      </c>
      <c r="C891" s="10" t="s">
        <v>22</v>
      </c>
      <c r="D891" s="7">
        <f t="shared" si="39"/>
        <v>45762.457638888889</v>
      </c>
      <c r="E891" t="str">
        <f t="shared" si="40"/>
        <v>15-04-2025 to 21-04-2025</v>
      </c>
      <c r="F891" t="str">
        <f>IF(COUNTIF('Top5'!I:I, G891) &gt; 0, "Yes", "No")</f>
        <v>No</v>
      </c>
      <c r="G891" t="str">
        <f t="shared" si="41"/>
        <v>15-04-2025 to 21-04-2025</v>
      </c>
    </row>
    <row r="892" spans="1:7">
      <c r="A892" s="1">
        <v>45762</v>
      </c>
      <c r="B892" s="6">
        <v>0.45763888888888887</v>
      </c>
      <c r="C892" s="10" t="s">
        <v>22</v>
      </c>
      <c r="D892" s="7">
        <f t="shared" si="39"/>
        <v>45762.457638888889</v>
      </c>
      <c r="E892" t="str">
        <f t="shared" si="40"/>
        <v>15-04-2025 to 21-04-2025</v>
      </c>
      <c r="F892" t="str">
        <f>IF(COUNTIF('Top5'!I:I, G892) &gt; 0, "Yes", "No")</f>
        <v>No</v>
      </c>
      <c r="G892" t="str">
        <f t="shared" si="41"/>
        <v>15-04-2025 to 21-04-2025</v>
      </c>
    </row>
    <row r="893" spans="1:7">
      <c r="A893" s="1">
        <v>45762</v>
      </c>
      <c r="B893" s="6">
        <v>0.6381944444444444</v>
      </c>
      <c r="C893" s="10" t="s">
        <v>71</v>
      </c>
      <c r="D893" s="7">
        <f t="shared" si="39"/>
        <v>45762.638194444444</v>
      </c>
      <c r="E893" t="str">
        <f t="shared" si="40"/>
        <v>15-04-2025 to 21-04-2025</v>
      </c>
      <c r="F893" t="str">
        <f>IF(COUNTIF('Top5'!I:I, G893) &gt; 0, "Yes", "No")</f>
        <v>No</v>
      </c>
      <c r="G893" t="str">
        <f t="shared" si="41"/>
        <v>15-04-2025 to 21-04-2025</v>
      </c>
    </row>
    <row r="894" spans="1:7">
      <c r="A894" s="1">
        <v>45762</v>
      </c>
      <c r="B894" s="6">
        <v>0.73888888888888893</v>
      </c>
      <c r="C894" s="10" t="s">
        <v>70</v>
      </c>
      <c r="D894" s="7">
        <f t="shared" si="39"/>
        <v>45762.738888888889</v>
      </c>
      <c r="E894" t="str">
        <f t="shared" si="40"/>
        <v>15-04-2025 to 21-04-2025</v>
      </c>
      <c r="F894" t="str">
        <f>IF(COUNTIF('Top5'!I:I, G894) &gt; 0, "Yes", "No")</f>
        <v>No</v>
      </c>
      <c r="G894" t="str">
        <f t="shared" si="41"/>
        <v>15-04-2025 to 21-04-2025</v>
      </c>
    </row>
    <row r="895" spans="1:7">
      <c r="A895" s="1">
        <v>45762</v>
      </c>
      <c r="B895" s="6">
        <v>0.7680555555555556</v>
      </c>
      <c r="C895" s="10" t="s">
        <v>70</v>
      </c>
      <c r="D895" s="7">
        <f t="shared" si="39"/>
        <v>45762.768055555556</v>
      </c>
      <c r="E895" t="str">
        <f t="shared" si="40"/>
        <v>15-04-2025 to 21-04-2025</v>
      </c>
      <c r="F895" t="str">
        <f>IF(COUNTIF('Top5'!I:I, G895) &gt; 0, "Yes", "No")</f>
        <v>No</v>
      </c>
      <c r="G895" t="str">
        <f t="shared" si="41"/>
        <v>15-04-2025 to 21-04-2025</v>
      </c>
    </row>
    <row r="896" spans="1:7">
      <c r="A896" s="1">
        <v>45763</v>
      </c>
      <c r="B896" s="6">
        <v>0.43055555555555558</v>
      </c>
      <c r="C896" s="10" t="s">
        <v>22</v>
      </c>
      <c r="D896" s="7">
        <f t="shared" si="39"/>
        <v>45763.430555555555</v>
      </c>
      <c r="E896" t="str">
        <f t="shared" si="40"/>
        <v>16-04-2025 to 22-04-2025</v>
      </c>
      <c r="F896" t="str">
        <f>IF(COUNTIF('Top5'!I:I, G896) &gt; 0, "Yes", "No")</f>
        <v>No</v>
      </c>
      <c r="G896" t="str">
        <f t="shared" si="41"/>
        <v>16-04-2025 to 22-04-2025</v>
      </c>
    </row>
    <row r="897" spans="1:7">
      <c r="A897" s="1">
        <v>45763</v>
      </c>
      <c r="B897" s="6">
        <v>0.44722222222222224</v>
      </c>
      <c r="C897" s="10" t="s">
        <v>22</v>
      </c>
      <c r="D897" s="7">
        <f t="shared" si="39"/>
        <v>45763.447222222225</v>
      </c>
      <c r="E897" t="str">
        <f t="shared" si="40"/>
        <v>16-04-2025 to 22-04-2025</v>
      </c>
      <c r="F897" t="str">
        <f>IF(COUNTIF('Top5'!I:I, G897) &gt; 0, "Yes", "No")</f>
        <v>No</v>
      </c>
      <c r="G897" t="str">
        <f t="shared" si="41"/>
        <v>16-04-2025 to 22-04-2025</v>
      </c>
    </row>
    <row r="898" spans="1:7">
      <c r="A898" s="1">
        <v>45763</v>
      </c>
      <c r="B898" s="6">
        <v>0.44791666666666669</v>
      </c>
      <c r="C898" s="10" t="s">
        <v>22</v>
      </c>
      <c r="D898" s="7">
        <f t="shared" si="39"/>
        <v>45763.447916666664</v>
      </c>
      <c r="E898" t="str">
        <f t="shared" si="40"/>
        <v>16-04-2025 to 22-04-2025</v>
      </c>
      <c r="F898" t="str">
        <f>IF(COUNTIF('Top5'!I:I, G898) &gt; 0, "Yes", "No")</f>
        <v>No</v>
      </c>
      <c r="G898" t="str">
        <f t="shared" si="41"/>
        <v>16-04-2025 to 22-04-2025</v>
      </c>
    </row>
    <row r="899" spans="1:7">
      <c r="A899" s="1">
        <v>45763</v>
      </c>
      <c r="B899" s="6">
        <v>0.53194444444444444</v>
      </c>
      <c r="C899" s="10" t="s">
        <v>71</v>
      </c>
      <c r="D899" s="7">
        <f t="shared" ref="D899:D962" si="42">VALUE(A899) + VALUE(B899)</f>
        <v>45763.531944444447</v>
      </c>
      <c r="E899" t="str">
        <f t="shared" ref="E899:E962" si="43">TEXT(D899, "dd-mm-yyyy") &amp; " to " &amp; TEXT(D899+6, "dd-mm-yyyy")</f>
        <v>16-04-2025 to 22-04-2025</v>
      </c>
      <c r="F899" t="str">
        <f>IF(COUNTIF('Top5'!I:I, G899) &gt; 0, "Yes", "No")</f>
        <v>No</v>
      </c>
      <c r="G899" t="str">
        <f t="shared" ref="G899:G962" si="44">TRIM(E899)</f>
        <v>16-04-2025 to 22-04-2025</v>
      </c>
    </row>
    <row r="900" spans="1:7">
      <c r="A900" s="1">
        <v>45763</v>
      </c>
      <c r="B900" s="6">
        <v>0.69166666666666665</v>
      </c>
      <c r="C900" s="10" t="s">
        <v>71</v>
      </c>
      <c r="D900" s="7">
        <f t="shared" si="42"/>
        <v>45763.691666666666</v>
      </c>
      <c r="E900" t="str">
        <f t="shared" si="43"/>
        <v>16-04-2025 to 22-04-2025</v>
      </c>
      <c r="F900" t="str">
        <f>IF(COUNTIF('Top5'!I:I, G900) &gt; 0, "Yes", "No")</f>
        <v>No</v>
      </c>
      <c r="G900" t="str">
        <f t="shared" si="44"/>
        <v>16-04-2025 to 22-04-2025</v>
      </c>
    </row>
    <row r="901" spans="1:7">
      <c r="A901" s="1">
        <v>45763</v>
      </c>
      <c r="B901" s="6">
        <v>0.74722222222222223</v>
      </c>
      <c r="C901" s="10" t="s">
        <v>70</v>
      </c>
      <c r="D901" s="7">
        <f t="shared" si="42"/>
        <v>45763.74722222222</v>
      </c>
      <c r="E901" t="str">
        <f t="shared" si="43"/>
        <v>16-04-2025 to 22-04-2025</v>
      </c>
      <c r="F901" t="str">
        <f>IF(COUNTIF('Top5'!I:I, G901) &gt; 0, "Yes", "No")</f>
        <v>No</v>
      </c>
      <c r="G901" t="str">
        <f t="shared" si="44"/>
        <v>16-04-2025 to 22-04-2025</v>
      </c>
    </row>
    <row r="902" spans="1:7">
      <c r="A902" s="1">
        <v>45763</v>
      </c>
      <c r="B902" s="6">
        <v>0.79652777777777772</v>
      </c>
      <c r="C902" s="10" t="s">
        <v>70</v>
      </c>
      <c r="D902" s="7">
        <f t="shared" si="42"/>
        <v>45763.796527777777</v>
      </c>
      <c r="E902" t="str">
        <f t="shared" si="43"/>
        <v>16-04-2025 to 22-04-2025</v>
      </c>
      <c r="F902" t="str">
        <f>IF(COUNTIF('Top5'!I:I, G902) &gt; 0, "Yes", "No")</f>
        <v>No</v>
      </c>
      <c r="G902" t="str">
        <f t="shared" si="44"/>
        <v>16-04-2025 to 22-04-2025</v>
      </c>
    </row>
    <row r="903" spans="1:7">
      <c r="A903" s="1">
        <v>45763</v>
      </c>
      <c r="B903" s="6">
        <v>0.94930555555555551</v>
      </c>
      <c r="C903" s="10" t="s">
        <v>70</v>
      </c>
      <c r="D903" s="7">
        <f t="shared" si="42"/>
        <v>45763.949305555558</v>
      </c>
      <c r="E903" t="str">
        <f t="shared" si="43"/>
        <v>16-04-2025 to 22-04-2025</v>
      </c>
      <c r="F903" t="str">
        <f>IF(COUNTIF('Top5'!I:I, G903) &gt; 0, "Yes", "No")</f>
        <v>No</v>
      </c>
      <c r="G903" t="str">
        <f t="shared" si="44"/>
        <v>16-04-2025 to 22-04-2025</v>
      </c>
    </row>
    <row r="904" spans="1:7">
      <c r="A904" s="1">
        <v>45763</v>
      </c>
      <c r="B904" s="6">
        <v>0.95694444444444449</v>
      </c>
      <c r="C904" s="10" t="s">
        <v>70</v>
      </c>
      <c r="D904" s="7">
        <f t="shared" si="42"/>
        <v>45763.956944444442</v>
      </c>
      <c r="E904" t="str">
        <f t="shared" si="43"/>
        <v>16-04-2025 to 22-04-2025</v>
      </c>
      <c r="F904" t="str">
        <f>IF(COUNTIF('Top5'!I:I, G904) &gt; 0, "Yes", "No")</f>
        <v>No</v>
      </c>
      <c r="G904" t="str">
        <f t="shared" si="44"/>
        <v>16-04-2025 to 22-04-2025</v>
      </c>
    </row>
    <row r="905" spans="1:7">
      <c r="A905" s="1">
        <v>45763</v>
      </c>
      <c r="B905" s="6">
        <v>0.97638888888888886</v>
      </c>
      <c r="C905" s="10" t="s">
        <v>70</v>
      </c>
      <c r="D905" s="7">
        <f t="shared" si="42"/>
        <v>45763.976388888892</v>
      </c>
      <c r="E905" t="str">
        <f t="shared" si="43"/>
        <v>16-04-2025 to 22-04-2025</v>
      </c>
      <c r="F905" t="str">
        <f>IF(COUNTIF('Top5'!I:I, G905) &gt; 0, "Yes", "No")</f>
        <v>No</v>
      </c>
      <c r="G905" t="str">
        <f t="shared" si="44"/>
        <v>16-04-2025 to 22-04-2025</v>
      </c>
    </row>
    <row r="906" spans="1:7">
      <c r="A906" s="1">
        <v>45764</v>
      </c>
      <c r="B906" s="6">
        <v>6.2500000000000003E-3</v>
      </c>
      <c r="C906" s="10" t="s">
        <v>70</v>
      </c>
      <c r="D906" s="7">
        <f t="shared" si="42"/>
        <v>45764.006249999999</v>
      </c>
      <c r="E906" t="str">
        <f t="shared" si="43"/>
        <v>17-04-2025 to 23-04-2025</v>
      </c>
      <c r="F906" t="str">
        <f>IF(COUNTIF('Top5'!I:I, G906) &gt; 0, "Yes", "No")</f>
        <v>No</v>
      </c>
      <c r="G906" t="str">
        <f t="shared" si="44"/>
        <v>17-04-2025 to 23-04-2025</v>
      </c>
    </row>
    <row r="907" spans="1:7">
      <c r="A907" s="1">
        <v>45764</v>
      </c>
      <c r="B907" s="6">
        <v>8.3333333333333332E-3</v>
      </c>
      <c r="C907" s="10" t="s">
        <v>70</v>
      </c>
      <c r="D907" s="7">
        <f t="shared" si="42"/>
        <v>45764.008333333331</v>
      </c>
      <c r="E907" t="str">
        <f t="shared" si="43"/>
        <v>17-04-2025 to 23-04-2025</v>
      </c>
      <c r="F907" t="str">
        <f>IF(COUNTIF('Top5'!I:I, G907) &gt; 0, "Yes", "No")</f>
        <v>No</v>
      </c>
      <c r="G907" t="str">
        <f t="shared" si="44"/>
        <v>17-04-2025 to 23-04-2025</v>
      </c>
    </row>
    <row r="908" spans="1:7">
      <c r="A908" s="1">
        <v>45764</v>
      </c>
      <c r="B908" s="6">
        <v>1.0416666666666666E-2</v>
      </c>
      <c r="C908" s="10" t="s">
        <v>70</v>
      </c>
      <c r="D908" s="7">
        <f t="shared" si="42"/>
        <v>45764.010416666664</v>
      </c>
      <c r="E908" t="str">
        <f t="shared" si="43"/>
        <v>17-04-2025 to 23-04-2025</v>
      </c>
      <c r="F908" t="str">
        <f>IF(COUNTIF('Top5'!I:I, G908) &gt; 0, "Yes", "No")</f>
        <v>No</v>
      </c>
      <c r="G908" t="str">
        <f t="shared" si="44"/>
        <v>17-04-2025 to 23-04-2025</v>
      </c>
    </row>
    <row r="909" spans="1:7">
      <c r="A909" s="1">
        <v>45764</v>
      </c>
      <c r="B909" s="6">
        <v>1.1111111111111112E-2</v>
      </c>
      <c r="C909" s="10" t="s">
        <v>70</v>
      </c>
      <c r="D909" s="7">
        <f t="shared" si="42"/>
        <v>45764.011111111111</v>
      </c>
      <c r="E909" t="str">
        <f t="shared" si="43"/>
        <v>17-04-2025 to 23-04-2025</v>
      </c>
      <c r="F909" t="str">
        <f>IF(COUNTIF('Top5'!I:I, G909) &gt; 0, "Yes", "No")</f>
        <v>No</v>
      </c>
      <c r="G909" t="str">
        <f t="shared" si="44"/>
        <v>17-04-2025 to 23-04-2025</v>
      </c>
    </row>
    <row r="910" spans="1:7">
      <c r="A910" s="1">
        <v>45764</v>
      </c>
      <c r="B910" s="6">
        <v>0.36805555555555558</v>
      </c>
      <c r="C910" s="10" t="s">
        <v>22</v>
      </c>
      <c r="D910" s="7">
        <f t="shared" si="42"/>
        <v>45764.368055555555</v>
      </c>
      <c r="E910" t="str">
        <f t="shared" si="43"/>
        <v>17-04-2025 to 23-04-2025</v>
      </c>
      <c r="F910" t="str">
        <f>IF(COUNTIF('Top5'!I:I, G910) &gt; 0, "Yes", "No")</f>
        <v>No</v>
      </c>
      <c r="G910" t="str">
        <f t="shared" si="44"/>
        <v>17-04-2025 to 23-04-2025</v>
      </c>
    </row>
    <row r="911" spans="1:7">
      <c r="A911" s="1">
        <v>45764</v>
      </c>
      <c r="B911" s="6">
        <v>0.36944444444444446</v>
      </c>
      <c r="C911" s="10" t="s">
        <v>22</v>
      </c>
      <c r="D911" s="7">
        <f t="shared" si="42"/>
        <v>45764.369444444441</v>
      </c>
      <c r="E911" t="str">
        <f t="shared" si="43"/>
        <v>17-04-2025 to 23-04-2025</v>
      </c>
      <c r="F911" t="str">
        <f>IF(COUNTIF('Top5'!I:I, G911) &gt; 0, "Yes", "No")</f>
        <v>No</v>
      </c>
      <c r="G911" t="str">
        <f t="shared" si="44"/>
        <v>17-04-2025 to 23-04-2025</v>
      </c>
    </row>
    <row r="912" spans="1:7">
      <c r="A912" s="1">
        <v>45764</v>
      </c>
      <c r="B912" s="6">
        <v>0.43402777777777779</v>
      </c>
      <c r="C912" s="10" t="s">
        <v>22</v>
      </c>
      <c r="D912" s="7">
        <f t="shared" si="42"/>
        <v>45764.434027777781</v>
      </c>
      <c r="E912" t="str">
        <f t="shared" si="43"/>
        <v>17-04-2025 to 23-04-2025</v>
      </c>
      <c r="F912" t="str">
        <f>IF(COUNTIF('Top5'!I:I, G912) &gt; 0, "Yes", "No")</f>
        <v>No</v>
      </c>
      <c r="G912" t="str">
        <f t="shared" si="44"/>
        <v>17-04-2025 to 23-04-2025</v>
      </c>
    </row>
    <row r="913" spans="1:7">
      <c r="A913" s="1">
        <v>45764</v>
      </c>
      <c r="B913" s="6">
        <v>0.43402777777777779</v>
      </c>
      <c r="C913" s="10" t="s">
        <v>22</v>
      </c>
      <c r="D913" s="7">
        <f t="shared" si="42"/>
        <v>45764.434027777781</v>
      </c>
      <c r="E913" t="str">
        <f t="shared" si="43"/>
        <v>17-04-2025 to 23-04-2025</v>
      </c>
      <c r="F913" t="str">
        <f>IF(COUNTIF('Top5'!I:I, G913) &gt; 0, "Yes", "No")</f>
        <v>No</v>
      </c>
      <c r="G913" t="str">
        <f t="shared" si="44"/>
        <v>17-04-2025 to 23-04-2025</v>
      </c>
    </row>
    <row r="914" spans="1:7">
      <c r="A914" s="1">
        <v>45764</v>
      </c>
      <c r="B914" s="6">
        <v>0.44513888888888886</v>
      </c>
      <c r="C914" s="10" t="s">
        <v>22</v>
      </c>
      <c r="D914" s="7">
        <f t="shared" si="42"/>
        <v>45764.445138888892</v>
      </c>
      <c r="E914" t="str">
        <f t="shared" si="43"/>
        <v>17-04-2025 to 23-04-2025</v>
      </c>
      <c r="F914" t="str">
        <f>IF(COUNTIF('Top5'!I:I, G914) &gt; 0, "Yes", "No")</f>
        <v>No</v>
      </c>
      <c r="G914" t="str">
        <f t="shared" si="44"/>
        <v>17-04-2025 to 23-04-2025</v>
      </c>
    </row>
    <row r="915" spans="1:7">
      <c r="A915" s="1">
        <v>45764</v>
      </c>
      <c r="B915" s="6">
        <v>0.4548611111111111</v>
      </c>
      <c r="C915" s="10" t="s">
        <v>22</v>
      </c>
      <c r="D915" s="7">
        <f t="shared" si="42"/>
        <v>45764.454861111109</v>
      </c>
      <c r="E915" t="str">
        <f t="shared" si="43"/>
        <v>17-04-2025 to 23-04-2025</v>
      </c>
      <c r="F915" t="str">
        <f>IF(COUNTIF('Top5'!I:I, G915) &gt; 0, "Yes", "No")</f>
        <v>No</v>
      </c>
      <c r="G915" t="str">
        <f t="shared" si="44"/>
        <v>17-04-2025 to 23-04-2025</v>
      </c>
    </row>
    <row r="916" spans="1:7">
      <c r="A916" s="1">
        <v>45764</v>
      </c>
      <c r="B916" s="6">
        <v>0.48958333333333331</v>
      </c>
      <c r="C916" s="10" t="s">
        <v>22</v>
      </c>
      <c r="D916" s="7">
        <f t="shared" si="42"/>
        <v>45764.489583333336</v>
      </c>
      <c r="E916" t="str">
        <f t="shared" si="43"/>
        <v>17-04-2025 to 23-04-2025</v>
      </c>
      <c r="F916" t="str">
        <f>IF(COUNTIF('Top5'!I:I, G916) &gt; 0, "Yes", "No")</f>
        <v>No</v>
      </c>
      <c r="G916" t="str">
        <f t="shared" si="44"/>
        <v>17-04-2025 to 23-04-2025</v>
      </c>
    </row>
    <row r="917" spans="1:7">
      <c r="A917" s="1">
        <v>45765</v>
      </c>
      <c r="B917" s="6">
        <v>0.43611111111111112</v>
      </c>
      <c r="C917" s="10" t="s">
        <v>22</v>
      </c>
      <c r="D917" s="7">
        <f t="shared" si="42"/>
        <v>45765.436111111114</v>
      </c>
      <c r="E917" t="str">
        <f t="shared" si="43"/>
        <v>18-04-2025 to 24-04-2025</v>
      </c>
      <c r="F917" t="str">
        <f>IF(COUNTIF('Top5'!I:I, G917) &gt; 0, "Yes", "No")</f>
        <v>No</v>
      </c>
      <c r="G917" t="str">
        <f t="shared" si="44"/>
        <v>18-04-2025 to 24-04-2025</v>
      </c>
    </row>
    <row r="918" spans="1:7">
      <c r="A918" s="1">
        <v>45765</v>
      </c>
      <c r="B918" s="6">
        <v>0.44166666666666665</v>
      </c>
      <c r="C918" s="10" t="s">
        <v>22</v>
      </c>
      <c r="D918" s="7">
        <f t="shared" si="42"/>
        <v>45765.441666666666</v>
      </c>
      <c r="E918" t="str">
        <f t="shared" si="43"/>
        <v>18-04-2025 to 24-04-2025</v>
      </c>
      <c r="F918" t="str">
        <f>IF(COUNTIF('Top5'!I:I, G918) &gt; 0, "Yes", "No")</f>
        <v>No</v>
      </c>
      <c r="G918" t="str">
        <f t="shared" si="44"/>
        <v>18-04-2025 to 24-04-2025</v>
      </c>
    </row>
    <row r="919" spans="1:7">
      <c r="A919" s="1">
        <v>45765</v>
      </c>
      <c r="B919" s="6">
        <v>0.44374999999999998</v>
      </c>
      <c r="C919" s="10" t="s">
        <v>22</v>
      </c>
      <c r="D919" s="7">
        <f t="shared" si="42"/>
        <v>45765.443749999999</v>
      </c>
      <c r="E919" t="str">
        <f t="shared" si="43"/>
        <v>18-04-2025 to 24-04-2025</v>
      </c>
      <c r="F919" t="str">
        <f>IF(COUNTIF('Top5'!I:I, G919) &gt; 0, "Yes", "No")</f>
        <v>No</v>
      </c>
      <c r="G919" t="str">
        <f t="shared" si="44"/>
        <v>18-04-2025 to 24-04-2025</v>
      </c>
    </row>
    <row r="920" spans="1:7">
      <c r="A920" s="1">
        <v>45765</v>
      </c>
      <c r="B920" s="6">
        <v>0.71388888888888891</v>
      </c>
      <c r="C920" s="10" t="s">
        <v>70</v>
      </c>
      <c r="D920" s="7">
        <f t="shared" si="42"/>
        <v>45765.713888888888</v>
      </c>
      <c r="E920" t="str">
        <f t="shared" si="43"/>
        <v>18-04-2025 to 24-04-2025</v>
      </c>
      <c r="F920" t="str">
        <f>IF(COUNTIF('Top5'!I:I, G920) &gt; 0, "Yes", "No")</f>
        <v>No</v>
      </c>
      <c r="G920" t="str">
        <f t="shared" si="44"/>
        <v>18-04-2025 to 24-04-2025</v>
      </c>
    </row>
    <row r="921" spans="1:7">
      <c r="A921" s="1">
        <v>45765</v>
      </c>
      <c r="B921" s="6">
        <v>0.90347222222222223</v>
      </c>
      <c r="C921" s="10" t="s">
        <v>70</v>
      </c>
      <c r="D921" s="7">
        <f t="shared" si="42"/>
        <v>45765.90347222222</v>
      </c>
      <c r="E921" t="str">
        <f t="shared" si="43"/>
        <v>18-04-2025 to 24-04-2025</v>
      </c>
      <c r="F921" t="str">
        <f>IF(COUNTIF('Top5'!I:I, G921) &gt; 0, "Yes", "No")</f>
        <v>No</v>
      </c>
      <c r="G921" t="str">
        <f t="shared" si="44"/>
        <v>18-04-2025 to 24-04-2025</v>
      </c>
    </row>
    <row r="922" spans="1:7">
      <c r="A922" s="1">
        <v>45766</v>
      </c>
      <c r="B922" s="6">
        <v>0.46597222222222223</v>
      </c>
      <c r="C922" s="10" t="s">
        <v>22</v>
      </c>
      <c r="D922" s="7">
        <f t="shared" si="42"/>
        <v>45766.46597222222</v>
      </c>
      <c r="E922" t="str">
        <f t="shared" si="43"/>
        <v>19-04-2025 to 25-04-2025</v>
      </c>
      <c r="F922" t="str">
        <f>IF(COUNTIF('Top5'!I:I, G922) &gt; 0, "Yes", "No")</f>
        <v>No</v>
      </c>
      <c r="G922" t="str">
        <f t="shared" si="44"/>
        <v>19-04-2025 to 25-04-2025</v>
      </c>
    </row>
    <row r="923" spans="1:7">
      <c r="A923" s="1">
        <v>45766</v>
      </c>
      <c r="B923" s="6">
        <v>0.47152777777777777</v>
      </c>
      <c r="C923" s="10" t="s">
        <v>22</v>
      </c>
      <c r="D923" s="7">
        <f t="shared" si="42"/>
        <v>45766.47152777778</v>
      </c>
      <c r="E923" t="str">
        <f t="shared" si="43"/>
        <v>19-04-2025 to 25-04-2025</v>
      </c>
      <c r="F923" t="str">
        <f>IF(COUNTIF('Top5'!I:I, G923) &gt; 0, "Yes", "No")</f>
        <v>No</v>
      </c>
      <c r="G923" t="str">
        <f t="shared" si="44"/>
        <v>19-04-2025 to 25-04-2025</v>
      </c>
    </row>
    <row r="924" spans="1:7">
      <c r="A924" s="1">
        <v>45766</v>
      </c>
      <c r="B924" s="6">
        <v>0.61597222222222225</v>
      </c>
      <c r="C924" s="10" t="s">
        <v>71</v>
      </c>
      <c r="D924" s="7">
        <f t="shared" si="42"/>
        <v>45766.615972222222</v>
      </c>
      <c r="E924" t="str">
        <f t="shared" si="43"/>
        <v>19-04-2025 to 25-04-2025</v>
      </c>
      <c r="F924" t="str">
        <f>IF(COUNTIF('Top5'!I:I, G924) &gt; 0, "Yes", "No")</f>
        <v>No</v>
      </c>
      <c r="G924" t="str">
        <f t="shared" si="44"/>
        <v>19-04-2025 to 25-04-2025</v>
      </c>
    </row>
    <row r="925" spans="1:7">
      <c r="A925" s="1">
        <v>45767</v>
      </c>
      <c r="B925" s="6">
        <v>0.44930555555555557</v>
      </c>
      <c r="C925" s="10" t="s">
        <v>22</v>
      </c>
      <c r="D925" s="7">
        <f t="shared" si="42"/>
        <v>45767.449305555558</v>
      </c>
      <c r="E925" t="str">
        <f t="shared" si="43"/>
        <v>20-04-2025 to 26-04-2025</v>
      </c>
      <c r="F925" t="str">
        <f>IF(COUNTIF('Top5'!I:I, G925) &gt; 0, "Yes", "No")</f>
        <v>No</v>
      </c>
      <c r="G925" t="str">
        <f t="shared" si="44"/>
        <v>20-04-2025 to 26-04-2025</v>
      </c>
    </row>
    <row r="926" spans="1:7">
      <c r="A926" s="1">
        <v>45767</v>
      </c>
      <c r="B926" s="6">
        <v>0.4597222222222222</v>
      </c>
      <c r="C926" s="10" t="s">
        <v>22</v>
      </c>
      <c r="D926" s="7">
        <f t="shared" si="42"/>
        <v>45767.459722222222</v>
      </c>
      <c r="E926" t="str">
        <f t="shared" si="43"/>
        <v>20-04-2025 to 26-04-2025</v>
      </c>
      <c r="F926" t="str">
        <f>IF(COUNTIF('Top5'!I:I, G926) &gt; 0, "Yes", "No")</f>
        <v>No</v>
      </c>
      <c r="G926" t="str">
        <f t="shared" si="44"/>
        <v>20-04-2025 to 26-04-2025</v>
      </c>
    </row>
    <row r="927" spans="1:7">
      <c r="A927" s="1">
        <v>45767</v>
      </c>
      <c r="B927" s="6">
        <v>0.48888888888888887</v>
      </c>
      <c r="C927" s="10" t="s">
        <v>22</v>
      </c>
      <c r="D927" s="7">
        <f t="shared" si="42"/>
        <v>45767.488888888889</v>
      </c>
      <c r="E927" t="str">
        <f t="shared" si="43"/>
        <v>20-04-2025 to 26-04-2025</v>
      </c>
      <c r="F927" t="str">
        <f>IF(COUNTIF('Top5'!I:I, G927) &gt; 0, "Yes", "No")</f>
        <v>No</v>
      </c>
      <c r="G927" t="str">
        <f t="shared" si="44"/>
        <v>20-04-2025 to 26-04-2025</v>
      </c>
    </row>
    <row r="928" spans="1:7">
      <c r="A928" s="1">
        <v>45768</v>
      </c>
      <c r="B928" s="6">
        <v>0.76736111111111116</v>
      </c>
      <c r="C928" s="10" t="s">
        <v>70</v>
      </c>
      <c r="D928" s="7">
        <f t="shared" si="42"/>
        <v>45768.767361111109</v>
      </c>
      <c r="E928" t="str">
        <f t="shared" si="43"/>
        <v>21-04-2025 to 27-04-2025</v>
      </c>
      <c r="F928" t="str">
        <f>IF(COUNTIF('Top5'!I:I, G928) &gt; 0, "Yes", "No")</f>
        <v>No</v>
      </c>
      <c r="G928" t="str">
        <f t="shared" si="44"/>
        <v>21-04-2025 to 27-04-2025</v>
      </c>
    </row>
    <row r="929" spans="1:7">
      <c r="A929" s="1">
        <v>45768</v>
      </c>
      <c r="B929" s="6">
        <v>0.7729166666666667</v>
      </c>
      <c r="C929" s="10" t="s">
        <v>70</v>
      </c>
      <c r="D929" s="7">
        <f t="shared" si="42"/>
        <v>45768.772916666669</v>
      </c>
      <c r="E929" t="str">
        <f t="shared" si="43"/>
        <v>21-04-2025 to 27-04-2025</v>
      </c>
      <c r="F929" t="str">
        <f>IF(COUNTIF('Top5'!I:I, G929) &gt; 0, "Yes", "No")</f>
        <v>No</v>
      </c>
      <c r="G929" t="str">
        <f t="shared" si="44"/>
        <v>21-04-2025 to 27-04-2025</v>
      </c>
    </row>
    <row r="930" spans="1:7">
      <c r="A930" s="1">
        <v>45768</v>
      </c>
      <c r="B930" s="6">
        <v>0.78263888888888888</v>
      </c>
      <c r="C930" s="10" t="s">
        <v>70</v>
      </c>
      <c r="D930" s="7">
        <f t="shared" si="42"/>
        <v>45768.782638888886</v>
      </c>
      <c r="E930" t="str">
        <f t="shared" si="43"/>
        <v>21-04-2025 to 27-04-2025</v>
      </c>
      <c r="F930" t="str">
        <f>IF(COUNTIF('Top5'!I:I, G930) &gt; 0, "Yes", "No")</f>
        <v>No</v>
      </c>
      <c r="G930" t="str">
        <f t="shared" si="44"/>
        <v>21-04-2025 to 27-04-2025</v>
      </c>
    </row>
    <row r="931" spans="1:7">
      <c r="A931" s="1">
        <v>45769</v>
      </c>
      <c r="B931" s="6">
        <v>0.4513888888888889</v>
      </c>
      <c r="C931" s="10" t="s">
        <v>22</v>
      </c>
      <c r="D931" s="7">
        <f t="shared" si="42"/>
        <v>45769.451388888891</v>
      </c>
      <c r="E931" t="str">
        <f t="shared" si="43"/>
        <v>22-04-2025 to 28-04-2025</v>
      </c>
      <c r="F931" t="str">
        <f>IF(COUNTIF('Top5'!I:I, G931) &gt; 0, "Yes", "No")</f>
        <v>No</v>
      </c>
      <c r="G931" t="str">
        <f t="shared" si="44"/>
        <v>22-04-2025 to 28-04-2025</v>
      </c>
    </row>
    <row r="932" spans="1:7">
      <c r="A932" s="1">
        <v>45769</v>
      </c>
      <c r="B932" s="6">
        <v>0.66527777777777775</v>
      </c>
      <c r="C932" s="10" t="s">
        <v>71</v>
      </c>
      <c r="D932" s="7">
        <f t="shared" si="42"/>
        <v>45769.665277777778</v>
      </c>
      <c r="E932" t="str">
        <f t="shared" si="43"/>
        <v>22-04-2025 to 28-04-2025</v>
      </c>
      <c r="F932" t="str">
        <f>IF(COUNTIF('Top5'!I:I, G932) &gt; 0, "Yes", "No")</f>
        <v>No</v>
      </c>
      <c r="G932" t="str">
        <f t="shared" si="44"/>
        <v>22-04-2025 to 28-04-2025</v>
      </c>
    </row>
    <row r="933" spans="1:7">
      <c r="A933" s="1">
        <v>45769</v>
      </c>
      <c r="B933" s="6">
        <v>0.76736111111111116</v>
      </c>
      <c r="C933" s="10" t="s">
        <v>70</v>
      </c>
      <c r="D933" s="7">
        <f t="shared" si="42"/>
        <v>45769.767361111109</v>
      </c>
      <c r="E933" t="str">
        <f t="shared" si="43"/>
        <v>22-04-2025 to 28-04-2025</v>
      </c>
      <c r="F933" t="str">
        <f>IF(COUNTIF('Top5'!I:I, G933) &gt; 0, "Yes", "No")</f>
        <v>No</v>
      </c>
      <c r="G933" t="str">
        <f t="shared" si="44"/>
        <v>22-04-2025 to 28-04-2025</v>
      </c>
    </row>
    <row r="934" spans="1:7">
      <c r="A934" s="1">
        <v>45769</v>
      </c>
      <c r="B934" s="6">
        <v>0.77500000000000002</v>
      </c>
      <c r="C934" s="10" t="s">
        <v>70</v>
      </c>
      <c r="D934" s="7">
        <f t="shared" si="42"/>
        <v>45769.775000000001</v>
      </c>
      <c r="E934" t="str">
        <f t="shared" si="43"/>
        <v>22-04-2025 to 28-04-2025</v>
      </c>
      <c r="F934" t="str">
        <f>IF(COUNTIF('Top5'!I:I, G934) &gt; 0, "Yes", "No")</f>
        <v>No</v>
      </c>
      <c r="G934" t="str">
        <f t="shared" si="44"/>
        <v>22-04-2025 to 28-04-2025</v>
      </c>
    </row>
    <row r="935" spans="1:7">
      <c r="A935" s="1">
        <v>45769</v>
      </c>
      <c r="B935" s="6">
        <v>0.80763888888888891</v>
      </c>
      <c r="C935" s="10" t="s">
        <v>70</v>
      </c>
      <c r="D935" s="7">
        <f t="shared" si="42"/>
        <v>45769.807638888888</v>
      </c>
      <c r="E935" t="str">
        <f t="shared" si="43"/>
        <v>22-04-2025 to 28-04-2025</v>
      </c>
      <c r="F935" t="str">
        <f>IF(COUNTIF('Top5'!I:I, G935) &gt; 0, "Yes", "No")</f>
        <v>No</v>
      </c>
      <c r="G935" t="str">
        <f t="shared" si="44"/>
        <v>22-04-2025 to 28-04-2025</v>
      </c>
    </row>
    <row r="936" spans="1:7">
      <c r="A936" s="1">
        <v>45769</v>
      </c>
      <c r="B936" s="6">
        <v>0.97361111111111109</v>
      </c>
      <c r="C936" s="10" t="s">
        <v>70</v>
      </c>
      <c r="D936" s="7">
        <f t="shared" si="42"/>
        <v>45769.973611111112</v>
      </c>
      <c r="E936" t="str">
        <f t="shared" si="43"/>
        <v>22-04-2025 to 28-04-2025</v>
      </c>
      <c r="F936" t="str">
        <f>IF(COUNTIF('Top5'!I:I, G936) &gt; 0, "Yes", "No")</f>
        <v>No</v>
      </c>
      <c r="G936" t="str">
        <f t="shared" si="44"/>
        <v>22-04-2025 to 28-04-2025</v>
      </c>
    </row>
    <row r="937" spans="1:7">
      <c r="A937" s="1">
        <v>45769</v>
      </c>
      <c r="B937" s="6">
        <v>0.9819444444444444</v>
      </c>
      <c r="C937" s="10" t="s">
        <v>70</v>
      </c>
      <c r="D937" s="7">
        <f t="shared" si="42"/>
        <v>45769.981944444444</v>
      </c>
      <c r="E937" t="str">
        <f t="shared" si="43"/>
        <v>22-04-2025 to 28-04-2025</v>
      </c>
      <c r="F937" t="str">
        <f>IF(COUNTIF('Top5'!I:I, G937) &gt; 0, "Yes", "No")</f>
        <v>No</v>
      </c>
      <c r="G937" t="str">
        <f t="shared" si="44"/>
        <v>22-04-2025 to 28-04-2025</v>
      </c>
    </row>
    <row r="938" spans="1:7">
      <c r="A938" s="1">
        <v>45770</v>
      </c>
      <c r="B938" s="6">
        <v>0.43333333333333335</v>
      </c>
      <c r="C938" s="10" t="s">
        <v>22</v>
      </c>
      <c r="D938" s="7">
        <f t="shared" si="42"/>
        <v>45770.433333333334</v>
      </c>
      <c r="E938" t="str">
        <f t="shared" si="43"/>
        <v>23-04-2025 to 29-04-2025</v>
      </c>
      <c r="F938" t="str">
        <f>IF(COUNTIF('Top5'!I:I, G938) &gt; 0, "Yes", "No")</f>
        <v>No</v>
      </c>
      <c r="G938" t="str">
        <f t="shared" si="44"/>
        <v>23-04-2025 to 29-04-2025</v>
      </c>
    </row>
    <row r="939" spans="1:7">
      <c r="A939" s="1">
        <v>45770</v>
      </c>
      <c r="B939" s="6">
        <v>0.43680555555555556</v>
      </c>
      <c r="C939" s="10" t="s">
        <v>22</v>
      </c>
      <c r="D939" s="7">
        <f t="shared" si="42"/>
        <v>45770.436805555553</v>
      </c>
      <c r="E939" t="str">
        <f t="shared" si="43"/>
        <v>23-04-2025 to 29-04-2025</v>
      </c>
      <c r="F939" t="str">
        <f>IF(COUNTIF('Top5'!I:I, G939) &gt; 0, "Yes", "No")</f>
        <v>No</v>
      </c>
      <c r="G939" t="str">
        <f t="shared" si="44"/>
        <v>23-04-2025 to 29-04-2025</v>
      </c>
    </row>
    <row r="940" spans="1:7">
      <c r="A940" s="1">
        <v>45770</v>
      </c>
      <c r="B940" s="6">
        <v>0.49652777777777779</v>
      </c>
      <c r="C940" s="10" t="s">
        <v>22</v>
      </c>
      <c r="D940" s="7">
        <f t="shared" si="42"/>
        <v>45770.496527777781</v>
      </c>
      <c r="E940" t="str">
        <f t="shared" si="43"/>
        <v>23-04-2025 to 29-04-2025</v>
      </c>
      <c r="F940" t="str">
        <f>IF(COUNTIF('Top5'!I:I, G940) &gt; 0, "Yes", "No")</f>
        <v>No</v>
      </c>
      <c r="G940" t="str">
        <f t="shared" si="44"/>
        <v>23-04-2025 to 29-04-2025</v>
      </c>
    </row>
    <row r="941" spans="1:7">
      <c r="A941" s="1">
        <v>45770</v>
      </c>
      <c r="B941" s="6">
        <v>0.49861111111111112</v>
      </c>
      <c r="C941" s="10" t="s">
        <v>22</v>
      </c>
      <c r="D941" s="7">
        <f t="shared" si="42"/>
        <v>45770.498611111114</v>
      </c>
      <c r="E941" t="str">
        <f t="shared" si="43"/>
        <v>23-04-2025 to 29-04-2025</v>
      </c>
      <c r="F941" t="str">
        <f>IF(COUNTIF('Top5'!I:I, G941) &gt; 0, "Yes", "No")</f>
        <v>No</v>
      </c>
      <c r="G941" t="str">
        <f t="shared" si="44"/>
        <v>23-04-2025 to 29-04-2025</v>
      </c>
    </row>
    <row r="942" spans="1:7">
      <c r="A942" s="1">
        <v>45770</v>
      </c>
      <c r="B942" s="6">
        <v>0.49930555555555556</v>
      </c>
      <c r="C942" s="10" t="s">
        <v>22</v>
      </c>
      <c r="D942" s="7">
        <f t="shared" si="42"/>
        <v>45770.499305555553</v>
      </c>
      <c r="E942" t="str">
        <f t="shared" si="43"/>
        <v>23-04-2025 to 29-04-2025</v>
      </c>
      <c r="F942" t="str">
        <f>IF(COUNTIF('Top5'!I:I, G942) &gt; 0, "Yes", "No")</f>
        <v>No</v>
      </c>
      <c r="G942" t="str">
        <f t="shared" si="44"/>
        <v>23-04-2025 to 29-04-2025</v>
      </c>
    </row>
    <row r="943" spans="1:7">
      <c r="A943" s="1">
        <v>45770</v>
      </c>
      <c r="B943" s="6">
        <v>0.51388888888888884</v>
      </c>
      <c r="C943" s="10" t="s">
        <v>71</v>
      </c>
      <c r="D943" s="7">
        <f t="shared" si="42"/>
        <v>45770.513888888891</v>
      </c>
      <c r="E943" t="str">
        <f t="shared" si="43"/>
        <v>23-04-2025 to 29-04-2025</v>
      </c>
      <c r="F943" t="str">
        <f>IF(COUNTIF('Top5'!I:I, G943) &gt; 0, "Yes", "No")</f>
        <v>No</v>
      </c>
      <c r="G943" t="str">
        <f t="shared" si="44"/>
        <v>23-04-2025 to 29-04-2025</v>
      </c>
    </row>
    <row r="944" spans="1:7">
      <c r="A944" s="1">
        <v>45770</v>
      </c>
      <c r="B944" s="6">
        <v>0.51388888888888884</v>
      </c>
      <c r="C944" s="10" t="s">
        <v>71</v>
      </c>
      <c r="D944" s="7">
        <f t="shared" si="42"/>
        <v>45770.513888888891</v>
      </c>
      <c r="E944" t="str">
        <f t="shared" si="43"/>
        <v>23-04-2025 to 29-04-2025</v>
      </c>
      <c r="F944" t="str">
        <f>IF(COUNTIF('Top5'!I:I, G944) &gt; 0, "Yes", "No")</f>
        <v>No</v>
      </c>
      <c r="G944" t="str">
        <f t="shared" si="44"/>
        <v>23-04-2025 to 29-04-2025</v>
      </c>
    </row>
    <row r="945" spans="1:7">
      <c r="A945" s="1">
        <v>45770</v>
      </c>
      <c r="B945" s="6">
        <v>0.51458333333333328</v>
      </c>
      <c r="C945" s="10" t="s">
        <v>71</v>
      </c>
      <c r="D945" s="7">
        <f t="shared" si="42"/>
        <v>45770.51458333333</v>
      </c>
      <c r="E945" t="str">
        <f t="shared" si="43"/>
        <v>23-04-2025 to 29-04-2025</v>
      </c>
      <c r="F945" t="str">
        <f>IF(COUNTIF('Top5'!I:I, G945) &gt; 0, "Yes", "No")</f>
        <v>No</v>
      </c>
      <c r="G945" t="str">
        <f t="shared" si="44"/>
        <v>23-04-2025 to 29-04-2025</v>
      </c>
    </row>
    <row r="946" spans="1:7">
      <c r="A946" s="1">
        <v>45770</v>
      </c>
      <c r="B946" s="6">
        <v>0.51666666666666672</v>
      </c>
      <c r="C946" s="10" t="s">
        <v>71</v>
      </c>
      <c r="D946" s="7">
        <f t="shared" si="42"/>
        <v>45770.51666666667</v>
      </c>
      <c r="E946" t="str">
        <f t="shared" si="43"/>
        <v>23-04-2025 to 29-04-2025</v>
      </c>
      <c r="F946" t="str">
        <f>IF(COUNTIF('Top5'!I:I, G946) &gt; 0, "Yes", "No")</f>
        <v>No</v>
      </c>
      <c r="G946" t="str">
        <f t="shared" si="44"/>
        <v>23-04-2025 to 29-04-2025</v>
      </c>
    </row>
    <row r="947" spans="1:7">
      <c r="A947" s="1">
        <v>45770</v>
      </c>
      <c r="B947" s="6">
        <v>0.51736111111111116</v>
      </c>
      <c r="C947" s="10" t="s">
        <v>71</v>
      </c>
      <c r="D947" s="7">
        <f t="shared" si="42"/>
        <v>45770.517361111109</v>
      </c>
      <c r="E947" t="str">
        <f t="shared" si="43"/>
        <v>23-04-2025 to 29-04-2025</v>
      </c>
      <c r="F947" t="str">
        <f>IF(COUNTIF('Top5'!I:I, G947) &gt; 0, "Yes", "No")</f>
        <v>No</v>
      </c>
      <c r="G947" t="str">
        <f t="shared" si="44"/>
        <v>23-04-2025 to 29-04-2025</v>
      </c>
    </row>
    <row r="948" spans="1:7">
      <c r="A948" s="1">
        <v>45770</v>
      </c>
      <c r="B948" s="6">
        <v>0.5180555555555556</v>
      </c>
      <c r="C948" s="10" t="s">
        <v>71</v>
      </c>
      <c r="D948" s="7">
        <f t="shared" si="42"/>
        <v>45770.518055555556</v>
      </c>
      <c r="E948" t="str">
        <f t="shared" si="43"/>
        <v>23-04-2025 to 29-04-2025</v>
      </c>
      <c r="F948" t="str">
        <f>IF(COUNTIF('Top5'!I:I, G948) &gt; 0, "Yes", "No")</f>
        <v>No</v>
      </c>
      <c r="G948" t="str">
        <f t="shared" si="44"/>
        <v>23-04-2025 to 29-04-2025</v>
      </c>
    </row>
    <row r="949" spans="1:7">
      <c r="A949" s="1">
        <v>45770</v>
      </c>
      <c r="B949" s="6">
        <v>0.5180555555555556</v>
      </c>
      <c r="C949" s="10" t="s">
        <v>71</v>
      </c>
      <c r="D949" s="7">
        <f t="shared" si="42"/>
        <v>45770.518055555556</v>
      </c>
      <c r="E949" t="str">
        <f t="shared" si="43"/>
        <v>23-04-2025 to 29-04-2025</v>
      </c>
      <c r="F949" t="str">
        <f>IF(COUNTIF('Top5'!I:I, G949) &gt; 0, "Yes", "No")</f>
        <v>No</v>
      </c>
      <c r="G949" t="str">
        <f t="shared" si="44"/>
        <v>23-04-2025 to 29-04-2025</v>
      </c>
    </row>
    <row r="950" spans="1:7">
      <c r="A950" s="1">
        <v>45770</v>
      </c>
      <c r="B950" s="6">
        <v>0.5180555555555556</v>
      </c>
      <c r="C950" s="10" t="s">
        <v>71</v>
      </c>
      <c r="D950" s="7">
        <f t="shared" si="42"/>
        <v>45770.518055555556</v>
      </c>
      <c r="E950" t="str">
        <f t="shared" si="43"/>
        <v>23-04-2025 to 29-04-2025</v>
      </c>
      <c r="F950" t="str">
        <f>IF(COUNTIF('Top5'!I:I, G950) &gt; 0, "Yes", "No")</f>
        <v>No</v>
      </c>
      <c r="G950" t="str">
        <f t="shared" si="44"/>
        <v>23-04-2025 to 29-04-2025</v>
      </c>
    </row>
    <row r="951" spans="1:7">
      <c r="A951" s="1">
        <v>45770</v>
      </c>
      <c r="B951" s="6">
        <v>0.51875000000000004</v>
      </c>
      <c r="C951" s="10" t="s">
        <v>71</v>
      </c>
      <c r="D951" s="7">
        <f t="shared" si="42"/>
        <v>45770.518750000003</v>
      </c>
      <c r="E951" t="str">
        <f t="shared" si="43"/>
        <v>23-04-2025 to 29-04-2025</v>
      </c>
      <c r="F951" t="str">
        <f>IF(COUNTIF('Top5'!I:I, G951) &gt; 0, "Yes", "No")</f>
        <v>No</v>
      </c>
      <c r="G951" t="str">
        <f t="shared" si="44"/>
        <v>23-04-2025 to 29-04-2025</v>
      </c>
    </row>
    <row r="952" spans="1:7">
      <c r="A952" s="1">
        <v>45770</v>
      </c>
      <c r="B952" s="6">
        <v>0.52777777777777779</v>
      </c>
      <c r="C952" s="10" t="s">
        <v>71</v>
      </c>
      <c r="D952" s="7">
        <f t="shared" si="42"/>
        <v>45770.527777777781</v>
      </c>
      <c r="E952" t="str">
        <f t="shared" si="43"/>
        <v>23-04-2025 to 29-04-2025</v>
      </c>
      <c r="F952" t="str">
        <f>IF(COUNTIF('Top5'!I:I, G952) &gt; 0, "Yes", "No")</f>
        <v>No</v>
      </c>
      <c r="G952" t="str">
        <f t="shared" si="44"/>
        <v>23-04-2025 to 29-04-2025</v>
      </c>
    </row>
    <row r="953" spans="1:7">
      <c r="A953" s="1">
        <v>45770</v>
      </c>
      <c r="B953" s="6">
        <v>0.52916666666666667</v>
      </c>
      <c r="C953" s="10" t="s">
        <v>71</v>
      </c>
      <c r="D953" s="7">
        <f t="shared" si="42"/>
        <v>45770.529166666667</v>
      </c>
      <c r="E953" t="str">
        <f t="shared" si="43"/>
        <v>23-04-2025 to 29-04-2025</v>
      </c>
      <c r="F953" t="str">
        <f>IF(COUNTIF('Top5'!I:I, G953) &gt; 0, "Yes", "No")</f>
        <v>No</v>
      </c>
      <c r="G953" t="str">
        <f t="shared" si="44"/>
        <v>23-04-2025 to 29-04-2025</v>
      </c>
    </row>
    <row r="954" spans="1:7">
      <c r="A954" s="1">
        <v>45770</v>
      </c>
      <c r="B954" s="6">
        <v>0.53055555555555556</v>
      </c>
      <c r="C954" s="10" t="s">
        <v>71</v>
      </c>
      <c r="D954" s="7">
        <f t="shared" si="42"/>
        <v>45770.530555555553</v>
      </c>
      <c r="E954" t="str">
        <f t="shared" si="43"/>
        <v>23-04-2025 to 29-04-2025</v>
      </c>
      <c r="F954" t="str">
        <f>IF(COUNTIF('Top5'!I:I, G954) &gt; 0, "Yes", "No")</f>
        <v>No</v>
      </c>
      <c r="G954" t="str">
        <f t="shared" si="44"/>
        <v>23-04-2025 to 29-04-2025</v>
      </c>
    </row>
    <row r="955" spans="1:7">
      <c r="A955" s="1">
        <v>45770</v>
      </c>
      <c r="B955" s="6">
        <v>0.53125</v>
      </c>
      <c r="C955" s="10" t="s">
        <v>71</v>
      </c>
      <c r="D955" s="7">
        <f t="shared" si="42"/>
        <v>45770.53125</v>
      </c>
      <c r="E955" t="str">
        <f t="shared" si="43"/>
        <v>23-04-2025 to 29-04-2025</v>
      </c>
      <c r="F955" t="str">
        <f>IF(COUNTIF('Top5'!I:I, G955) &gt; 0, "Yes", "No")</f>
        <v>No</v>
      </c>
      <c r="G955" t="str">
        <f t="shared" si="44"/>
        <v>23-04-2025 to 29-04-2025</v>
      </c>
    </row>
    <row r="956" spans="1:7">
      <c r="A956" s="1">
        <v>45770</v>
      </c>
      <c r="B956" s="6">
        <v>0.61805555555555558</v>
      </c>
      <c r="C956" s="10" t="s">
        <v>71</v>
      </c>
      <c r="D956" s="7">
        <f t="shared" si="42"/>
        <v>45770.618055555555</v>
      </c>
      <c r="E956" t="str">
        <f t="shared" si="43"/>
        <v>23-04-2025 to 29-04-2025</v>
      </c>
      <c r="F956" t="str">
        <f>IF(COUNTIF('Top5'!I:I, G956) &gt; 0, "Yes", "No")</f>
        <v>No</v>
      </c>
      <c r="G956" t="str">
        <f t="shared" si="44"/>
        <v>23-04-2025 to 29-04-2025</v>
      </c>
    </row>
    <row r="957" spans="1:7">
      <c r="A957" s="1">
        <v>45770</v>
      </c>
      <c r="B957" s="6">
        <v>0.72499999999999998</v>
      </c>
      <c r="C957" s="10" t="s">
        <v>70</v>
      </c>
      <c r="D957" s="7">
        <f t="shared" si="42"/>
        <v>45770.724999999999</v>
      </c>
      <c r="E957" t="str">
        <f t="shared" si="43"/>
        <v>23-04-2025 to 29-04-2025</v>
      </c>
      <c r="F957" t="str">
        <f>IF(COUNTIF('Top5'!I:I, G957) &gt; 0, "Yes", "No")</f>
        <v>No</v>
      </c>
      <c r="G957" t="str">
        <f t="shared" si="44"/>
        <v>23-04-2025 to 29-04-2025</v>
      </c>
    </row>
    <row r="958" spans="1:7">
      <c r="A958" s="1">
        <v>45771</v>
      </c>
      <c r="B958" s="6">
        <v>0.58750000000000002</v>
      </c>
      <c r="C958" s="10" t="s">
        <v>71</v>
      </c>
      <c r="D958" s="7">
        <f t="shared" si="42"/>
        <v>45771.587500000001</v>
      </c>
      <c r="E958" t="str">
        <f t="shared" si="43"/>
        <v>24-04-2025 to 30-04-2025</v>
      </c>
      <c r="F958" t="str">
        <f>IF(COUNTIF('Top5'!I:I, G958) &gt; 0, "Yes", "No")</f>
        <v>No</v>
      </c>
      <c r="G958" t="str">
        <f t="shared" si="44"/>
        <v>24-04-2025 to 30-04-2025</v>
      </c>
    </row>
    <row r="959" spans="1:7">
      <c r="A959" s="1">
        <v>45771</v>
      </c>
      <c r="B959" s="6">
        <v>0.65277777777777779</v>
      </c>
      <c r="C959" s="10" t="s">
        <v>71</v>
      </c>
      <c r="D959" s="7">
        <f t="shared" si="42"/>
        <v>45771.652777777781</v>
      </c>
      <c r="E959" t="str">
        <f t="shared" si="43"/>
        <v>24-04-2025 to 30-04-2025</v>
      </c>
      <c r="F959" t="str">
        <f>IF(COUNTIF('Top5'!I:I, G959) &gt; 0, "Yes", "No")</f>
        <v>No</v>
      </c>
      <c r="G959" t="str">
        <f t="shared" si="44"/>
        <v>24-04-2025 to 30-04-2025</v>
      </c>
    </row>
    <row r="960" spans="1:7">
      <c r="A960" s="1">
        <v>45771</v>
      </c>
      <c r="B960" s="6">
        <v>0.85</v>
      </c>
      <c r="C960" s="10" t="s">
        <v>70</v>
      </c>
      <c r="D960" s="7">
        <f t="shared" si="42"/>
        <v>45771.85</v>
      </c>
      <c r="E960" t="str">
        <f t="shared" si="43"/>
        <v>24-04-2025 to 30-04-2025</v>
      </c>
      <c r="F960" t="str">
        <f>IF(COUNTIF('Top5'!I:I, G960) &gt; 0, "Yes", "No")</f>
        <v>No</v>
      </c>
      <c r="G960" t="str">
        <f t="shared" si="44"/>
        <v>24-04-2025 to 30-04-2025</v>
      </c>
    </row>
    <row r="961" spans="1:7">
      <c r="A961" s="1">
        <v>45771</v>
      </c>
      <c r="B961" s="6">
        <v>0.87847222222222221</v>
      </c>
      <c r="C961" s="10" t="s">
        <v>70</v>
      </c>
      <c r="D961" s="7">
        <f t="shared" si="42"/>
        <v>45771.878472222219</v>
      </c>
      <c r="E961" t="str">
        <f t="shared" si="43"/>
        <v>24-04-2025 to 30-04-2025</v>
      </c>
      <c r="F961" t="str">
        <f>IF(COUNTIF('Top5'!I:I, G961) &gt; 0, "Yes", "No")</f>
        <v>No</v>
      </c>
      <c r="G961" t="str">
        <f t="shared" si="44"/>
        <v>24-04-2025 to 30-04-2025</v>
      </c>
    </row>
    <row r="962" spans="1:7">
      <c r="A962" s="1">
        <v>45772</v>
      </c>
      <c r="B962" s="6">
        <v>0.4375</v>
      </c>
      <c r="C962" s="10" t="s">
        <v>22</v>
      </c>
      <c r="D962" s="7">
        <f t="shared" si="42"/>
        <v>45772.4375</v>
      </c>
      <c r="E962" t="str">
        <f t="shared" si="43"/>
        <v>25-04-2025 to 01-05-2025</v>
      </c>
      <c r="F962" t="str">
        <f>IF(COUNTIF('Top5'!I:I, G962) &gt; 0, "Yes", "No")</f>
        <v>No</v>
      </c>
      <c r="G962" t="str">
        <f t="shared" si="44"/>
        <v>25-04-2025 to 01-05-2025</v>
      </c>
    </row>
    <row r="963" spans="1:7">
      <c r="A963" s="1">
        <v>45772</v>
      </c>
      <c r="B963" s="6">
        <v>0.4548611111111111</v>
      </c>
      <c r="C963" s="10" t="s">
        <v>22</v>
      </c>
      <c r="D963" s="7">
        <f t="shared" ref="D963:D1001" si="45">VALUE(A963) + VALUE(B963)</f>
        <v>45772.454861111109</v>
      </c>
      <c r="E963" t="str">
        <f t="shared" ref="E963:E1001" si="46">TEXT(D963, "dd-mm-yyyy") &amp; " to " &amp; TEXT(D963+6, "dd-mm-yyyy")</f>
        <v>25-04-2025 to 01-05-2025</v>
      </c>
      <c r="F963" t="str">
        <f>IF(COUNTIF('Top5'!I:I, G963) &gt; 0, "Yes", "No")</f>
        <v>No</v>
      </c>
      <c r="G963" t="str">
        <f t="shared" ref="G963:G1001" si="47">TRIM(E963)</f>
        <v>25-04-2025 to 01-05-2025</v>
      </c>
    </row>
    <row r="964" spans="1:7">
      <c r="A964" s="1">
        <v>45772</v>
      </c>
      <c r="B964" s="6">
        <v>0.93055555555555558</v>
      </c>
      <c r="C964" s="10" t="s">
        <v>70</v>
      </c>
      <c r="D964" s="7">
        <f t="shared" si="45"/>
        <v>45772.930555555555</v>
      </c>
      <c r="E964" t="str">
        <f t="shared" si="46"/>
        <v>25-04-2025 to 01-05-2025</v>
      </c>
      <c r="F964" t="str">
        <f>IF(COUNTIF('Top5'!I:I, G964) &gt; 0, "Yes", "No")</f>
        <v>No</v>
      </c>
      <c r="G964" t="str">
        <f t="shared" si="47"/>
        <v>25-04-2025 to 01-05-2025</v>
      </c>
    </row>
    <row r="965" spans="1:7">
      <c r="A965" s="1">
        <v>45772</v>
      </c>
      <c r="B965" s="6">
        <v>0.93055555555555558</v>
      </c>
      <c r="C965" s="10" t="s">
        <v>70</v>
      </c>
      <c r="D965" s="7">
        <f t="shared" si="45"/>
        <v>45772.930555555555</v>
      </c>
      <c r="E965" t="str">
        <f t="shared" si="46"/>
        <v>25-04-2025 to 01-05-2025</v>
      </c>
      <c r="F965" t="str">
        <f>IF(COUNTIF('Top5'!I:I, G965) &gt; 0, "Yes", "No")</f>
        <v>No</v>
      </c>
      <c r="G965" t="str">
        <f t="shared" si="47"/>
        <v>25-04-2025 to 01-05-2025</v>
      </c>
    </row>
    <row r="966" spans="1:7">
      <c r="A966" s="1">
        <v>45773</v>
      </c>
      <c r="B966" s="6">
        <v>0.44374999999999998</v>
      </c>
      <c r="C966" s="10" t="s">
        <v>22</v>
      </c>
      <c r="D966" s="7">
        <f t="shared" si="45"/>
        <v>45773.443749999999</v>
      </c>
      <c r="E966" t="str">
        <f t="shared" si="46"/>
        <v>26-04-2025 to 02-05-2025</v>
      </c>
      <c r="F966" t="str">
        <f>IF(COUNTIF('Top5'!I:I, G966) &gt; 0, "Yes", "No")</f>
        <v>No</v>
      </c>
      <c r="G966" t="str">
        <f t="shared" si="47"/>
        <v>26-04-2025 to 02-05-2025</v>
      </c>
    </row>
    <row r="967" spans="1:7">
      <c r="A967" s="1">
        <v>45773</v>
      </c>
      <c r="B967" s="6">
        <v>0.4597222222222222</v>
      </c>
      <c r="C967" s="10" t="s">
        <v>22</v>
      </c>
      <c r="D967" s="7">
        <f t="shared" si="45"/>
        <v>45773.459722222222</v>
      </c>
      <c r="E967" t="str">
        <f t="shared" si="46"/>
        <v>26-04-2025 to 02-05-2025</v>
      </c>
      <c r="F967" t="str">
        <f>IF(COUNTIF('Top5'!I:I, G967) &gt; 0, "Yes", "No")</f>
        <v>No</v>
      </c>
      <c r="G967" t="str">
        <f t="shared" si="47"/>
        <v>26-04-2025 to 02-05-2025</v>
      </c>
    </row>
    <row r="968" spans="1:7">
      <c r="A968" s="1">
        <v>45773</v>
      </c>
      <c r="B968" s="6">
        <v>0.46180555555555558</v>
      </c>
      <c r="C968" s="10" t="s">
        <v>22</v>
      </c>
      <c r="D968" s="7">
        <f t="shared" si="45"/>
        <v>45773.461805555555</v>
      </c>
      <c r="E968" t="str">
        <f t="shared" si="46"/>
        <v>26-04-2025 to 02-05-2025</v>
      </c>
      <c r="F968" t="str">
        <f>IF(COUNTIF('Top5'!I:I, G968) &gt; 0, "Yes", "No")</f>
        <v>No</v>
      </c>
      <c r="G968" t="str">
        <f t="shared" si="47"/>
        <v>26-04-2025 to 02-05-2025</v>
      </c>
    </row>
    <row r="969" spans="1:7">
      <c r="A969" s="1">
        <v>45773</v>
      </c>
      <c r="B969" s="6">
        <v>0.80277777777777781</v>
      </c>
      <c r="C969" s="10" t="s">
        <v>70</v>
      </c>
      <c r="D969" s="7">
        <f t="shared" si="45"/>
        <v>45773.802777777775</v>
      </c>
      <c r="E969" t="str">
        <f t="shared" si="46"/>
        <v>26-04-2025 to 02-05-2025</v>
      </c>
      <c r="F969" t="str">
        <f>IF(COUNTIF('Top5'!I:I, G969) &gt; 0, "Yes", "No")</f>
        <v>No</v>
      </c>
      <c r="G969" t="str">
        <f t="shared" si="47"/>
        <v>26-04-2025 to 02-05-2025</v>
      </c>
    </row>
    <row r="970" spans="1:7">
      <c r="A970" s="1">
        <v>45774</v>
      </c>
      <c r="B970" s="6">
        <v>6.9444444444444447E-4</v>
      </c>
      <c r="C970" s="10" t="s">
        <v>70</v>
      </c>
      <c r="D970" s="7">
        <f t="shared" si="45"/>
        <v>45774.000694444447</v>
      </c>
      <c r="E970" t="str">
        <f t="shared" si="46"/>
        <v>27-04-2025 to 03-05-2025</v>
      </c>
      <c r="F970" t="str">
        <f>IF(COUNTIF('Top5'!I:I, G970) &gt; 0, "Yes", "No")</f>
        <v>No</v>
      </c>
      <c r="G970" t="str">
        <f t="shared" si="47"/>
        <v>27-04-2025 to 03-05-2025</v>
      </c>
    </row>
    <row r="971" spans="1:7">
      <c r="A971" s="1">
        <v>45774</v>
      </c>
      <c r="B971" s="6">
        <v>0.59236111111111112</v>
      </c>
      <c r="C971" s="10" t="s">
        <v>71</v>
      </c>
      <c r="D971" s="7">
        <f t="shared" si="45"/>
        <v>45774.592361111114</v>
      </c>
      <c r="E971" t="str">
        <f t="shared" si="46"/>
        <v>27-04-2025 to 03-05-2025</v>
      </c>
      <c r="F971" t="str">
        <f>IF(COUNTIF('Top5'!I:I, G971) &gt; 0, "Yes", "No")</f>
        <v>No</v>
      </c>
      <c r="G971" t="str">
        <f t="shared" si="47"/>
        <v>27-04-2025 to 03-05-2025</v>
      </c>
    </row>
    <row r="972" spans="1:7">
      <c r="A972" s="1">
        <v>45774</v>
      </c>
      <c r="B972" s="6">
        <v>0.59513888888888888</v>
      </c>
      <c r="C972" s="10" t="s">
        <v>71</v>
      </c>
      <c r="D972" s="7">
        <f t="shared" si="45"/>
        <v>45774.595138888886</v>
      </c>
      <c r="E972" t="str">
        <f t="shared" si="46"/>
        <v>27-04-2025 to 03-05-2025</v>
      </c>
      <c r="F972" t="str">
        <f>IF(COUNTIF('Top5'!I:I, G972) &gt; 0, "Yes", "No")</f>
        <v>No</v>
      </c>
      <c r="G972" t="str">
        <f t="shared" si="47"/>
        <v>27-04-2025 to 03-05-2025</v>
      </c>
    </row>
    <row r="973" spans="1:7">
      <c r="A973" s="1">
        <v>45774</v>
      </c>
      <c r="B973" s="6">
        <v>0.75902777777777775</v>
      </c>
      <c r="C973" s="10" t="s">
        <v>70</v>
      </c>
      <c r="D973" s="7">
        <f t="shared" si="45"/>
        <v>45774.759027777778</v>
      </c>
      <c r="E973" t="str">
        <f t="shared" si="46"/>
        <v>27-04-2025 to 03-05-2025</v>
      </c>
      <c r="F973" t="str">
        <f>IF(COUNTIF('Top5'!I:I, G973) &gt; 0, "Yes", "No")</f>
        <v>No</v>
      </c>
      <c r="G973" t="str">
        <f t="shared" si="47"/>
        <v>27-04-2025 to 03-05-2025</v>
      </c>
    </row>
    <row r="974" spans="1:7">
      <c r="A974" s="1">
        <v>45774</v>
      </c>
      <c r="B974" s="6">
        <v>0.77569444444444446</v>
      </c>
      <c r="C974" s="10" t="s">
        <v>70</v>
      </c>
      <c r="D974" s="7">
        <f t="shared" si="45"/>
        <v>45774.775694444441</v>
      </c>
      <c r="E974" t="str">
        <f t="shared" si="46"/>
        <v>27-04-2025 to 03-05-2025</v>
      </c>
      <c r="F974" t="str">
        <f>IF(COUNTIF('Top5'!I:I, G974) &gt; 0, "Yes", "No")</f>
        <v>No</v>
      </c>
      <c r="G974" t="str">
        <f t="shared" si="47"/>
        <v>27-04-2025 to 03-05-2025</v>
      </c>
    </row>
    <row r="975" spans="1:7">
      <c r="A975" s="1">
        <v>45774</v>
      </c>
      <c r="B975" s="6">
        <v>0.98124999999999996</v>
      </c>
      <c r="C975" s="10" t="s">
        <v>70</v>
      </c>
      <c r="D975" s="7">
        <f t="shared" si="45"/>
        <v>45774.981249999997</v>
      </c>
      <c r="E975" t="str">
        <f t="shared" si="46"/>
        <v>27-04-2025 to 03-05-2025</v>
      </c>
      <c r="F975" t="str">
        <f>IF(COUNTIF('Top5'!I:I, G975) &gt; 0, "Yes", "No")</f>
        <v>No</v>
      </c>
      <c r="G975" t="str">
        <f t="shared" si="47"/>
        <v>27-04-2025 to 03-05-2025</v>
      </c>
    </row>
    <row r="976" spans="1:7">
      <c r="A976" s="1">
        <v>45775</v>
      </c>
      <c r="B976" s="6">
        <v>3.472222222222222E-3</v>
      </c>
      <c r="C976" s="10" t="s">
        <v>70</v>
      </c>
      <c r="D976" s="7">
        <f t="shared" si="45"/>
        <v>45775.003472222219</v>
      </c>
      <c r="E976" t="str">
        <f t="shared" si="46"/>
        <v>28-04-2025 to 04-05-2025</v>
      </c>
      <c r="F976" t="str">
        <f>IF(COUNTIF('Top5'!I:I, G976) &gt; 0, "Yes", "No")</f>
        <v>No</v>
      </c>
      <c r="G976" t="str">
        <f t="shared" si="47"/>
        <v>28-04-2025 to 04-05-2025</v>
      </c>
    </row>
    <row r="977" spans="1:7">
      <c r="A977" s="1">
        <v>45775</v>
      </c>
      <c r="B977" s="6">
        <v>0.49027777777777776</v>
      </c>
      <c r="C977" s="10" t="s">
        <v>22</v>
      </c>
      <c r="D977" s="7">
        <f t="shared" si="45"/>
        <v>45775.490277777775</v>
      </c>
      <c r="E977" t="str">
        <f t="shared" si="46"/>
        <v>28-04-2025 to 04-05-2025</v>
      </c>
      <c r="F977" t="str">
        <f>IF(COUNTIF('Top5'!I:I, G977) &gt; 0, "Yes", "No")</f>
        <v>No</v>
      </c>
      <c r="G977" t="str">
        <f t="shared" si="47"/>
        <v>28-04-2025 to 04-05-2025</v>
      </c>
    </row>
    <row r="978" spans="1:7">
      <c r="A978" s="1">
        <v>45775</v>
      </c>
      <c r="B978" s="6">
        <v>0.49305555555555558</v>
      </c>
      <c r="C978" s="10" t="s">
        <v>22</v>
      </c>
      <c r="D978" s="7">
        <f t="shared" si="45"/>
        <v>45775.493055555555</v>
      </c>
      <c r="E978" t="str">
        <f t="shared" si="46"/>
        <v>28-04-2025 to 04-05-2025</v>
      </c>
      <c r="F978" t="str">
        <f>IF(COUNTIF('Top5'!I:I, G978) &gt; 0, "Yes", "No")</f>
        <v>No</v>
      </c>
      <c r="G978" t="str">
        <f t="shared" si="47"/>
        <v>28-04-2025 to 04-05-2025</v>
      </c>
    </row>
    <row r="979" spans="1:7">
      <c r="A979" s="1">
        <v>45775</v>
      </c>
      <c r="B979" s="6">
        <v>0.49375000000000002</v>
      </c>
      <c r="C979" s="10" t="s">
        <v>22</v>
      </c>
      <c r="D979" s="7">
        <f t="shared" si="45"/>
        <v>45775.493750000001</v>
      </c>
      <c r="E979" t="str">
        <f t="shared" si="46"/>
        <v>28-04-2025 to 04-05-2025</v>
      </c>
      <c r="F979" t="str">
        <f>IF(COUNTIF('Top5'!I:I, G979) &gt; 0, "Yes", "No")</f>
        <v>No</v>
      </c>
      <c r="G979" t="str">
        <f t="shared" si="47"/>
        <v>28-04-2025 to 04-05-2025</v>
      </c>
    </row>
    <row r="980" spans="1:7">
      <c r="A980" s="1">
        <v>45775</v>
      </c>
      <c r="B980" s="6">
        <v>0.50486111111111109</v>
      </c>
      <c r="C980" s="10" t="s">
        <v>71</v>
      </c>
      <c r="D980" s="7">
        <f t="shared" si="45"/>
        <v>45775.504861111112</v>
      </c>
      <c r="E980" t="str">
        <f t="shared" si="46"/>
        <v>28-04-2025 to 04-05-2025</v>
      </c>
      <c r="F980" t="str">
        <f>IF(COUNTIF('Top5'!I:I, G980) &gt; 0, "Yes", "No")</f>
        <v>No</v>
      </c>
      <c r="G980" t="str">
        <f t="shared" si="47"/>
        <v>28-04-2025 to 04-05-2025</v>
      </c>
    </row>
    <row r="981" spans="1:7">
      <c r="A981" s="1">
        <v>45775</v>
      </c>
      <c r="B981" s="6">
        <v>0.50486111111111109</v>
      </c>
      <c r="C981" s="10" t="s">
        <v>71</v>
      </c>
      <c r="D981" s="7">
        <f t="shared" si="45"/>
        <v>45775.504861111112</v>
      </c>
      <c r="E981" t="str">
        <f t="shared" si="46"/>
        <v>28-04-2025 to 04-05-2025</v>
      </c>
      <c r="F981" t="str">
        <f>IF(COUNTIF('Top5'!I:I, G981) &gt; 0, "Yes", "No")</f>
        <v>No</v>
      </c>
      <c r="G981" t="str">
        <f t="shared" si="47"/>
        <v>28-04-2025 to 04-05-2025</v>
      </c>
    </row>
    <row r="982" spans="1:7">
      <c r="A982" s="1">
        <v>45775</v>
      </c>
      <c r="B982" s="6">
        <v>0.65208333333333335</v>
      </c>
      <c r="C982" s="10" t="s">
        <v>71</v>
      </c>
      <c r="D982" s="7">
        <f t="shared" si="45"/>
        <v>45775.652083333334</v>
      </c>
      <c r="E982" t="str">
        <f t="shared" si="46"/>
        <v>28-04-2025 to 04-05-2025</v>
      </c>
      <c r="F982" t="str">
        <f>IF(COUNTIF('Top5'!I:I, G982) &gt; 0, "Yes", "No")</f>
        <v>No</v>
      </c>
      <c r="G982" t="str">
        <f t="shared" si="47"/>
        <v>28-04-2025 to 04-05-2025</v>
      </c>
    </row>
    <row r="983" spans="1:7">
      <c r="A983" s="1">
        <v>45775</v>
      </c>
      <c r="B983" s="6">
        <v>0.66249999999999998</v>
      </c>
      <c r="C983" s="10" t="s">
        <v>71</v>
      </c>
      <c r="D983" s="7">
        <f t="shared" si="45"/>
        <v>45775.662499999999</v>
      </c>
      <c r="E983" t="str">
        <f t="shared" si="46"/>
        <v>28-04-2025 to 04-05-2025</v>
      </c>
      <c r="F983" t="str">
        <f>IF(COUNTIF('Top5'!I:I, G983) &gt; 0, "Yes", "No")</f>
        <v>No</v>
      </c>
      <c r="G983" t="str">
        <f t="shared" si="47"/>
        <v>28-04-2025 to 04-05-2025</v>
      </c>
    </row>
    <row r="984" spans="1:7">
      <c r="A984" s="1">
        <v>45775</v>
      </c>
      <c r="B984" s="6">
        <v>0.70208333333333328</v>
      </c>
      <c r="C984" s="10" t="s">
        <v>71</v>
      </c>
      <c r="D984" s="7">
        <f t="shared" si="45"/>
        <v>45775.70208333333</v>
      </c>
      <c r="E984" t="str">
        <f t="shared" si="46"/>
        <v>28-04-2025 to 04-05-2025</v>
      </c>
      <c r="F984" t="str">
        <f>IF(COUNTIF('Top5'!I:I, G984) &gt; 0, "Yes", "No")</f>
        <v>No</v>
      </c>
      <c r="G984" t="str">
        <f t="shared" si="47"/>
        <v>28-04-2025 to 04-05-2025</v>
      </c>
    </row>
    <row r="985" spans="1:7">
      <c r="A985" s="1">
        <v>45775</v>
      </c>
      <c r="B985" s="6">
        <v>0.8979166666666667</v>
      </c>
      <c r="C985" s="10" t="s">
        <v>70</v>
      </c>
      <c r="D985" s="7">
        <f t="shared" si="45"/>
        <v>45775.897916666669</v>
      </c>
      <c r="E985" t="str">
        <f t="shared" si="46"/>
        <v>28-04-2025 to 04-05-2025</v>
      </c>
      <c r="F985" t="str">
        <f>IF(COUNTIF('Top5'!I:I, G985) &gt; 0, "Yes", "No")</f>
        <v>No</v>
      </c>
      <c r="G985" t="str">
        <f t="shared" si="47"/>
        <v>28-04-2025 to 04-05-2025</v>
      </c>
    </row>
    <row r="986" spans="1:7">
      <c r="A986" s="1">
        <v>45775</v>
      </c>
      <c r="B986" s="6">
        <v>0.90138888888888891</v>
      </c>
      <c r="C986" s="10" t="s">
        <v>70</v>
      </c>
      <c r="D986" s="7">
        <f t="shared" si="45"/>
        <v>45775.901388888888</v>
      </c>
      <c r="E986" t="str">
        <f t="shared" si="46"/>
        <v>28-04-2025 to 04-05-2025</v>
      </c>
      <c r="F986" t="str">
        <f>IF(COUNTIF('Top5'!I:I, G986) &gt; 0, "Yes", "No")</f>
        <v>No</v>
      </c>
      <c r="G986" t="str">
        <f t="shared" si="47"/>
        <v>28-04-2025 to 04-05-2025</v>
      </c>
    </row>
    <row r="987" spans="1:7">
      <c r="A987" s="1">
        <v>45775</v>
      </c>
      <c r="B987" s="6">
        <v>0.90208333333333335</v>
      </c>
      <c r="C987" s="10" t="s">
        <v>70</v>
      </c>
      <c r="D987" s="7">
        <f t="shared" si="45"/>
        <v>45775.902083333334</v>
      </c>
      <c r="E987" t="str">
        <f t="shared" si="46"/>
        <v>28-04-2025 to 04-05-2025</v>
      </c>
      <c r="F987" t="str">
        <f>IF(COUNTIF('Top5'!I:I, G987) &gt; 0, "Yes", "No")</f>
        <v>No</v>
      </c>
      <c r="G987" t="str">
        <f t="shared" si="47"/>
        <v>28-04-2025 to 04-05-2025</v>
      </c>
    </row>
    <row r="988" spans="1:7">
      <c r="A988" s="1">
        <v>45776</v>
      </c>
      <c r="B988" s="6">
        <v>2.0833333333333333E-3</v>
      </c>
      <c r="C988" s="10" t="s">
        <v>70</v>
      </c>
      <c r="D988" s="7">
        <f t="shared" si="45"/>
        <v>45776.002083333333</v>
      </c>
      <c r="E988" t="str">
        <f t="shared" si="46"/>
        <v>29-04-2025 to 05-05-2025</v>
      </c>
      <c r="F988" t="str">
        <f>IF(COUNTIF('Top5'!I:I, G988) &gt; 0, "Yes", "No")</f>
        <v>No</v>
      </c>
      <c r="G988" t="str">
        <f t="shared" si="47"/>
        <v>29-04-2025 to 05-05-2025</v>
      </c>
    </row>
    <row r="989" spans="1:7">
      <c r="A989" s="1">
        <v>45776</v>
      </c>
      <c r="B989" s="6">
        <v>2.0833333333333333E-3</v>
      </c>
      <c r="C989" s="10" t="s">
        <v>70</v>
      </c>
      <c r="D989" s="7">
        <f t="shared" si="45"/>
        <v>45776.002083333333</v>
      </c>
      <c r="E989" t="str">
        <f t="shared" si="46"/>
        <v>29-04-2025 to 05-05-2025</v>
      </c>
      <c r="F989" t="str">
        <f>IF(COUNTIF('Top5'!I:I, G989) &gt; 0, "Yes", "No")</f>
        <v>No</v>
      </c>
      <c r="G989" t="str">
        <f t="shared" si="47"/>
        <v>29-04-2025 to 05-05-2025</v>
      </c>
    </row>
    <row r="990" spans="1:7">
      <c r="A990" s="1">
        <v>45776</v>
      </c>
      <c r="B990" s="6">
        <v>2.0833333333333333E-3</v>
      </c>
      <c r="C990" s="10" t="s">
        <v>70</v>
      </c>
      <c r="D990" s="7">
        <f t="shared" si="45"/>
        <v>45776.002083333333</v>
      </c>
      <c r="E990" t="str">
        <f t="shared" si="46"/>
        <v>29-04-2025 to 05-05-2025</v>
      </c>
      <c r="F990" t="str">
        <f>IF(COUNTIF('Top5'!I:I, G990) &gt; 0, "Yes", "No")</f>
        <v>No</v>
      </c>
      <c r="G990" t="str">
        <f t="shared" si="47"/>
        <v>29-04-2025 to 05-05-2025</v>
      </c>
    </row>
    <row r="991" spans="1:7">
      <c r="A991" s="1">
        <v>45776</v>
      </c>
      <c r="B991" s="6">
        <v>0.75972222222222219</v>
      </c>
      <c r="C991" s="10" t="s">
        <v>70</v>
      </c>
      <c r="D991" s="7">
        <f t="shared" si="45"/>
        <v>45776.759722222225</v>
      </c>
      <c r="E991" t="str">
        <f t="shared" si="46"/>
        <v>29-04-2025 to 05-05-2025</v>
      </c>
      <c r="F991" t="str">
        <f>IF(COUNTIF('Top5'!I:I, G991) &gt; 0, "Yes", "No")</f>
        <v>No</v>
      </c>
      <c r="G991" t="str">
        <f t="shared" si="47"/>
        <v>29-04-2025 to 05-05-2025</v>
      </c>
    </row>
    <row r="992" spans="1:7">
      <c r="A992" s="1">
        <v>45777</v>
      </c>
      <c r="B992" s="6">
        <v>0.41597222222222224</v>
      </c>
      <c r="C992" s="10" t="s">
        <v>22</v>
      </c>
      <c r="D992" s="7">
        <f t="shared" si="45"/>
        <v>45777.415972222225</v>
      </c>
      <c r="E992" t="str">
        <f t="shared" si="46"/>
        <v>30-04-2025 to 06-05-2025</v>
      </c>
      <c r="F992" t="str">
        <f>IF(COUNTIF('Top5'!I:I, G992) &gt; 0, "Yes", "No")</f>
        <v>No</v>
      </c>
      <c r="G992" t="str">
        <f t="shared" si="47"/>
        <v>30-04-2025 to 06-05-2025</v>
      </c>
    </row>
    <row r="993" spans="1:7">
      <c r="A993" s="1">
        <v>45777</v>
      </c>
      <c r="B993" s="6">
        <v>0.53125</v>
      </c>
      <c r="C993" s="10" t="s">
        <v>71</v>
      </c>
      <c r="D993" s="7">
        <f t="shared" si="45"/>
        <v>45777.53125</v>
      </c>
      <c r="E993" t="str">
        <f t="shared" si="46"/>
        <v>30-04-2025 to 06-05-2025</v>
      </c>
      <c r="F993" t="str">
        <f>IF(COUNTIF('Top5'!I:I, G993) &gt; 0, "Yes", "No")</f>
        <v>No</v>
      </c>
      <c r="G993" t="str">
        <f t="shared" si="47"/>
        <v>30-04-2025 to 06-05-2025</v>
      </c>
    </row>
    <row r="994" spans="1:7">
      <c r="A994" s="1">
        <v>45777</v>
      </c>
      <c r="B994" s="6">
        <v>0.57013888888888886</v>
      </c>
      <c r="C994" s="10" t="s">
        <v>71</v>
      </c>
      <c r="D994" s="7">
        <f t="shared" si="45"/>
        <v>45777.570138888892</v>
      </c>
      <c r="E994" t="str">
        <f t="shared" si="46"/>
        <v>30-04-2025 to 06-05-2025</v>
      </c>
      <c r="F994" t="str">
        <f>IF(COUNTIF('Top5'!I:I, G994) &gt; 0, "Yes", "No")</f>
        <v>No</v>
      </c>
      <c r="G994" t="str">
        <f t="shared" si="47"/>
        <v>30-04-2025 to 06-05-2025</v>
      </c>
    </row>
    <row r="995" spans="1:7">
      <c r="A995" s="1">
        <v>45777</v>
      </c>
      <c r="B995" s="6">
        <v>0.5708333333333333</v>
      </c>
      <c r="C995" s="10" t="s">
        <v>71</v>
      </c>
      <c r="D995" s="7">
        <f t="shared" si="45"/>
        <v>45777.570833333331</v>
      </c>
      <c r="E995" t="str">
        <f t="shared" si="46"/>
        <v>30-04-2025 to 06-05-2025</v>
      </c>
      <c r="F995" t="str">
        <f>IF(COUNTIF('Top5'!I:I, G995) &gt; 0, "Yes", "No")</f>
        <v>No</v>
      </c>
      <c r="G995" t="str">
        <f t="shared" si="47"/>
        <v>30-04-2025 to 06-05-2025</v>
      </c>
    </row>
    <row r="996" spans="1:7">
      <c r="A996" s="1">
        <v>45777</v>
      </c>
      <c r="B996" s="6">
        <v>0.57430555555555551</v>
      </c>
      <c r="C996" s="10" t="s">
        <v>71</v>
      </c>
      <c r="D996" s="7">
        <f t="shared" si="45"/>
        <v>45777.574305555558</v>
      </c>
      <c r="E996" t="str">
        <f t="shared" si="46"/>
        <v>30-04-2025 to 06-05-2025</v>
      </c>
      <c r="F996" t="str">
        <f>IF(COUNTIF('Top5'!I:I, G996) &gt; 0, "Yes", "No")</f>
        <v>No</v>
      </c>
      <c r="G996" t="str">
        <f t="shared" si="47"/>
        <v>30-04-2025 to 06-05-2025</v>
      </c>
    </row>
    <row r="997" spans="1:7">
      <c r="A997" s="1">
        <v>45777</v>
      </c>
      <c r="B997" s="6">
        <v>0.59513888888888888</v>
      </c>
      <c r="C997" s="10" t="s">
        <v>71</v>
      </c>
      <c r="D997" s="7">
        <f t="shared" si="45"/>
        <v>45777.595138888886</v>
      </c>
      <c r="E997" t="str">
        <f t="shared" si="46"/>
        <v>30-04-2025 to 06-05-2025</v>
      </c>
      <c r="F997" t="str">
        <f>IF(COUNTIF('Top5'!I:I, G997) &gt; 0, "Yes", "No")</f>
        <v>No</v>
      </c>
      <c r="G997" t="str">
        <f t="shared" si="47"/>
        <v>30-04-2025 to 06-05-2025</v>
      </c>
    </row>
    <row r="998" spans="1:7">
      <c r="A998" s="1">
        <v>45777</v>
      </c>
      <c r="B998" s="6">
        <v>0.80694444444444446</v>
      </c>
      <c r="C998" s="10" t="s">
        <v>70</v>
      </c>
      <c r="D998" s="7">
        <f t="shared" si="45"/>
        <v>45777.806944444441</v>
      </c>
      <c r="E998" t="str">
        <f t="shared" si="46"/>
        <v>30-04-2025 to 06-05-2025</v>
      </c>
      <c r="F998" t="str">
        <f>IF(COUNTIF('Top5'!I:I, G998) &gt; 0, "Yes", "No")</f>
        <v>No</v>
      </c>
      <c r="G998" t="str">
        <f t="shared" si="47"/>
        <v>30-04-2025 to 06-05-2025</v>
      </c>
    </row>
    <row r="999" spans="1:7">
      <c r="A999" s="1">
        <v>45777</v>
      </c>
      <c r="B999" s="6">
        <v>0.80833333333333335</v>
      </c>
      <c r="C999" s="10" t="s">
        <v>70</v>
      </c>
      <c r="D999" s="7">
        <f t="shared" si="45"/>
        <v>45777.808333333334</v>
      </c>
      <c r="E999" t="str">
        <f t="shared" si="46"/>
        <v>30-04-2025 to 06-05-2025</v>
      </c>
      <c r="F999" t="str">
        <f>IF(COUNTIF('Top5'!I:I, G999) &gt; 0, "Yes", "No")</f>
        <v>No</v>
      </c>
      <c r="G999" t="str">
        <f t="shared" si="47"/>
        <v>30-04-2025 to 06-05-2025</v>
      </c>
    </row>
    <row r="1000" spans="1:7">
      <c r="A1000" s="1">
        <v>45777</v>
      </c>
      <c r="B1000" s="6">
        <v>0.80902777777777779</v>
      </c>
      <c r="C1000" s="10" t="s">
        <v>70</v>
      </c>
      <c r="D1000" s="7">
        <f t="shared" si="45"/>
        <v>45777.809027777781</v>
      </c>
      <c r="E1000" t="str">
        <f t="shared" si="46"/>
        <v>30-04-2025 to 06-05-2025</v>
      </c>
      <c r="F1000" t="str">
        <f>IF(COUNTIF('Top5'!I:I, G1000) &gt; 0, "Yes", "No")</f>
        <v>No</v>
      </c>
      <c r="G1000" t="str">
        <f t="shared" si="47"/>
        <v>30-04-2025 to 06-05-2025</v>
      </c>
    </row>
    <row r="1001" spans="1:7">
      <c r="A1001" s="1">
        <v>45777</v>
      </c>
      <c r="B1001" s="6">
        <v>0.81388888888888888</v>
      </c>
      <c r="C1001" s="10" t="s">
        <v>70</v>
      </c>
      <c r="D1001" s="7">
        <f t="shared" si="45"/>
        <v>45777.813888888886</v>
      </c>
      <c r="E1001" t="str">
        <f t="shared" si="46"/>
        <v>30-04-2025 to 06-05-2025</v>
      </c>
      <c r="F1001" t="str">
        <f>IF(COUNTIF('Top5'!I:I, G1001) &gt; 0, "Yes", "No")</f>
        <v>No</v>
      </c>
      <c r="G1001" t="str">
        <f t="shared" si="47"/>
        <v>30-04-2025 to 06-05-2025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1C818-8E13-4405-9FE4-683FBB45FA5C}">
  <dimension ref="A1:I34"/>
  <sheetViews>
    <sheetView workbookViewId="0">
      <selection activeCell="I33" sqref="I33"/>
    </sheetView>
  </sheetViews>
  <sheetFormatPr defaultRowHeight="14.4"/>
  <cols>
    <col min="1" max="2" width="10.33203125" bestFit="1" customWidth="1"/>
    <col min="3" max="3" width="6" bestFit="1" customWidth="1"/>
    <col min="4" max="4" width="10.21875" style="3" bestFit="1" customWidth="1"/>
    <col min="5" max="5" width="10.44140625" bestFit="1" customWidth="1"/>
    <col min="6" max="6" width="12.109375" bestFit="1" customWidth="1"/>
    <col min="7" max="8" width="24" bestFit="1" customWidth="1"/>
    <col min="9" max="9" width="22.6640625" bestFit="1" customWidth="1"/>
  </cols>
  <sheetData>
    <row r="1" spans="1:9">
      <c r="A1" t="s">
        <v>0</v>
      </c>
      <c r="B1" t="s">
        <v>1</v>
      </c>
      <c r="C1" t="s">
        <v>2</v>
      </c>
      <c r="D1" s="3" t="s">
        <v>3</v>
      </c>
      <c r="E1" t="s">
        <v>4</v>
      </c>
      <c r="F1" t="s">
        <v>5</v>
      </c>
      <c r="G1" t="s">
        <v>29</v>
      </c>
      <c r="H1" t="s">
        <v>32</v>
      </c>
      <c r="I1" t="s">
        <v>54</v>
      </c>
    </row>
    <row r="2" spans="1:9">
      <c r="A2" s="1">
        <v>45778</v>
      </c>
      <c r="B2" s="1">
        <v>45784</v>
      </c>
      <c r="C2">
        <v>14500</v>
      </c>
      <c r="D2" s="3">
        <v>9700</v>
      </c>
      <c r="E2">
        <v>99</v>
      </c>
      <c r="F2">
        <v>7</v>
      </c>
      <c r="G2" s="5" t="str">
        <f>TEXT(A2, "dd-mm-yyyy") &amp; " to " &amp; TEXT(B2, "dd-mm-yyyy")</f>
        <v>01-05-2025 to 07-05-2025</v>
      </c>
      <c r="H2" s="8" t="str">
        <f>TEXT(A2, "dd-mm-yyyy") &amp; " to " &amp; TEXT(B2, "dd-mm-yyyy")</f>
        <v>01-05-2025 to 07-05-2025</v>
      </c>
      <c r="I2" t="str">
        <f>TRIM(H2)</f>
        <v>01-05-2025 to 07-05-2025</v>
      </c>
    </row>
    <row r="3" spans="1:9">
      <c r="A3" s="1">
        <v>45724</v>
      </c>
      <c r="B3" s="1">
        <v>45730</v>
      </c>
      <c r="C3">
        <v>7500</v>
      </c>
      <c r="D3" s="3">
        <v>6000</v>
      </c>
      <c r="E3">
        <v>62</v>
      </c>
      <c r="F3">
        <v>7</v>
      </c>
      <c r="G3" s="5" t="str">
        <f t="shared" ref="G3:G33" si="0">TEXT(A3, "dd-mm-yyyy") &amp; " to " &amp; TEXT(B3, "dd-mm-yyyy")</f>
        <v>08-03-2025 to 14-03-2025</v>
      </c>
      <c r="H3" s="8" t="str">
        <f t="shared" ref="H3:H6" si="1">TEXT(A3, "dd-mm-yyyy") &amp; " to " &amp; TEXT(B3, "dd-mm-yyyy")</f>
        <v>08-03-2025 to 14-03-2025</v>
      </c>
      <c r="I3" t="str">
        <f t="shared" ref="I3:I33" si="2">TRIM(H3)</f>
        <v>08-03-2025 to 14-03-2025</v>
      </c>
    </row>
    <row r="4" spans="1:9">
      <c r="A4" s="1">
        <v>45748</v>
      </c>
      <c r="B4" s="1">
        <v>45754</v>
      </c>
      <c r="C4">
        <v>7300</v>
      </c>
      <c r="D4" s="3">
        <v>6000</v>
      </c>
      <c r="E4">
        <v>52</v>
      </c>
      <c r="F4">
        <v>7</v>
      </c>
      <c r="G4" s="5" t="str">
        <f t="shared" si="0"/>
        <v>01-04-2025 to 07-04-2025</v>
      </c>
      <c r="H4" s="8" t="str">
        <f t="shared" si="1"/>
        <v>01-04-2025 to 07-04-2025</v>
      </c>
      <c r="I4" t="str">
        <f t="shared" si="2"/>
        <v>01-04-2025 to 07-04-2025</v>
      </c>
    </row>
    <row r="5" spans="1:9">
      <c r="A5" s="1">
        <v>45731</v>
      </c>
      <c r="B5" s="1">
        <v>45737</v>
      </c>
      <c r="C5">
        <v>8200</v>
      </c>
      <c r="D5" s="3">
        <v>5900</v>
      </c>
      <c r="E5">
        <v>75</v>
      </c>
      <c r="F5">
        <v>7</v>
      </c>
      <c r="G5" s="5" t="str">
        <f t="shared" si="0"/>
        <v>15-03-2025 to 21-03-2025</v>
      </c>
      <c r="H5" s="8" t="str">
        <f t="shared" si="1"/>
        <v>15-03-2025 to 21-03-2025</v>
      </c>
      <c r="I5" t="str">
        <f t="shared" si="2"/>
        <v>15-03-2025 to 21-03-2025</v>
      </c>
    </row>
    <row r="6" spans="1:9">
      <c r="A6" s="1">
        <v>45792</v>
      </c>
      <c r="B6" s="1">
        <v>45798</v>
      </c>
      <c r="C6">
        <v>9000</v>
      </c>
      <c r="D6" s="3">
        <v>5900</v>
      </c>
      <c r="E6">
        <v>97</v>
      </c>
      <c r="F6">
        <v>7</v>
      </c>
      <c r="G6" s="5" t="str">
        <f t="shared" si="0"/>
        <v>15-05-2025 to 21-05-2025</v>
      </c>
      <c r="H6" s="8" t="str">
        <f t="shared" si="1"/>
        <v>15-05-2025 to 21-05-2025</v>
      </c>
      <c r="I6" t="str">
        <f t="shared" si="2"/>
        <v>15-05-2025 to 21-05-2025</v>
      </c>
    </row>
    <row r="7" spans="1:9">
      <c r="A7" s="1">
        <v>45755</v>
      </c>
      <c r="B7" s="1">
        <v>45761</v>
      </c>
      <c r="C7">
        <v>9400</v>
      </c>
      <c r="D7" s="3">
        <v>5500</v>
      </c>
      <c r="E7">
        <v>63</v>
      </c>
      <c r="F7">
        <v>7</v>
      </c>
      <c r="G7" s="5" t="str">
        <f t="shared" si="0"/>
        <v>08-04-2025 to 14-04-2025</v>
      </c>
      <c r="H7" s="3"/>
      <c r="I7" t="str">
        <f t="shared" si="2"/>
        <v/>
      </c>
    </row>
    <row r="8" spans="1:9">
      <c r="A8" s="1">
        <v>45769</v>
      </c>
      <c r="B8" s="1">
        <v>45775</v>
      </c>
      <c r="C8">
        <v>10000</v>
      </c>
      <c r="D8" s="3">
        <v>5200</v>
      </c>
      <c r="E8">
        <v>57</v>
      </c>
      <c r="F8">
        <v>7</v>
      </c>
      <c r="G8" s="5" t="str">
        <f t="shared" si="0"/>
        <v>22-04-2025 to 28-04-2025</v>
      </c>
      <c r="H8" s="3"/>
      <c r="I8" t="str">
        <f t="shared" si="2"/>
        <v/>
      </c>
    </row>
    <row r="9" spans="1:9">
      <c r="A9" s="1">
        <v>45785</v>
      </c>
      <c r="B9" s="1">
        <v>45791</v>
      </c>
      <c r="C9">
        <v>8200</v>
      </c>
      <c r="D9" s="3">
        <v>5200</v>
      </c>
      <c r="E9">
        <v>64</v>
      </c>
      <c r="F9">
        <v>7</v>
      </c>
      <c r="G9" s="5" t="str">
        <f t="shared" si="0"/>
        <v>08-05-2025 to 14-05-2025</v>
      </c>
      <c r="H9" s="3"/>
      <c r="I9" t="str">
        <f t="shared" si="2"/>
        <v/>
      </c>
    </row>
    <row r="10" spans="1:9">
      <c r="A10" s="1">
        <v>45665</v>
      </c>
      <c r="B10" s="1">
        <v>45671</v>
      </c>
      <c r="C10">
        <v>6700</v>
      </c>
      <c r="D10" s="3">
        <v>5100</v>
      </c>
      <c r="E10">
        <v>84</v>
      </c>
      <c r="F10">
        <v>7</v>
      </c>
      <c r="G10" s="5" t="str">
        <f t="shared" si="0"/>
        <v>08-01-2025 to 14-01-2025</v>
      </c>
      <c r="H10" s="3"/>
      <c r="I10" t="str">
        <f t="shared" si="2"/>
        <v/>
      </c>
    </row>
    <row r="11" spans="1:9">
      <c r="A11" s="1">
        <v>45710</v>
      </c>
      <c r="B11" s="1">
        <v>45716</v>
      </c>
      <c r="C11">
        <v>3300</v>
      </c>
      <c r="D11" s="3">
        <v>4900</v>
      </c>
      <c r="E11">
        <v>36</v>
      </c>
      <c r="F11">
        <v>7</v>
      </c>
      <c r="G11" s="5" t="str">
        <f t="shared" si="0"/>
        <v>22-02-2025 to 28-02-2025</v>
      </c>
      <c r="H11" s="3"/>
      <c r="I11" t="str">
        <f t="shared" si="2"/>
        <v/>
      </c>
    </row>
    <row r="12" spans="1:9">
      <c r="A12" s="1">
        <v>45717</v>
      </c>
      <c r="B12" s="1">
        <v>45723</v>
      </c>
      <c r="C12">
        <v>9000</v>
      </c>
      <c r="D12" s="3">
        <v>3500</v>
      </c>
      <c r="E12">
        <v>74</v>
      </c>
      <c r="F12">
        <v>7</v>
      </c>
      <c r="G12" s="5" t="str">
        <f t="shared" si="0"/>
        <v>01-03-2025 to 07-03-2025</v>
      </c>
      <c r="H12" s="3"/>
      <c r="I12" t="str">
        <f t="shared" si="2"/>
        <v/>
      </c>
    </row>
    <row r="13" spans="1:9">
      <c r="A13" s="1">
        <v>45604</v>
      </c>
      <c r="B13" s="1">
        <v>45610</v>
      </c>
      <c r="C13">
        <v>4500</v>
      </c>
      <c r="D13" s="3">
        <v>3200</v>
      </c>
      <c r="E13">
        <v>31</v>
      </c>
      <c r="F13">
        <v>7</v>
      </c>
      <c r="G13" s="5" t="str">
        <f t="shared" si="0"/>
        <v>08-11-2024 to 14-11-2024</v>
      </c>
      <c r="H13" s="3"/>
      <c r="I13" t="str">
        <f t="shared" si="2"/>
        <v/>
      </c>
    </row>
    <row r="14" spans="1:9">
      <c r="A14" s="1">
        <v>45627</v>
      </c>
      <c r="B14" s="1">
        <v>45633</v>
      </c>
      <c r="C14">
        <v>3500</v>
      </c>
      <c r="D14" s="3">
        <v>3000</v>
      </c>
      <c r="E14">
        <v>26</v>
      </c>
      <c r="F14">
        <v>7</v>
      </c>
      <c r="G14" s="5" t="str">
        <f t="shared" si="0"/>
        <v>01-12-2024 to 07-12-2024</v>
      </c>
      <c r="H14" s="3"/>
      <c r="I14" t="str">
        <f t="shared" si="2"/>
        <v/>
      </c>
    </row>
    <row r="15" spans="1:9">
      <c r="A15" s="1">
        <v>45597</v>
      </c>
      <c r="B15" s="1">
        <v>45603</v>
      </c>
      <c r="C15">
        <v>5000</v>
      </c>
      <c r="D15" s="3">
        <v>2500</v>
      </c>
      <c r="E15">
        <v>21</v>
      </c>
      <c r="F15">
        <v>7</v>
      </c>
      <c r="G15" s="5" t="str">
        <f t="shared" si="0"/>
        <v>01-11-2024 to 07-11-2024</v>
      </c>
      <c r="H15" s="3"/>
      <c r="I15" t="str">
        <f t="shared" si="2"/>
        <v/>
      </c>
    </row>
    <row r="16" spans="1:9">
      <c r="A16" s="1">
        <v>45689</v>
      </c>
      <c r="B16" s="1">
        <v>45695</v>
      </c>
      <c r="C16">
        <v>2000</v>
      </c>
      <c r="D16" s="3">
        <v>2500</v>
      </c>
      <c r="E16">
        <v>30</v>
      </c>
      <c r="F16">
        <v>7</v>
      </c>
      <c r="G16" s="5" t="str">
        <f t="shared" si="0"/>
        <v>01-02-2025 to 07-02-2025</v>
      </c>
      <c r="H16" s="3"/>
      <c r="I16" t="str">
        <f t="shared" si="2"/>
        <v/>
      </c>
    </row>
    <row r="17" spans="1:9">
      <c r="A17" s="1">
        <v>45648</v>
      </c>
      <c r="B17" s="1">
        <v>45654</v>
      </c>
      <c r="C17">
        <v>4000</v>
      </c>
      <c r="D17" s="3">
        <v>2000</v>
      </c>
      <c r="E17">
        <v>19</v>
      </c>
      <c r="F17">
        <v>7</v>
      </c>
      <c r="G17" s="5" t="str">
        <f t="shared" si="0"/>
        <v>22-12-2024 to 28-12-2024</v>
      </c>
      <c r="H17" s="3"/>
      <c r="I17" t="str">
        <f t="shared" si="2"/>
        <v/>
      </c>
    </row>
    <row r="18" spans="1:9">
      <c r="A18" s="1">
        <v>45762</v>
      </c>
      <c r="B18" s="1">
        <v>45768</v>
      </c>
      <c r="C18">
        <v>5600</v>
      </c>
      <c r="D18" s="3">
        <v>2000</v>
      </c>
      <c r="E18">
        <v>41</v>
      </c>
      <c r="F18">
        <v>7</v>
      </c>
      <c r="G18" s="5" t="str">
        <f t="shared" si="0"/>
        <v>15-04-2025 to 21-04-2025</v>
      </c>
      <c r="H18" s="3"/>
      <c r="I18" t="str">
        <f t="shared" si="2"/>
        <v/>
      </c>
    </row>
    <row r="19" spans="1:9">
      <c r="A19" s="1">
        <v>45634</v>
      </c>
      <c r="B19" s="1">
        <v>45640</v>
      </c>
      <c r="C19">
        <v>3200</v>
      </c>
      <c r="D19" s="3">
        <v>1600</v>
      </c>
      <c r="E19">
        <v>37</v>
      </c>
      <c r="F19">
        <v>7</v>
      </c>
      <c r="G19" s="5" t="str">
        <f t="shared" si="0"/>
        <v>08-12-2024 to 14-12-2024</v>
      </c>
      <c r="H19" s="3"/>
      <c r="I19" t="str">
        <f t="shared" si="2"/>
        <v/>
      </c>
    </row>
    <row r="20" spans="1:9">
      <c r="A20" s="1">
        <v>45738</v>
      </c>
      <c r="B20" s="1">
        <v>45744</v>
      </c>
      <c r="C20">
        <v>5000</v>
      </c>
      <c r="D20" s="3">
        <v>1400</v>
      </c>
      <c r="E20">
        <v>35</v>
      </c>
      <c r="F20">
        <v>7</v>
      </c>
      <c r="G20" s="5" t="str">
        <f t="shared" si="0"/>
        <v>22-03-2025 to 28-03-2025</v>
      </c>
      <c r="H20" s="3"/>
      <c r="I20" t="str">
        <f t="shared" si="2"/>
        <v/>
      </c>
    </row>
    <row r="21" spans="1:9">
      <c r="A21" s="1">
        <v>45618</v>
      </c>
      <c r="B21" s="1">
        <v>45624</v>
      </c>
      <c r="C21">
        <v>2000</v>
      </c>
      <c r="D21" s="3">
        <v>1300</v>
      </c>
      <c r="E21">
        <v>16</v>
      </c>
      <c r="F21">
        <v>7</v>
      </c>
      <c r="G21" s="5" t="str">
        <f t="shared" si="0"/>
        <v>22-11-2024 to 28-11-2024</v>
      </c>
      <c r="H21" s="3"/>
      <c r="I21" t="str">
        <f t="shared" si="2"/>
        <v/>
      </c>
    </row>
    <row r="22" spans="1:9">
      <c r="A22" s="1">
        <v>45641</v>
      </c>
      <c r="B22" s="1">
        <v>45647</v>
      </c>
      <c r="C22">
        <v>3300</v>
      </c>
      <c r="D22" s="3">
        <v>1300</v>
      </c>
      <c r="E22">
        <v>25</v>
      </c>
      <c r="F22">
        <v>7</v>
      </c>
      <c r="G22" s="5" t="str">
        <f t="shared" si="0"/>
        <v>15-12-2024 to 21-12-2024</v>
      </c>
      <c r="H22" s="3"/>
      <c r="I22" t="str">
        <f t="shared" si="2"/>
        <v/>
      </c>
    </row>
    <row r="23" spans="1:9">
      <c r="A23" s="1">
        <v>45745</v>
      </c>
      <c r="B23" s="1">
        <v>45747</v>
      </c>
      <c r="C23">
        <v>2000</v>
      </c>
      <c r="D23" s="3">
        <v>1300</v>
      </c>
      <c r="E23">
        <v>27</v>
      </c>
      <c r="F23">
        <v>3</v>
      </c>
      <c r="G23" s="5" t="str">
        <f t="shared" si="0"/>
        <v>29-03-2025 to 31-03-2025</v>
      </c>
      <c r="H23" s="3"/>
      <c r="I23" t="str">
        <f t="shared" si="2"/>
        <v/>
      </c>
    </row>
    <row r="24" spans="1:9">
      <c r="A24" s="1">
        <v>45658</v>
      </c>
      <c r="B24" s="1">
        <v>45664</v>
      </c>
      <c r="C24">
        <v>3200</v>
      </c>
      <c r="D24" s="3">
        <v>1200</v>
      </c>
      <c r="E24">
        <v>18</v>
      </c>
      <c r="F24">
        <v>7</v>
      </c>
      <c r="G24" s="5" t="str">
        <f t="shared" si="0"/>
        <v>01-01-2025 to 07-01-2025</v>
      </c>
      <c r="H24" s="3"/>
      <c r="I24" t="str">
        <f t="shared" si="2"/>
        <v/>
      </c>
    </row>
    <row r="25" spans="1:9">
      <c r="A25" s="1">
        <v>45696</v>
      </c>
      <c r="B25" s="1">
        <v>45702</v>
      </c>
      <c r="C25">
        <v>1500</v>
      </c>
      <c r="D25" s="3">
        <v>1100</v>
      </c>
      <c r="E25">
        <v>28</v>
      </c>
      <c r="F25">
        <v>7</v>
      </c>
      <c r="G25" s="5" t="str">
        <f t="shared" si="0"/>
        <v>08-02-2025 to 14-02-2025</v>
      </c>
      <c r="H25" s="3"/>
      <c r="I25" t="str">
        <f t="shared" si="2"/>
        <v/>
      </c>
    </row>
    <row r="26" spans="1:9">
      <c r="A26" s="1">
        <v>45625</v>
      </c>
      <c r="B26" s="1">
        <v>45626</v>
      </c>
      <c r="C26">
        <v>3000</v>
      </c>
      <c r="D26" s="3">
        <v>1000</v>
      </c>
      <c r="E26">
        <v>12</v>
      </c>
      <c r="F26">
        <v>2</v>
      </c>
      <c r="G26" s="5" t="str">
        <f t="shared" si="0"/>
        <v>29-11-2024 to 30-11-2024</v>
      </c>
      <c r="H26" s="3"/>
      <c r="I26" t="str">
        <f t="shared" si="2"/>
        <v/>
      </c>
    </row>
    <row r="27" spans="1:9">
      <c r="A27" s="1">
        <v>45703</v>
      </c>
      <c r="B27" s="1">
        <v>45709</v>
      </c>
      <c r="C27">
        <v>2200</v>
      </c>
      <c r="D27" s="3">
        <v>1000</v>
      </c>
      <c r="E27">
        <v>31</v>
      </c>
      <c r="F27">
        <v>7</v>
      </c>
      <c r="G27" s="5" t="str">
        <f t="shared" si="0"/>
        <v>15-02-2025 to 21-02-2025</v>
      </c>
      <c r="H27" s="3"/>
      <c r="I27" t="str">
        <f t="shared" si="2"/>
        <v/>
      </c>
    </row>
    <row r="28" spans="1:9">
      <c r="A28" s="1">
        <v>45776</v>
      </c>
      <c r="B28" s="1">
        <v>45777</v>
      </c>
      <c r="C28">
        <v>4100</v>
      </c>
      <c r="D28" s="3">
        <v>900</v>
      </c>
      <c r="E28">
        <v>32</v>
      </c>
      <c r="F28">
        <v>2</v>
      </c>
      <c r="G28" s="5" t="str">
        <f t="shared" si="0"/>
        <v>29-04-2025 to 30-04-2025</v>
      </c>
      <c r="H28" s="3"/>
      <c r="I28" t="str">
        <f t="shared" si="2"/>
        <v/>
      </c>
    </row>
    <row r="29" spans="1:9">
      <c r="A29" s="1">
        <v>45672</v>
      </c>
      <c r="B29" s="1">
        <v>45678</v>
      </c>
      <c r="C29">
        <v>2600</v>
      </c>
      <c r="D29" s="3">
        <v>800</v>
      </c>
      <c r="E29">
        <v>41</v>
      </c>
      <c r="F29">
        <v>7</v>
      </c>
      <c r="G29" s="5" t="str">
        <f t="shared" si="0"/>
        <v>15-01-2025 to 21-01-2025</v>
      </c>
      <c r="H29" s="3"/>
      <c r="I29" t="str">
        <f t="shared" si="2"/>
        <v/>
      </c>
    </row>
    <row r="30" spans="1:9">
      <c r="A30" s="1">
        <v>45655</v>
      </c>
      <c r="B30" s="1">
        <v>45657</v>
      </c>
      <c r="C30">
        <v>1100</v>
      </c>
      <c r="D30" s="3">
        <v>600</v>
      </c>
      <c r="E30">
        <v>7</v>
      </c>
      <c r="F30">
        <v>3</v>
      </c>
      <c r="G30" s="5" t="str">
        <f t="shared" si="0"/>
        <v>29-12-2024 to 31-12-2024</v>
      </c>
      <c r="H30" s="3"/>
      <c r="I30" t="str">
        <f t="shared" si="2"/>
        <v/>
      </c>
    </row>
    <row r="31" spans="1:9">
      <c r="A31" s="1">
        <v>45686</v>
      </c>
      <c r="B31" s="1">
        <v>45688</v>
      </c>
      <c r="C31">
        <v>900</v>
      </c>
      <c r="D31" s="3">
        <v>400</v>
      </c>
      <c r="E31">
        <v>12</v>
      </c>
      <c r="F31">
        <v>3</v>
      </c>
      <c r="G31" s="5" t="str">
        <f t="shared" si="0"/>
        <v>29-01-2025 to 31-01-2025</v>
      </c>
      <c r="H31" s="3"/>
      <c r="I31" t="str">
        <f t="shared" si="2"/>
        <v/>
      </c>
    </row>
    <row r="32" spans="1:9">
      <c r="A32" s="1">
        <v>45679</v>
      </c>
      <c r="B32" s="1">
        <v>45685</v>
      </c>
      <c r="C32">
        <v>1000</v>
      </c>
      <c r="D32" s="3">
        <v>60</v>
      </c>
      <c r="E32">
        <v>8</v>
      </c>
      <c r="F32">
        <v>7</v>
      </c>
      <c r="G32" s="5" t="str">
        <f t="shared" si="0"/>
        <v>22-01-2025 to 28-01-2025</v>
      </c>
      <c r="H32" s="3"/>
      <c r="I32" t="str">
        <f t="shared" si="2"/>
        <v/>
      </c>
    </row>
    <row r="33" spans="1:9">
      <c r="A33" s="1">
        <v>45611</v>
      </c>
      <c r="B33" s="1">
        <v>45617</v>
      </c>
      <c r="C33">
        <v>2000</v>
      </c>
      <c r="D33" s="3">
        <v>-50</v>
      </c>
      <c r="E33">
        <v>18</v>
      </c>
      <c r="F33">
        <v>7</v>
      </c>
      <c r="G33" s="5" t="str">
        <f t="shared" si="0"/>
        <v>15-11-2024 to 21-11-2024</v>
      </c>
      <c r="H33" s="3"/>
      <c r="I33" t="str">
        <f t="shared" si="2"/>
        <v/>
      </c>
    </row>
    <row r="34" spans="1:9">
      <c r="G34" s="5"/>
    </row>
  </sheetData>
  <sortState xmlns:xlrd2="http://schemas.microsoft.com/office/spreadsheetml/2017/richdata2" ref="A2:H33">
    <sortCondition descending="1" ref="H2:H33"/>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CB15F-763C-442B-A341-A07F53530E6C}">
  <dimension ref="A1:G1001"/>
  <sheetViews>
    <sheetView zoomScale="83" workbookViewId="0">
      <selection activeCell="I11" sqref="I11"/>
    </sheetView>
  </sheetViews>
  <sheetFormatPr defaultRowHeight="14.4"/>
  <cols>
    <col min="1" max="1" width="10.33203125" bestFit="1" customWidth="1"/>
    <col min="2" max="2" width="5.5546875" bestFit="1" customWidth="1"/>
    <col min="3" max="3" width="13.44140625" bestFit="1" customWidth="1"/>
    <col min="4" max="4" width="15.44140625" bestFit="1" customWidth="1"/>
    <col min="5" max="5" width="22.6640625" bestFit="1" customWidth="1"/>
    <col min="6" max="6" width="22.77734375" bestFit="1" customWidth="1"/>
    <col min="7" max="7" width="22.6640625" bestFit="1" customWidth="1"/>
  </cols>
  <sheetData>
    <row r="1" spans="1:7">
      <c r="A1" t="s">
        <v>25</v>
      </c>
      <c r="B1" t="s">
        <v>26</v>
      </c>
      <c r="C1" t="s">
        <v>27</v>
      </c>
      <c r="D1" t="s">
        <v>30</v>
      </c>
      <c r="E1" t="s">
        <v>31</v>
      </c>
      <c r="F1" t="s">
        <v>55</v>
      </c>
      <c r="G1" s="9" t="s">
        <v>54</v>
      </c>
    </row>
    <row r="2" spans="1:7">
      <c r="A2" s="1">
        <v>45597</v>
      </c>
      <c r="B2" s="6">
        <v>0.4548611111111111</v>
      </c>
      <c r="C2" t="s">
        <v>22</v>
      </c>
      <c r="D2" s="7">
        <f>VALUE(A2) + VALUE(B2)</f>
        <v>45597.454861111109</v>
      </c>
      <c r="E2" t="str" cm="1">
        <f t="array" ref="E2">INDEX('Top5'!$G$2:$G$100, MATCH(1, (D2&gt;='Top5'!$A$2:$A$100)*(D2&lt;='Top5'!$B$2:$B$100), 0))</f>
        <v>01-11-2024 to 07-11-2024</v>
      </c>
      <c r="F2" t="str">
        <f>IF(COUNTIF('Top5'!I:I, G2) &gt; 0, "Yes", "No")</f>
        <v>No</v>
      </c>
      <c r="G2" t="str">
        <f>TRIM(E2)</f>
        <v>01-11-2024 to 07-11-2024</v>
      </c>
    </row>
    <row r="3" spans="1:7">
      <c r="A3" s="1">
        <v>45597</v>
      </c>
      <c r="B3" s="6">
        <v>0.88749999999999996</v>
      </c>
      <c r="C3" t="s">
        <v>23</v>
      </c>
      <c r="D3" s="7">
        <f t="shared" ref="D3:D66" si="0">VALUE(A3) + VALUE(B3)</f>
        <v>45597.887499999997</v>
      </c>
      <c r="E3" t="str">
        <f t="shared" ref="E3:E66" si="1">TEXT(D3, "dd-mm-yyyy") &amp; " to " &amp; TEXT(D3+6, "dd-mm-yyyy")</f>
        <v>01-11-2024 to 07-11-2024</v>
      </c>
      <c r="F3" t="str">
        <f>IF(COUNTIF('Top5'!I:I, G3) &gt; 0, "Yes", "No")</f>
        <v>No</v>
      </c>
      <c r="G3" t="str">
        <f t="shared" ref="G3:G66" si="2">TRIM(E3)</f>
        <v>01-11-2024 to 07-11-2024</v>
      </c>
    </row>
    <row r="4" spans="1:7">
      <c r="A4" s="1">
        <v>45597</v>
      </c>
      <c r="B4" s="6">
        <v>0.90972222222222221</v>
      </c>
      <c r="C4" t="s">
        <v>23</v>
      </c>
      <c r="D4" s="7">
        <f t="shared" si="0"/>
        <v>45597.909722222219</v>
      </c>
      <c r="E4" t="str">
        <f t="shared" si="1"/>
        <v>01-11-2024 to 07-11-2024</v>
      </c>
      <c r="F4" t="str">
        <f>IF(COUNTIF('Top5'!I:I, G4) &gt; 0, "Yes", "No")</f>
        <v>No</v>
      </c>
      <c r="G4" t="str">
        <f t="shared" si="2"/>
        <v>01-11-2024 to 07-11-2024</v>
      </c>
    </row>
    <row r="5" spans="1:7">
      <c r="A5" s="1">
        <v>45598</v>
      </c>
      <c r="B5" s="6">
        <v>0.33611111111111114</v>
      </c>
      <c r="C5" t="s">
        <v>22</v>
      </c>
      <c r="D5" s="7">
        <f t="shared" si="0"/>
        <v>45598.336111111108</v>
      </c>
      <c r="E5" t="str">
        <f>TEXT(D5, "dd-mm-yyyy") &amp; " to " &amp; TEXT(D5+6, "dd-mm-yyyy")</f>
        <v>02-11-2024 to 08-11-2024</v>
      </c>
      <c r="F5" t="str">
        <f>IF(COUNTIF('Top5'!I:I, G5) &gt; 0, "Yes", "No")</f>
        <v>No</v>
      </c>
      <c r="G5" t="str">
        <f t="shared" si="2"/>
        <v>02-11-2024 to 08-11-2024</v>
      </c>
    </row>
    <row r="6" spans="1:7">
      <c r="A6" s="1">
        <v>45598</v>
      </c>
      <c r="B6" s="6">
        <v>0.56180555555555556</v>
      </c>
      <c r="C6" t="s">
        <v>22</v>
      </c>
      <c r="D6" s="7">
        <f t="shared" si="0"/>
        <v>45598.561805555553</v>
      </c>
      <c r="E6" t="str">
        <f t="shared" si="1"/>
        <v>02-11-2024 to 08-11-2024</v>
      </c>
      <c r="F6" t="str">
        <f>IF(COUNTIF('Top5'!I:I, G6) &gt; 0, "Yes", "No")</f>
        <v>No</v>
      </c>
      <c r="G6" t="str">
        <f t="shared" si="2"/>
        <v>02-11-2024 to 08-11-2024</v>
      </c>
    </row>
    <row r="7" spans="1:7">
      <c r="A7" s="1">
        <v>45598</v>
      </c>
      <c r="B7" s="6">
        <v>0.66874999999999996</v>
      </c>
      <c r="C7" t="s">
        <v>22</v>
      </c>
      <c r="D7" s="7">
        <f t="shared" si="0"/>
        <v>45598.668749999997</v>
      </c>
      <c r="E7" t="str">
        <f t="shared" si="1"/>
        <v>02-11-2024 to 08-11-2024</v>
      </c>
      <c r="F7" t="str">
        <f>IF(COUNTIF('Top5'!I:I, G7) &gt; 0, "Yes", "No")</f>
        <v>No</v>
      </c>
      <c r="G7" t="str">
        <f t="shared" si="2"/>
        <v>02-11-2024 to 08-11-2024</v>
      </c>
    </row>
    <row r="8" spans="1:7">
      <c r="A8" s="1">
        <v>45599</v>
      </c>
      <c r="B8" s="6">
        <v>0.40138888888888891</v>
      </c>
      <c r="C8" t="s">
        <v>22</v>
      </c>
      <c r="D8" s="7">
        <f t="shared" si="0"/>
        <v>45599.401388888888</v>
      </c>
      <c r="E8" t="str">
        <f t="shared" si="1"/>
        <v>03-11-2024 to 09-11-2024</v>
      </c>
      <c r="F8" t="str">
        <f>IF(COUNTIF('Top5'!I:I, G8) &gt; 0, "Yes", "No")</f>
        <v>No</v>
      </c>
      <c r="G8" t="str">
        <f t="shared" si="2"/>
        <v>03-11-2024 to 09-11-2024</v>
      </c>
    </row>
    <row r="9" spans="1:7">
      <c r="A9" s="1">
        <v>45599</v>
      </c>
      <c r="B9" s="6">
        <v>0.40208333333333335</v>
      </c>
      <c r="C9" t="s">
        <v>22</v>
      </c>
      <c r="D9" s="7">
        <f t="shared" si="0"/>
        <v>45599.402083333334</v>
      </c>
      <c r="E9" t="str">
        <f t="shared" si="1"/>
        <v>03-11-2024 to 09-11-2024</v>
      </c>
      <c r="F9" t="str">
        <f>IF(COUNTIF('Top5'!I:I, G9) &gt; 0, "Yes", "No")</f>
        <v>No</v>
      </c>
      <c r="G9" t="str">
        <f t="shared" si="2"/>
        <v>03-11-2024 to 09-11-2024</v>
      </c>
    </row>
    <row r="10" spans="1:7">
      <c r="A10" s="1">
        <v>45599</v>
      </c>
      <c r="B10" s="6">
        <v>0.41597222222222224</v>
      </c>
      <c r="C10" t="s">
        <v>22</v>
      </c>
      <c r="D10" s="7">
        <f t="shared" si="0"/>
        <v>45599.415972222225</v>
      </c>
      <c r="E10" t="str">
        <f t="shared" si="1"/>
        <v>03-11-2024 to 09-11-2024</v>
      </c>
      <c r="F10" t="str">
        <f>IF(COUNTIF('Top5'!I:I, G10) &gt; 0, "Yes", "No")</f>
        <v>No</v>
      </c>
      <c r="G10" t="str">
        <f t="shared" si="2"/>
        <v>03-11-2024 to 09-11-2024</v>
      </c>
    </row>
    <row r="11" spans="1:7">
      <c r="A11" s="1">
        <v>45599</v>
      </c>
      <c r="B11" s="6">
        <v>0.50694444444444442</v>
      </c>
      <c r="C11" t="s">
        <v>22</v>
      </c>
      <c r="D11" s="7">
        <f t="shared" si="0"/>
        <v>45599.506944444445</v>
      </c>
      <c r="E11" t="str">
        <f t="shared" si="1"/>
        <v>03-11-2024 to 09-11-2024</v>
      </c>
      <c r="F11" t="str">
        <f>IF(COUNTIF('Top5'!I:I, G11) &gt; 0, "Yes", "No")</f>
        <v>No</v>
      </c>
      <c r="G11" t="str">
        <f t="shared" si="2"/>
        <v>03-11-2024 to 09-11-2024</v>
      </c>
    </row>
    <row r="12" spans="1:7">
      <c r="A12" s="1">
        <v>45599</v>
      </c>
      <c r="B12" s="6">
        <v>0.5756944444444444</v>
      </c>
      <c r="C12" t="s">
        <v>22</v>
      </c>
      <c r="D12" s="7">
        <f t="shared" si="0"/>
        <v>45599.575694444444</v>
      </c>
      <c r="E12" t="str">
        <f t="shared" si="1"/>
        <v>03-11-2024 to 09-11-2024</v>
      </c>
      <c r="F12" t="str">
        <f>IF(COUNTIF('Top5'!I:I, G12) &gt; 0, "Yes", "No")</f>
        <v>No</v>
      </c>
      <c r="G12" t="str">
        <f t="shared" si="2"/>
        <v>03-11-2024 to 09-11-2024</v>
      </c>
    </row>
    <row r="13" spans="1:7">
      <c r="A13" s="1">
        <v>45599</v>
      </c>
      <c r="B13" s="6">
        <v>0.59097222222222223</v>
      </c>
      <c r="C13" t="s">
        <v>22</v>
      </c>
      <c r="D13" s="7">
        <f t="shared" si="0"/>
        <v>45599.59097222222</v>
      </c>
      <c r="E13" t="str">
        <f t="shared" si="1"/>
        <v>03-11-2024 to 09-11-2024</v>
      </c>
      <c r="F13" t="str">
        <f>IF(COUNTIF('Top5'!I:I, G13) &gt; 0, "Yes", "No")</f>
        <v>No</v>
      </c>
      <c r="G13" t="str">
        <f t="shared" si="2"/>
        <v>03-11-2024 to 09-11-2024</v>
      </c>
    </row>
    <row r="14" spans="1:7">
      <c r="A14" s="1">
        <v>45599</v>
      </c>
      <c r="B14" s="6">
        <v>0.72291666666666665</v>
      </c>
      <c r="C14" t="s">
        <v>23</v>
      </c>
      <c r="D14" s="7">
        <f t="shared" si="0"/>
        <v>45599.722916666666</v>
      </c>
      <c r="E14" t="str">
        <f t="shared" si="1"/>
        <v>03-11-2024 to 09-11-2024</v>
      </c>
      <c r="F14" t="str">
        <f>IF(COUNTIF('Top5'!I:I, G14) &gt; 0, "Yes", "No")</f>
        <v>No</v>
      </c>
      <c r="G14" t="str">
        <f t="shared" si="2"/>
        <v>03-11-2024 to 09-11-2024</v>
      </c>
    </row>
    <row r="15" spans="1:7">
      <c r="A15" s="1">
        <v>45599</v>
      </c>
      <c r="B15" s="6">
        <v>0.73402777777777772</v>
      </c>
      <c r="C15" t="s">
        <v>23</v>
      </c>
      <c r="D15" s="7">
        <f t="shared" si="0"/>
        <v>45599.734027777777</v>
      </c>
      <c r="E15" t="str">
        <f t="shared" si="1"/>
        <v>03-11-2024 to 09-11-2024</v>
      </c>
      <c r="F15" t="str">
        <f>IF(COUNTIF('Top5'!I:I, G15) &gt; 0, "Yes", "No")</f>
        <v>No</v>
      </c>
      <c r="G15" t="str">
        <f t="shared" si="2"/>
        <v>03-11-2024 to 09-11-2024</v>
      </c>
    </row>
    <row r="16" spans="1:7">
      <c r="A16" s="1">
        <v>45600</v>
      </c>
      <c r="B16" s="6">
        <v>0.39513888888888887</v>
      </c>
      <c r="C16" t="s">
        <v>22</v>
      </c>
      <c r="D16" s="7">
        <f t="shared" si="0"/>
        <v>45600.395138888889</v>
      </c>
      <c r="E16" t="str">
        <f t="shared" si="1"/>
        <v>04-11-2024 to 10-11-2024</v>
      </c>
      <c r="F16" t="str">
        <f>IF(COUNTIF('Top5'!I:I, G16) &gt; 0, "Yes", "No")</f>
        <v>No</v>
      </c>
      <c r="G16" t="str">
        <f t="shared" si="2"/>
        <v>04-11-2024 to 10-11-2024</v>
      </c>
    </row>
    <row r="17" spans="1:7">
      <c r="A17" s="1">
        <v>45600</v>
      </c>
      <c r="B17" s="6">
        <v>0.81527777777777777</v>
      </c>
      <c r="C17" t="s">
        <v>23</v>
      </c>
      <c r="D17" s="7">
        <f t="shared" si="0"/>
        <v>45600.81527777778</v>
      </c>
      <c r="E17" t="str">
        <f t="shared" si="1"/>
        <v>04-11-2024 to 10-11-2024</v>
      </c>
      <c r="F17" t="str">
        <f>IF(COUNTIF('Top5'!I:I, G17) &gt; 0, "Yes", "No")</f>
        <v>No</v>
      </c>
      <c r="G17" t="str">
        <f t="shared" si="2"/>
        <v>04-11-2024 to 10-11-2024</v>
      </c>
    </row>
    <row r="18" spans="1:7">
      <c r="A18" s="1">
        <v>45600</v>
      </c>
      <c r="B18" s="6">
        <v>0.84930555555555554</v>
      </c>
      <c r="C18" t="s">
        <v>23</v>
      </c>
      <c r="D18" s="7">
        <f t="shared" si="0"/>
        <v>45600.849305555559</v>
      </c>
      <c r="E18" t="str">
        <f t="shared" si="1"/>
        <v>04-11-2024 to 10-11-2024</v>
      </c>
      <c r="F18" t="str">
        <f>IF(COUNTIF('Top5'!I:I, G18) &gt; 0, "Yes", "No")</f>
        <v>No</v>
      </c>
      <c r="G18" t="str">
        <f t="shared" si="2"/>
        <v>04-11-2024 to 10-11-2024</v>
      </c>
    </row>
    <row r="19" spans="1:7">
      <c r="A19" s="1">
        <v>45600</v>
      </c>
      <c r="B19" s="6">
        <v>0.85347222222222219</v>
      </c>
      <c r="C19" t="s">
        <v>23</v>
      </c>
      <c r="D19" s="7">
        <f t="shared" si="0"/>
        <v>45600.853472222225</v>
      </c>
      <c r="E19" t="str">
        <f t="shared" si="1"/>
        <v>04-11-2024 to 10-11-2024</v>
      </c>
      <c r="F19" t="str">
        <f>IF(COUNTIF('Top5'!I:I, G19) &gt; 0, "Yes", "No")</f>
        <v>No</v>
      </c>
      <c r="G19" t="str">
        <f t="shared" si="2"/>
        <v>04-11-2024 to 10-11-2024</v>
      </c>
    </row>
    <row r="20" spans="1:7">
      <c r="A20" s="1">
        <v>45601</v>
      </c>
      <c r="B20" s="6">
        <v>0.47013888888888888</v>
      </c>
      <c r="C20" t="s">
        <v>22</v>
      </c>
      <c r="D20" s="7">
        <f t="shared" si="0"/>
        <v>45601.470138888886</v>
      </c>
      <c r="E20" t="str">
        <f t="shared" si="1"/>
        <v>05-11-2024 to 11-11-2024</v>
      </c>
      <c r="F20" t="str">
        <f>IF(COUNTIF('Top5'!I:I, G20) &gt; 0, "Yes", "No")</f>
        <v>No</v>
      </c>
      <c r="G20" t="str">
        <f t="shared" si="2"/>
        <v>05-11-2024 to 11-11-2024</v>
      </c>
    </row>
    <row r="21" spans="1:7">
      <c r="A21" s="1">
        <v>45601</v>
      </c>
      <c r="B21" s="6">
        <v>0.6166666666666667</v>
      </c>
      <c r="C21" t="s">
        <v>22</v>
      </c>
      <c r="D21" s="7">
        <f t="shared" si="0"/>
        <v>45601.616666666669</v>
      </c>
      <c r="E21" t="str">
        <f t="shared" si="1"/>
        <v>05-11-2024 to 11-11-2024</v>
      </c>
      <c r="F21" t="str">
        <f>IF(COUNTIF('Top5'!I:I, G21) &gt; 0, "Yes", "No")</f>
        <v>No</v>
      </c>
      <c r="G21" t="str">
        <f t="shared" si="2"/>
        <v>05-11-2024 to 11-11-2024</v>
      </c>
    </row>
    <row r="22" spans="1:7">
      <c r="A22" s="1">
        <v>45603</v>
      </c>
      <c r="B22" s="6">
        <v>0.37361111111111112</v>
      </c>
      <c r="C22" t="s">
        <v>22</v>
      </c>
      <c r="D22" s="7">
        <f t="shared" si="0"/>
        <v>45603.373611111114</v>
      </c>
      <c r="E22" t="str">
        <f t="shared" si="1"/>
        <v>07-11-2024 to 13-11-2024</v>
      </c>
      <c r="F22" t="str">
        <f>IF(COUNTIF('Top5'!I:I, G22) &gt; 0, "Yes", "No")</f>
        <v>No</v>
      </c>
      <c r="G22" t="str">
        <f t="shared" si="2"/>
        <v>07-11-2024 to 13-11-2024</v>
      </c>
    </row>
    <row r="23" spans="1:7">
      <c r="A23" s="1">
        <v>45604</v>
      </c>
      <c r="B23" s="6">
        <v>0.76527777777777772</v>
      </c>
      <c r="C23" t="s">
        <v>23</v>
      </c>
      <c r="D23" s="7">
        <f t="shared" si="0"/>
        <v>45604.765277777777</v>
      </c>
      <c r="E23" t="str">
        <f t="shared" si="1"/>
        <v>08-11-2024 to 14-11-2024</v>
      </c>
      <c r="F23" t="str">
        <f>IF(COUNTIF('Top5'!I:I, G23) &gt; 0, "Yes", "No")</f>
        <v>No</v>
      </c>
      <c r="G23" t="str">
        <f t="shared" si="2"/>
        <v>08-11-2024 to 14-11-2024</v>
      </c>
    </row>
    <row r="24" spans="1:7">
      <c r="A24" s="1">
        <v>45604</v>
      </c>
      <c r="B24" s="6">
        <v>0.78402777777777777</v>
      </c>
      <c r="C24" t="s">
        <v>23</v>
      </c>
      <c r="D24" s="7">
        <f t="shared" si="0"/>
        <v>45604.78402777778</v>
      </c>
      <c r="E24" t="str">
        <f t="shared" si="1"/>
        <v>08-11-2024 to 14-11-2024</v>
      </c>
      <c r="F24" t="str">
        <f>IF(COUNTIF('Top5'!I:I, G24) &gt; 0, "Yes", "No")</f>
        <v>No</v>
      </c>
      <c r="G24" t="str">
        <f t="shared" si="2"/>
        <v>08-11-2024 to 14-11-2024</v>
      </c>
    </row>
    <row r="25" spans="1:7">
      <c r="A25" s="1">
        <v>45605</v>
      </c>
      <c r="B25" s="6">
        <v>0.6333333333333333</v>
      </c>
      <c r="C25" t="s">
        <v>22</v>
      </c>
      <c r="D25" s="7">
        <f t="shared" si="0"/>
        <v>45605.633333333331</v>
      </c>
      <c r="E25" t="str">
        <f t="shared" si="1"/>
        <v>09-11-2024 to 15-11-2024</v>
      </c>
      <c r="F25" t="str">
        <f>IF(COUNTIF('Top5'!I:I, G25) &gt; 0, "Yes", "No")</f>
        <v>No</v>
      </c>
      <c r="G25" t="str">
        <f t="shared" si="2"/>
        <v>09-11-2024 to 15-11-2024</v>
      </c>
    </row>
    <row r="26" spans="1:7">
      <c r="A26" s="1">
        <v>45606</v>
      </c>
      <c r="B26" s="6">
        <v>0.52986111111111112</v>
      </c>
      <c r="C26" t="s">
        <v>22</v>
      </c>
      <c r="D26" s="7">
        <f t="shared" si="0"/>
        <v>45606.529861111114</v>
      </c>
      <c r="E26" t="str">
        <f t="shared" si="1"/>
        <v>10-11-2024 to 16-11-2024</v>
      </c>
      <c r="F26" t="str">
        <f>IF(COUNTIF('Top5'!I:I, G26) &gt; 0, "Yes", "No")</f>
        <v>No</v>
      </c>
      <c r="G26" t="str">
        <f t="shared" si="2"/>
        <v>10-11-2024 to 16-11-2024</v>
      </c>
    </row>
    <row r="27" spans="1:7">
      <c r="A27" s="1">
        <v>45606</v>
      </c>
      <c r="B27" s="6">
        <v>0.54722222222222228</v>
      </c>
      <c r="C27" t="s">
        <v>22</v>
      </c>
      <c r="D27" s="7">
        <f t="shared" si="0"/>
        <v>45606.547222222223</v>
      </c>
      <c r="E27" t="str">
        <f t="shared" si="1"/>
        <v>10-11-2024 to 16-11-2024</v>
      </c>
      <c r="F27" t="str">
        <f>IF(COUNTIF('Top5'!I:I, G27) &gt; 0, "Yes", "No")</f>
        <v>No</v>
      </c>
      <c r="G27" t="str">
        <f t="shared" si="2"/>
        <v>10-11-2024 to 16-11-2024</v>
      </c>
    </row>
    <row r="28" spans="1:7">
      <c r="A28" s="1">
        <v>45606</v>
      </c>
      <c r="B28" s="6">
        <v>0.61319444444444449</v>
      </c>
      <c r="C28" t="s">
        <v>22</v>
      </c>
      <c r="D28" s="7">
        <f t="shared" si="0"/>
        <v>45606.613194444442</v>
      </c>
      <c r="E28" t="str">
        <f t="shared" si="1"/>
        <v>10-11-2024 to 16-11-2024</v>
      </c>
      <c r="F28" t="str">
        <f>IF(COUNTIF('Top5'!I:I, G28) &gt; 0, "Yes", "No")</f>
        <v>No</v>
      </c>
      <c r="G28" t="str">
        <f t="shared" si="2"/>
        <v>10-11-2024 to 16-11-2024</v>
      </c>
    </row>
    <row r="29" spans="1:7">
      <c r="A29" s="1">
        <v>45606</v>
      </c>
      <c r="B29" s="6">
        <v>0.61805555555555558</v>
      </c>
      <c r="C29" t="s">
        <v>22</v>
      </c>
      <c r="D29" s="7">
        <f t="shared" si="0"/>
        <v>45606.618055555555</v>
      </c>
      <c r="E29" t="str">
        <f t="shared" si="1"/>
        <v>10-11-2024 to 16-11-2024</v>
      </c>
      <c r="F29" t="str">
        <f>IF(COUNTIF('Top5'!I:I, G29) &gt; 0, "Yes", "No")</f>
        <v>No</v>
      </c>
      <c r="G29" t="str">
        <f t="shared" si="2"/>
        <v>10-11-2024 to 16-11-2024</v>
      </c>
    </row>
    <row r="30" spans="1:7">
      <c r="A30" s="1">
        <v>45606</v>
      </c>
      <c r="B30" s="6">
        <v>0.65347222222222223</v>
      </c>
      <c r="C30" t="s">
        <v>22</v>
      </c>
      <c r="D30" s="7">
        <f t="shared" si="0"/>
        <v>45606.65347222222</v>
      </c>
      <c r="E30" t="str">
        <f t="shared" si="1"/>
        <v>10-11-2024 to 16-11-2024</v>
      </c>
      <c r="F30" t="str">
        <f>IF(COUNTIF('Top5'!I:I, G30) &gt; 0, "Yes", "No")</f>
        <v>No</v>
      </c>
      <c r="G30" t="str">
        <f t="shared" si="2"/>
        <v>10-11-2024 to 16-11-2024</v>
      </c>
    </row>
    <row r="31" spans="1:7">
      <c r="A31" s="1">
        <v>45606</v>
      </c>
      <c r="B31" s="6">
        <v>0.72430555555555554</v>
      </c>
      <c r="C31" t="s">
        <v>23</v>
      </c>
      <c r="D31" s="7">
        <f t="shared" si="0"/>
        <v>45606.724305555559</v>
      </c>
      <c r="E31" t="str">
        <f t="shared" si="1"/>
        <v>10-11-2024 to 16-11-2024</v>
      </c>
      <c r="F31" t="str">
        <f>IF(COUNTIF('Top5'!I:I, G31) &gt; 0, "Yes", "No")</f>
        <v>No</v>
      </c>
      <c r="G31" t="str">
        <f t="shared" si="2"/>
        <v>10-11-2024 to 16-11-2024</v>
      </c>
    </row>
    <row r="32" spans="1:7">
      <c r="A32" s="1">
        <v>45606</v>
      </c>
      <c r="B32" s="6">
        <v>0.73333333333333328</v>
      </c>
      <c r="C32" t="s">
        <v>23</v>
      </c>
      <c r="D32" s="7">
        <f t="shared" si="0"/>
        <v>45606.73333333333</v>
      </c>
      <c r="E32" t="str">
        <f t="shared" si="1"/>
        <v>10-11-2024 to 16-11-2024</v>
      </c>
      <c r="F32" t="str">
        <f>IF(COUNTIF('Top5'!I:I, G32) &gt; 0, "Yes", "No")</f>
        <v>No</v>
      </c>
      <c r="G32" t="str">
        <f t="shared" si="2"/>
        <v>10-11-2024 to 16-11-2024</v>
      </c>
    </row>
    <row r="33" spans="1:7">
      <c r="A33" s="1">
        <v>45606</v>
      </c>
      <c r="B33" s="6">
        <v>0.93402777777777779</v>
      </c>
      <c r="C33" t="s">
        <v>23</v>
      </c>
      <c r="D33" s="7">
        <f t="shared" si="0"/>
        <v>45606.934027777781</v>
      </c>
      <c r="E33" t="str">
        <f t="shared" si="1"/>
        <v>10-11-2024 to 16-11-2024</v>
      </c>
      <c r="F33" t="str">
        <f>IF(COUNTIF('Top5'!I:I, G33) &gt; 0, "Yes", "No")</f>
        <v>No</v>
      </c>
      <c r="G33" t="str">
        <f t="shared" si="2"/>
        <v>10-11-2024 to 16-11-2024</v>
      </c>
    </row>
    <row r="34" spans="1:7">
      <c r="A34" s="1">
        <v>45607</v>
      </c>
      <c r="B34" s="6">
        <v>0.42152777777777778</v>
      </c>
      <c r="C34" t="s">
        <v>22</v>
      </c>
      <c r="D34" s="7">
        <f t="shared" si="0"/>
        <v>45607.421527777777</v>
      </c>
      <c r="E34" t="str">
        <f t="shared" si="1"/>
        <v>11-11-2024 to 17-11-2024</v>
      </c>
      <c r="F34" t="str">
        <f>IF(COUNTIF('Top5'!I:I, G34) &gt; 0, "Yes", "No")</f>
        <v>No</v>
      </c>
      <c r="G34" t="str">
        <f t="shared" si="2"/>
        <v>11-11-2024 to 17-11-2024</v>
      </c>
    </row>
    <row r="35" spans="1:7">
      <c r="A35" s="1">
        <v>45607</v>
      </c>
      <c r="B35" s="6">
        <v>0.42152777777777778</v>
      </c>
      <c r="C35" t="s">
        <v>22</v>
      </c>
      <c r="D35" s="7">
        <f t="shared" si="0"/>
        <v>45607.421527777777</v>
      </c>
      <c r="E35" t="str">
        <f t="shared" si="1"/>
        <v>11-11-2024 to 17-11-2024</v>
      </c>
      <c r="F35" t="str">
        <f>IF(COUNTIF('Top5'!I:I, G35) &gt; 0, "Yes", "No")</f>
        <v>No</v>
      </c>
      <c r="G35" t="str">
        <f t="shared" si="2"/>
        <v>11-11-2024 to 17-11-2024</v>
      </c>
    </row>
    <row r="36" spans="1:7">
      <c r="A36" s="1">
        <v>45607</v>
      </c>
      <c r="B36" s="6">
        <v>0.53263888888888888</v>
      </c>
      <c r="C36" t="s">
        <v>22</v>
      </c>
      <c r="D36" s="7">
        <f t="shared" si="0"/>
        <v>45607.532638888886</v>
      </c>
      <c r="E36" t="str">
        <f t="shared" si="1"/>
        <v>11-11-2024 to 17-11-2024</v>
      </c>
      <c r="F36" t="str">
        <f>IF(COUNTIF('Top5'!I:I, G36) &gt; 0, "Yes", "No")</f>
        <v>No</v>
      </c>
      <c r="G36" t="str">
        <f t="shared" si="2"/>
        <v>11-11-2024 to 17-11-2024</v>
      </c>
    </row>
    <row r="37" spans="1:7">
      <c r="A37" s="1">
        <v>45608</v>
      </c>
      <c r="B37" s="6">
        <v>0.42638888888888887</v>
      </c>
      <c r="C37" t="s">
        <v>22</v>
      </c>
      <c r="D37" s="7">
        <f t="shared" si="0"/>
        <v>45608.426388888889</v>
      </c>
      <c r="E37" t="str">
        <f t="shared" si="1"/>
        <v>12-11-2024 to 18-11-2024</v>
      </c>
      <c r="F37" t="str">
        <f>IF(COUNTIF('Top5'!I:I, G37) &gt; 0, "Yes", "No")</f>
        <v>No</v>
      </c>
      <c r="G37" t="str">
        <f t="shared" si="2"/>
        <v>12-11-2024 to 18-11-2024</v>
      </c>
    </row>
    <row r="38" spans="1:7">
      <c r="A38" s="1">
        <v>45608</v>
      </c>
      <c r="B38" s="6">
        <v>0.42638888888888887</v>
      </c>
      <c r="C38" t="s">
        <v>22</v>
      </c>
      <c r="D38" s="7">
        <f t="shared" si="0"/>
        <v>45608.426388888889</v>
      </c>
      <c r="E38" t="str">
        <f t="shared" si="1"/>
        <v>12-11-2024 to 18-11-2024</v>
      </c>
      <c r="F38" t="str">
        <f>IF(COUNTIF('Top5'!I:I, G38) &gt; 0, "Yes", "No")</f>
        <v>No</v>
      </c>
      <c r="G38" t="str">
        <f t="shared" si="2"/>
        <v>12-11-2024 to 18-11-2024</v>
      </c>
    </row>
    <row r="39" spans="1:7">
      <c r="A39" s="1">
        <v>45608</v>
      </c>
      <c r="B39" s="6">
        <v>0.43611111111111112</v>
      </c>
      <c r="C39" t="s">
        <v>22</v>
      </c>
      <c r="D39" s="7">
        <f t="shared" si="0"/>
        <v>45608.436111111114</v>
      </c>
      <c r="E39" t="str">
        <f t="shared" si="1"/>
        <v>12-11-2024 to 18-11-2024</v>
      </c>
      <c r="F39" t="str">
        <f>IF(COUNTIF('Top5'!I:I, G39) &gt; 0, "Yes", "No")</f>
        <v>No</v>
      </c>
      <c r="G39" t="str">
        <f t="shared" si="2"/>
        <v>12-11-2024 to 18-11-2024</v>
      </c>
    </row>
    <row r="40" spans="1:7">
      <c r="A40" s="1">
        <v>45608</v>
      </c>
      <c r="B40" s="6">
        <v>0.4375</v>
      </c>
      <c r="C40" t="s">
        <v>22</v>
      </c>
      <c r="D40" s="7">
        <f t="shared" si="0"/>
        <v>45608.4375</v>
      </c>
      <c r="E40" t="str">
        <f t="shared" si="1"/>
        <v>12-11-2024 to 18-11-2024</v>
      </c>
      <c r="F40" t="str">
        <f>IF(COUNTIF('Top5'!I:I, G40) &gt; 0, "Yes", "No")</f>
        <v>No</v>
      </c>
      <c r="G40" t="str">
        <f t="shared" si="2"/>
        <v>12-11-2024 to 18-11-2024</v>
      </c>
    </row>
    <row r="41" spans="1:7">
      <c r="A41" s="1">
        <v>45608</v>
      </c>
      <c r="B41" s="6">
        <v>0.69097222222222221</v>
      </c>
      <c r="C41" t="s">
        <v>22</v>
      </c>
      <c r="D41" s="7">
        <f t="shared" si="0"/>
        <v>45608.690972222219</v>
      </c>
      <c r="E41" t="str">
        <f t="shared" si="1"/>
        <v>12-11-2024 to 18-11-2024</v>
      </c>
      <c r="F41" t="str">
        <f>IF(COUNTIF('Top5'!I:I, G41) &gt; 0, "Yes", "No")</f>
        <v>No</v>
      </c>
      <c r="G41" t="str">
        <f t="shared" si="2"/>
        <v>12-11-2024 to 18-11-2024</v>
      </c>
    </row>
    <row r="42" spans="1:7">
      <c r="A42" s="1">
        <v>45608</v>
      </c>
      <c r="B42" s="6">
        <v>0.70902777777777781</v>
      </c>
      <c r="C42" t="s">
        <v>23</v>
      </c>
      <c r="D42" s="7">
        <f t="shared" si="0"/>
        <v>45608.709027777775</v>
      </c>
      <c r="E42" t="str">
        <f t="shared" si="1"/>
        <v>12-11-2024 to 18-11-2024</v>
      </c>
      <c r="F42" t="str">
        <f>IF(COUNTIF('Top5'!I:I, G42) &gt; 0, "Yes", "No")</f>
        <v>No</v>
      </c>
      <c r="G42" t="str">
        <f t="shared" si="2"/>
        <v>12-11-2024 to 18-11-2024</v>
      </c>
    </row>
    <row r="43" spans="1:7">
      <c r="A43" s="1">
        <v>45608</v>
      </c>
      <c r="B43" s="6">
        <v>0.82291666666666663</v>
      </c>
      <c r="C43" t="s">
        <v>23</v>
      </c>
      <c r="D43" s="7">
        <f t="shared" si="0"/>
        <v>45608.822916666664</v>
      </c>
      <c r="E43" t="str">
        <f t="shared" si="1"/>
        <v>12-11-2024 to 18-11-2024</v>
      </c>
      <c r="F43" t="str">
        <f>IF(COUNTIF('Top5'!I:I, G43) &gt; 0, "Yes", "No")</f>
        <v>No</v>
      </c>
      <c r="G43" t="str">
        <f t="shared" si="2"/>
        <v>12-11-2024 to 18-11-2024</v>
      </c>
    </row>
    <row r="44" spans="1:7">
      <c r="A44" s="1">
        <v>45609</v>
      </c>
      <c r="B44" s="6">
        <v>0.39305555555555555</v>
      </c>
      <c r="C44" t="s">
        <v>22</v>
      </c>
      <c r="D44" s="7">
        <f t="shared" si="0"/>
        <v>45609.393055555556</v>
      </c>
      <c r="E44" t="str">
        <f t="shared" si="1"/>
        <v>13-11-2024 to 19-11-2024</v>
      </c>
      <c r="F44" t="str">
        <f>IF(COUNTIF('Top5'!I:I, G44) &gt; 0, "Yes", "No")</f>
        <v>No</v>
      </c>
      <c r="G44" t="str">
        <f t="shared" si="2"/>
        <v>13-11-2024 to 19-11-2024</v>
      </c>
    </row>
    <row r="45" spans="1:7">
      <c r="A45" s="1">
        <v>45609</v>
      </c>
      <c r="B45" s="6">
        <v>0.40763888888888888</v>
      </c>
      <c r="C45" t="s">
        <v>22</v>
      </c>
      <c r="D45" s="7">
        <f t="shared" si="0"/>
        <v>45609.407638888886</v>
      </c>
      <c r="E45" t="str">
        <f t="shared" si="1"/>
        <v>13-11-2024 to 19-11-2024</v>
      </c>
      <c r="F45" t="str">
        <f>IF(COUNTIF('Top5'!I:I, G45) &gt; 0, "Yes", "No")</f>
        <v>No</v>
      </c>
      <c r="G45" t="str">
        <f t="shared" si="2"/>
        <v>13-11-2024 to 19-11-2024</v>
      </c>
    </row>
    <row r="46" spans="1:7">
      <c r="A46" s="1">
        <v>45609</v>
      </c>
      <c r="B46" s="6">
        <v>0.4548611111111111</v>
      </c>
      <c r="C46" t="s">
        <v>22</v>
      </c>
      <c r="D46" s="7">
        <f t="shared" si="0"/>
        <v>45609.454861111109</v>
      </c>
      <c r="E46" t="str">
        <f t="shared" si="1"/>
        <v>13-11-2024 to 19-11-2024</v>
      </c>
      <c r="F46" t="str">
        <f>IF(COUNTIF('Top5'!I:I, G46) &gt; 0, "Yes", "No")</f>
        <v>No</v>
      </c>
      <c r="G46" t="str">
        <f t="shared" si="2"/>
        <v>13-11-2024 to 19-11-2024</v>
      </c>
    </row>
    <row r="47" spans="1:7">
      <c r="A47" s="1">
        <v>45609</v>
      </c>
      <c r="B47" s="6">
        <v>0.45624999999999999</v>
      </c>
      <c r="C47" t="s">
        <v>22</v>
      </c>
      <c r="D47" s="7">
        <f t="shared" si="0"/>
        <v>45609.456250000003</v>
      </c>
      <c r="E47" t="str">
        <f t="shared" si="1"/>
        <v>13-11-2024 to 19-11-2024</v>
      </c>
      <c r="F47" t="str">
        <f>IF(COUNTIF('Top5'!I:I, G47) &gt; 0, "Yes", "No")</f>
        <v>No</v>
      </c>
      <c r="G47" t="str">
        <f t="shared" si="2"/>
        <v>13-11-2024 to 19-11-2024</v>
      </c>
    </row>
    <row r="48" spans="1:7">
      <c r="A48" s="1">
        <v>45609</v>
      </c>
      <c r="B48" s="6">
        <v>0.72430555555555554</v>
      </c>
      <c r="C48" t="s">
        <v>23</v>
      </c>
      <c r="D48" s="7">
        <f t="shared" si="0"/>
        <v>45609.724305555559</v>
      </c>
      <c r="E48" t="str">
        <f t="shared" si="1"/>
        <v>13-11-2024 to 19-11-2024</v>
      </c>
      <c r="F48" t="str">
        <f>IF(COUNTIF('Top5'!I:I, G48) &gt; 0, "Yes", "No")</f>
        <v>No</v>
      </c>
      <c r="G48" t="str">
        <f t="shared" si="2"/>
        <v>13-11-2024 to 19-11-2024</v>
      </c>
    </row>
    <row r="49" spans="1:7">
      <c r="A49" s="1">
        <v>45610</v>
      </c>
      <c r="B49" s="6">
        <v>0.38819444444444445</v>
      </c>
      <c r="C49" t="s">
        <v>22</v>
      </c>
      <c r="D49" s="7">
        <f t="shared" si="0"/>
        <v>45610.388194444444</v>
      </c>
      <c r="E49" t="str">
        <f t="shared" si="1"/>
        <v>14-11-2024 to 20-11-2024</v>
      </c>
      <c r="F49" t="str">
        <f>IF(COUNTIF('Top5'!I:I, G49) &gt; 0, "Yes", "No")</f>
        <v>No</v>
      </c>
      <c r="G49" t="str">
        <f t="shared" si="2"/>
        <v>14-11-2024 to 20-11-2024</v>
      </c>
    </row>
    <row r="50" spans="1:7">
      <c r="A50" s="1">
        <v>45610</v>
      </c>
      <c r="B50" s="6">
        <v>0.51736111111111116</v>
      </c>
      <c r="C50" t="s">
        <v>22</v>
      </c>
      <c r="D50" s="7">
        <f t="shared" si="0"/>
        <v>45610.517361111109</v>
      </c>
      <c r="E50" t="str">
        <f t="shared" si="1"/>
        <v>14-11-2024 to 20-11-2024</v>
      </c>
      <c r="F50" t="str">
        <f>IF(COUNTIF('Top5'!I:I, G50) &gt; 0, "Yes", "No")</f>
        <v>No</v>
      </c>
      <c r="G50" t="str">
        <f t="shared" si="2"/>
        <v>14-11-2024 to 20-11-2024</v>
      </c>
    </row>
    <row r="51" spans="1:7">
      <c r="A51" s="1">
        <v>45610</v>
      </c>
      <c r="B51" s="6">
        <v>0.53611111111111109</v>
      </c>
      <c r="C51" t="s">
        <v>22</v>
      </c>
      <c r="D51" s="7">
        <f t="shared" si="0"/>
        <v>45610.536111111112</v>
      </c>
      <c r="E51" t="str">
        <f t="shared" si="1"/>
        <v>14-11-2024 to 20-11-2024</v>
      </c>
      <c r="F51" t="str">
        <f>IF(COUNTIF('Top5'!I:I, G51) &gt; 0, "Yes", "No")</f>
        <v>No</v>
      </c>
      <c r="G51" t="str">
        <f t="shared" si="2"/>
        <v>14-11-2024 to 20-11-2024</v>
      </c>
    </row>
    <row r="52" spans="1:7">
      <c r="A52" s="1">
        <v>45610</v>
      </c>
      <c r="B52" s="6">
        <v>0.56319444444444444</v>
      </c>
      <c r="C52" t="s">
        <v>22</v>
      </c>
      <c r="D52" s="7">
        <f t="shared" si="0"/>
        <v>45610.563194444447</v>
      </c>
      <c r="E52" t="str">
        <f t="shared" si="1"/>
        <v>14-11-2024 to 20-11-2024</v>
      </c>
      <c r="F52" t="str">
        <f>IF(COUNTIF('Top5'!I:I, G52) &gt; 0, "Yes", "No")</f>
        <v>No</v>
      </c>
      <c r="G52" t="str">
        <f t="shared" si="2"/>
        <v>14-11-2024 to 20-11-2024</v>
      </c>
    </row>
    <row r="53" spans="1:7">
      <c r="A53" s="1">
        <v>45610</v>
      </c>
      <c r="B53" s="6">
        <v>0.59097222222222223</v>
      </c>
      <c r="C53" t="s">
        <v>22</v>
      </c>
      <c r="D53" s="7">
        <f t="shared" si="0"/>
        <v>45610.59097222222</v>
      </c>
      <c r="E53" t="str">
        <f t="shared" si="1"/>
        <v>14-11-2024 to 20-11-2024</v>
      </c>
      <c r="F53" t="str">
        <f>IF(COUNTIF('Top5'!I:I, G53) &gt; 0, "Yes", "No")</f>
        <v>No</v>
      </c>
      <c r="G53" t="str">
        <f t="shared" si="2"/>
        <v>14-11-2024 to 20-11-2024</v>
      </c>
    </row>
    <row r="54" spans="1:7">
      <c r="A54" s="1">
        <v>45612</v>
      </c>
      <c r="B54" s="6">
        <v>0.50138888888888888</v>
      </c>
      <c r="C54" t="s">
        <v>22</v>
      </c>
      <c r="D54" s="7">
        <f t="shared" si="0"/>
        <v>45612.501388888886</v>
      </c>
      <c r="E54" t="str">
        <f t="shared" si="1"/>
        <v>16-11-2024 to 22-11-2024</v>
      </c>
      <c r="F54" t="str">
        <f>IF(COUNTIF('Top5'!I:I, G54) &gt; 0, "Yes", "No")</f>
        <v>No</v>
      </c>
      <c r="G54" t="str">
        <f t="shared" si="2"/>
        <v>16-11-2024 to 22-11-2024</v>
      </c>
    </row>
    <row r="55" spans="1:7">
      <c r="A55" s="1">
        <v>45612</v>
      </c>
      <c r="B55" s="6">
        <v>0.94652777777777775</v>
      </c>
      <c r="C55" t="s">
        <v>23</v>
      </c>
      <c r="D55" s="7">
        <f t="shared" si="0"/>
        <v>45612.946527777778</v>
      </c>
      <c r="E55" t="str">
        <f t="shared" si="1"/>
        <v>16-11-2024 to 22-11-2024</v>
      </c>
      <c r="F55" t="str">
        <f>IF(COUNTIF('Top5'!I:I, G55) &gt; 0, "Yes", "No")</f>
        <v>No</v>
      </c>
      <c r="G55" t="str">
        <f t="shared" si="2"/>
        <v>16-11-2024 to 22-11-2024</v>
      </c>
    </row>
    <row r="56" spans="1:7">
      <c r="A56" s="1">
        <v>45614</v>
      </c>
      <c r="B56" s="6">
        <v>0.88055555555555554</v>
      </c>
      <c r="C56" t="s">
        <v>23</v>
      </c>
      <c r="D56" s="7">
        <f t="shared" si="0"/>
        <v>45614.880555555559</v>
      </c>
      <c r="E56" t="str">
        <f t="shared" si="1"/>
        <v>18-11-2024 to 24-11-2024</v>
      </c>
      <c r="F56" t="str">
        <f>IF(COUNTIF('Top5'!I:I, G56) &gt; 0, "Yes", "No")</f>
        <v>No</v>
      </c>
      <c r="G56" t="str">
        <f t="shared" si="2"/>
        <v>18-11-2024 to 24-11-2024</v>
      </c>
    </row>
    <row r="57" spans="1:7">
      <c r="A57" s="1">
        <v>45615</v>
      </c>
      <c r="B57" s="6">
        <v>0.3923611111111111</v>
      </c>
      <c r="C57" t="s">
        <v>22</v>
      </c>
      <c r="D57" s="7">
        <f t="shared" si="0"/>
        <v>45615.392361111109</v>
      </c>
      <c r="E57" t="str">
        <f t="shared" si="1"/>
        <v>19-11-2024 to 25-11-2024</v>
      </c>
      <c r="F57" t="str">
        <f>IF(COUNTIF('Top5'!I:I, G57) &gt; 0, "Yes", "No")</f>
        <v>No</v>
      </c>
      <c r="G57" t="str">
        <f t="shared" si="2"/>
        <v>19-11-2024 to 25-11-2024</v>
      </c>
    </row>
    <row r="58" spans="1:7">
      <c r="A58" s="1">
        <v>45615</v>
      </c>
      <c r="B58" s="6">
        <v>0.4152777777777778</v>
      </c>
      <c r="C58" t="s">
        <v>22</v>
      </c>
      <c r="D58" s="7">
        <f t="shared" si="0"/>
        <v>45615.415277777778</v>
      </c>
      <c r="E58" t="str">
        <f t="shared" si="1"/>
        <v>19-11-2024 to 25-11-2024</v>
      </c>
      <c r="F58" t="str">
        <f>IF(COUNTIF('Top5'!I:I, G58) &gt; 0, "Yes", "No")</f>
        <v>No</v>
      </c>
      <c r="G58" t="str">
        <f t="shared" si="2"/>
        <v>19-11-2024 to 25-11-2024</v>
      </c>
    </row>
    <row r="59" spans="1:7">
      <c r="A59" s="1">
        <v>45615</v>
      </c>
      <c r="B59" s="6">
        <v>0.72916666666666663</v>
      </c>
      <c r="C59" t="s">
        <v>23</v>
      </c>
      <c r="D59" s="7">
        <f t="shared" si="0"/>
        <v>45615.729166666664</v>
      </c>
      <c r="E59" t="str">
        <f t="shared" si="1"/>
        <v>19-11-2024 to 25-11-2024</v>
      </c>
      <c r="F59" t="str">
        <f>IF(COUNTIF('Top5'!I:I, G59) &gt; 0, "Yes", "No")</f>
        <v>No</v>
      </c>
      <c r="G59" t="str">
        <f t="shared" si="2"/>
        <v>19-11-2024 to 25-11-2024</v>
      </c>
    </row>
    <row r="60" spans="1:7">
      <c r="A60" s="1">
        <v>45615</v>
      </c>
      <c r="B60" s="6">
        <v>0.75486111111111109</v>
      </c>
      <c r="C60" t="s">
        <v>23</v>
      </c>
      <c r="D60" s="7">
        <f t="shared" si="0"/>
        <v>45615.754861111112</v>
      </c>
      <c r="E60" t="str">
        <f t="shared" si="1"/>
        <v>19-11-2024 to 25-11-2024</v>
      </c>
      <c r="F60" t="str">
        <f>IF(COUNTIF('Top5'!I:I, G60) &gt; 0, "Yes", "No")</f>
        <v>No</v>
      </c>
      <c r="G60" t="str">
        <f t="shared" si="2"/>
        <v>19-11-2024 to 25-11-2024</v>
      </c>
    </row>
    <row r="61" spans="1:7">
      <c r="A61" s="1">
        <v>45615</v>
      </c>
      <c r="B61" s="6">
        <v>0.91597222222222219</v>
      </c>
      <c r="C61" t="s">
        <v>23</v>
      </c>
      <c r="D61" s="7">
        <f t="shared" si="0"/>
        <v>45615.915972222225</v>
      </c>
      <c r="E61" t="str">
        <f t="shared" si="1"/>
        <v>19-11-2024 to 25-11-2024</v>
      </c>
      <c r="F61" t="str">
        <f>IF(COUNTIF('Top5'!I:I, G61) &gt; 0, "Yes", "No")</f>
        <v>No</v>
      </c>
      <c r="G61" t="str">
        <f t="shared" si="2"/>
        <v>19-11-2024 to 25-11-2024</v>
      </c>
    </row>
    <row r="62" spans="1:7">
      <c r="A62" s="1">
        <v>45616</v>
      </c>
      <c r="B62" s="6">
        <v>0.60555555555555551</v>
      </c>
      <c r="C62" t="s">
        <v>22</v>
      </c>
      <c r="D62" s="7">
        <f t="shared" si="0"/>
        <v>45616.605555555558</v>
      </c>
      <c r="E62" t="str">
        <f t="shared" si="1"/>
        <v>20-11-2024 to 26-11-2024</v>
      </c>
      <c r="F62" t="str">
        <f>IF(COUNTIF('Top5'!I:I, G62) &gt; 0, "Yes", "No")</f>
        <v>No</v>
      </c>
      <c r="G62" t="str">
        <f t="shared" si="2"/>
        <v>20-11-2024 to 26-11-2024</v>
      </c>
    </row>
    <row r="63" spans="1:7">
      <c r="A63" s="1">
        <v>45617</v>
      </c>
      <c r="B63" s="6">
        <v>1.3888888888888889E-3</v>
      </c>
      <c r="C63" t="s">
        <v>23</v>
      </c>
      <c r="D63" s="7">
        <f t="shared" si="0"/>
        <v>45617.001388888886</v>
      </c>
      <c r="E63" t="str">
        <f t="shared" si="1"/>
        <v>21-11-2024 to 27-11-2024</v>
      </c>
      <c r="F63" t="str">
        <f>IF(COUNTIF('Top5'!I:I, G63) &gt; 0, "Yes", "No")</f>
        <v>No</v>
      </c>
      <c r="G63" t="str">
        <f t="shared" si="2"/>
        <v>21-11-2024 to 27-11-2024</v>
      </c>
    </row>
    <row r="64" spans="1:7">
      <c r="A64" s="1">
        <v>45617</v>
      </c>
      <c r="B64" s="6">
        <v>0.42291666666666666</v>
      </c>
      <c r="C64" t="s">
        <v>22</v>
      </c>
      <c r="D64" s="7">
        <f t="shared" si="0"/>
        <v>45617.42291666667</v>
      </c>
      <c r="E64" t="str">
        <f t="shared" si="1"/>
        <v>21-11-2024 to 27-11-2024</v>
      </c>
      <c r="F64" t="str">
        <f>IF(COUNTIF('Top5'!I:I, G64) &gt; 0, "Yes", "No")</f>
        <v>No</v>
      </c>
      <c r="G64" t="str">
        <f t="shared" si="2"/>
        <v>21-11-2024 to 27-11-2024</v>
      </c>
    </row>
    <row r="65" spans="1:7">
      <c r="A65" s="1">
        <v>45617</v>
      </c>
      <c r="B65" s="6">
        <v>0.44583333333333336</v>
      </c>
      <c r="C65" t="s">
        <v>22</v>
      </c>
      <c r="D65" s="7">
        <f t="shared" si="0"/>
        <v>45617.445833333331</v>
      </c>
      <c r="E65" t="str">
        <f t="shared" si="1"/>
        <v>21-11-2024 to 27-11-2024</v>
      </c>
      <c r="F65" t="str">
        <f>IF(COUNTIF('Top5'!I:I, G65) &gt; 0, "Yes", "No")</f>
        <v>No</v>
      </c>
      <c r="G65" t="str">
        <f t="shared" si="2"/>
        <v>21-11-2024 to 27-11-2024</v>
      </c>
    </row>
    <row r="66" spans="1:7">
      <c r="A66" s="1">
        <v>45617</v>
      </c>
      <c r="B66" s="6">
        <v>0.4513888888888889</v>
      </c>
      <c r="C66" t="s">
        <v>22</v>
      </c>
      <c r="D66" s="7">
        <f t="shared" si="0"/>
        <v>45617.451388888891</v>
      </c>
      <c r="E66" t="str">
        <f t="shared" si="1"/>
        <v>21-11-2024 to 27-11-2024</v>
      </c>
      <c r="F66" t="str">
        <f>IF(COUNTIF('Top5'!I:I, G66) &gt; 0, "Yes", "No")</f>
        <v>No</v>
      </c>
      <c r="G66" t="str">
        <f t="shared" si="2"/>
        <v>21-11-2024 to 27-11-2024</v>
      </c>
    </row>
    <row r="67" spans="1:7">
      <c r="A67" s="1">
        <v>45617</v>
      </c>
      <c r="B67" s="6">
        <v>0.46527777777777779</v>
      </c>
      <c r="C67" t="s">
        <v>22</v>
      </c>
      <c r="D67" s="7">
        <f t="shared" ref="D67:D130" si="3">VALUE(A67) + VALUE(B67)</f>
        <v>45617.465277777781</v>
      </c>
      <c r="E67" t="str">
        <f t="shared" ref="E67:E130" si="4">TEXT(D67, "dd-mm-yyyy") &amp; " to " &amp; TEXT(D67+6, "dd-mm-yyyy")</f>
        <v>21-11-2024 to 27-11-2024</v>
      </c>
      <c r="F67" t="str">
        <f>IF(COUNTIF('Top5'!I:I, G67) &gt; 0, "Yes", "No")</f>
        <v>No</v>
      </c>
      <c r="G67" t="str">
        <f t="shared" ref="G67:G130" si="5">TRIM(E67)</f>
        <v>21-11-2024 to 27-11-2024</v>
      </c>
    </row>
    <row r="68" spans="1:7">
      <c r="A68" s="1">
        <v>45617</v>
      </c>
      <c r="B68" s="6">
        <v>0.48749999999999999</v>
      </c>
      <c r="C68" t="s">
        <v>22</v>
      </c>
      <c r="D68" s="7">
        <f t="shared" si="3"/>
        <v>45617.487500000003</v>
      </c>
      <c r="E68" t="str">
        <f t="shared" si="4"/>
        <v>21-11-2024 to 27-11-2024</v>
      </c>
      <c r="F68" t="str">
        <f>IF(COUNTIF('Top5'!I:I, G68) &gt; 0, "Yes", "No")</f>
        <v>No</v>
      </c>
      <c r="G68" t="str">
        <f t="shared" si="5"/>
        <v>21-11-2024 to 27-11-2024</v>
      </c>
    </row>
    <row r="69" spans="1:7">
      <c r="A69" s="1">
        <v>45617</v>
      </c>
      <c r="B69" s="6">
        <v>0.78055555555555556</v>
      </c>
      <c r="C69" t="s">
        <v>23</v>
      </c>
      <c r="D69" s="7">
        <f t="shared" si="3"/>
        <v>45617.780555555553</v>
      </c>
      <c r="E69" t="str">
        <f t="shared" si="4"/>
        <v>21-11-2024 to 27-11-2024</v>
      </c>
      <c r="F69" t="str">
        <f>IF(COUNTIF('Top5'!I:I, G69) &gt; 0, "Yes", "No")</f>
        <v>No</v>
      </c>
      <c r="G69" t="str">
        <f t="shared" si="5"/>
        <v>21-11-2024 to 27-11-2024</v>
      </c>
    </row>
    <row r="70" spans="1:7">
      <c r="A70" s="1">
        <v>45617</v>
      </c>
      <c r="B70" s="6">
        <v>0.95763888888888893</v>
      </c>
      <c r="C70" t="s">
        <v>23</v>
      </c>
      <c r="D70" s="7">
        <f t="shared" si="3"/>
        <v>45617.957638888889</v>
      </c>
      <c r="E70" t="str">
        <f t="shared" si="4"/>
        <v>21-11-2024 to 27-11-2024</v>
      </c>
      <c r="F70" t="str">
        <f>IF(COUNTIF('Top5'!I:I, G70) &gt; 0, "Yes", "No")</f>
        <v>No</v>
      </c>
      <c r="G70" t="str">
        <f t="shared" si="5"/>
        <v>21-11-2024 to 27-11-2024</v>
      </c>
    </row>
    <row r="71" spans="1:7">
      <c r="A71" s="1">
        <v>45617</v>
      </c>
      <c r="B71" s="6">
        <v>0.95833333333333337</v>
      </c>
      <c r="C71" t="s">
        <v>23</v>
      </c>
      <c r="D71" s="7">
        <f t="shared" si="3"/>
        <v>45617.958333333336</v>
      </c>
      <c r="E71" t="str">
        <f t="shared" si="4"/>
        <v>21-11-2024 to 27-11-2024</v>
      </c>
      <c r="F71" t="str">
        <f>IF(COUNTIF('Top5'!I:I, G71) &gt; 0, "Yes", "No")</f>
        <v>No</v>
      </c>
      <c r="G71" t="str">
        <f t="shared" si="5"/>
        <v>21-11-2024 to 27-11-2024</v>
      </c>
    </row>
    <row r="72" spans="1:7">
      <c r="A72" s="1">
        <v>45618</v>
      </c>
      <c r="B72" s="6">
        <v>0.36180555555555555</v>
      </c>
      <c r="C72" t="s">
        <v>22</v>
      </c>
      <c r="D72" s="7">
        <f t="shared" si="3"/>
        <v>45618.361805555556</v>
      </c>
      <c r="E72" t="str">
        <f t="shared" si="4"/>
        <v>22-11-2024 to 28-11-2024</v>
      </c>
      <c r="F72" t="str">
        <f>IF(COUNTIF('Top5'!I:I, G72) &gt; 0, "Yes", "No")</f>
        <v>No</v>
      </c>
      <c r="G72" t="str">
        <f t="shared" si="5"/>
        <v>22-11-2024 to 28-11-2024</v>
      </c>
    </row>
    <row r="73" spans="1:7">
      <c r="A73" s="1">
        <v>45618</v>
      </c>
      <c r="B73" s="6">
        <v>0.36249999999999999</v>
      </c>
      <c r="C73" t="s">
        <v>22</v>
      </c>
      <c r="D73" s="7">
        <f t="shared" si="3"/>
        <v>45618.362500000003</v>
      </c>
      <c r="E73" t="str">
        <f t="shared" si="4"/>
        <v>22-11-2024 to 28-11-2024</v>
      </c>
      <c r="F73" t="str">
        <f>IF(COUNTIF('Top5'!I:I, G73) &gt; 0, "Yes", "No")</f>
        <v>No</v>
      </c>
      <c r="G73" t="str">
        <f t="shared" si="5"/>
        <v>22-11-2024 to 28-11-2024</v>
      </c>
    </row>
    <row r="74" spans="1:7">
      <c r="A74" s="1">
        <v>45618</v>
      </c>
      <c r="B74" s="6">
        <v>0.46805555555555556</v>
      </c>
      <c r="C74" t="s">
        <v>22</v>
      </c>
      <c r="D74" s="7">
        <f t="shared" si="3"/>
        <v>45618.468055555553</v>
      </c>
      <c r="E74" t="str">
        <f t="shared" si="4"/>
        <v>22-11-2024 to 28-11-2024</v>
      </c>
      <c r="F74" t="str">
        <f>IF(COUNTIF('Top5'!I:I, G74) &gt; 0, "Yes", "No")</f>
        <v>No</v>
      </c>
      <c r="G74" t="str">
        <f t="shared" si="5"/>
        <v>22-11-2024 to 28-11-2024</v>
      </c>
    </row>
    <row r="75" spans="1:7">
      <c r="A75" s="1">
        <v>45619</v>
      </c>
      <c r="B75" s="6">
        <v>0.72569444444444442</v>
      </c>
      <c r="C75" t="s">
        <v>23</v>
      </c>
      <c r="D75" s="7">
        <f t="shared" si="3"/>
        <v>45619.725694444445</v>
      </c>
      <c r="E75" t="str">
        <f t="shared" si="4"/>
        <v>23-11-2024 to 29-11-2024</v>
      </c>
      <c r="F75" t="str">
        <f>IF(COUNTIF('Top5'!I:I, G75) &gt; 0, "Yes", "No")</f>
        <v>No</v>
      </c>
      <c r="G75" t="str">
        <f t="shared" si="5"/>
        <v>23-11-2024 to 29-11-2024</v>
      </c>
    </row>
    <row r="76" spans="1:7">
      <c r="A76" s="1">
        <v>45619</v>
      </c>
      <c r="B76" s="6">
        <v>0.75069444444444444</v>
      </c>
      <c r="C76" t="s">
        <v>23</v>
      </c>
      <c r="D76" s="7">
        <f t="shared" si="3"/>
        <v>45619.750694444447</v>
      </c>
      <c r="E76" t="str">
        <f t="shared" si="4"/>
        <v>23-11-2024 to 29-11-2024</v>
      </c>
      <c r="F76" t="str">
        <f>IF(COUNTIF('Top5'!I:I, G76) &gt; 0, "Yes", "No")</f>
        <v>No</v>
      </c>
      <c r="G76" t="str">
        <f t="shared" si="5"/>
        <v>23-11-2024 to 29-11-2024</v>
      </c>
    </row>
    <row r="77" spans="1:7">
      <c r="A77" s="1">
        <v>45619</v>
      </c>
      <c r="B77" s="6">
        <v>0.79861111111111116</v>
      </c>
      <c r="C77" t="s">
        <v>23</v>
      </c>
      <c r="D77" s="7">
        <f t="shared" si="3"/>
        <v>45619.798611111109</v>
      </c>
      <c r="E77" t="str">
        <f t="shared" si="4"/>
        <v>23-11-2024 to 29-11-2024</v>
      </c>
      <c r="F77" t="str">
        <f>IF(COUNTIF('Top5'!I:I, G77) &gt; 0, "Yes", "No")</f>
        <v>No</v>
      </c>
      <c r="G77" t="str">
        <f t="shared" si="5"/>
        <v>23-11-2024 to 29-11-2024</v>
      </c>
    </row>
    <row r="78" spans="1:7">
      <c r="A78" s="1">
        <v>45620</v>
      </c>
      <c r="B78" s="6">
        <v>1.3888888888888889E-3</v>
      </c>
      <c r="C78" t="s">
        <v>23</v>
      </c>
      <c r="D78" s="7">
        <f t="shared" si="3"/>
        <v>45620.001388888886</v>
      </c>
      <c r="E78" t="str">
        <f t="shared" si="4"/>
        <v>24-11-2024 to 30-11-2024</v>
      </c>
      <c r="F78" t="str">
        <f>IF(COUNTIF('Top5'!I:I, G78) &gt; 0, "Yes", "No")</f>
        <v>No</v>
      </c>
      <c r="G78" t="str">
        <f t="shared" si="5"/>
        <v>24-11-2024 to 30-11-2024</v>
      </c>
    </row>
    <row r="79" spans="1:7">
      <c r="A79" s="1">
        <v>45620</v>
      </c>
      <c r="B79" s="6">
        <v>2.0833333333333333E-3</v>
      </c>
      <c r="C79" t="s">
        <v>23</v>
      </c>
      <c r="D79" s="7">
        <f t="shared" si="3"/>
        <v>45620.002083333333</v>
      </c>
      <c r="E79" t="str">
        <f t="shared" si="4"/>
        <v>24-11-2024 to 30-11-2024</v>
      </c>
      <c r="F79" t="str">
        <f>IF(COUNTIF('Top5'!I:I, G79) &gt; 0, "Yes", "No")</f>
        <v>No</v>
      </c>
      <c r="G79" t="str">
        <f t="shared" si="5"/>
        <v>24-11-2024 to 30-11-2024</v>
      </c>
    </row>
    <row r="80" spans="1:7">
      <c r="A80" s="1">
        <v>45620</v>
      </c>
      <c r="B80" s="6">
        <v>2.0833333333333333E-3</v>
      </c>
      <c r="C80" t="s">
        <v>23</v>
      </c>
      <c r="D80" s="7">
        <f t="shared" si="3"/>
        <v>45620.002083333333</v>
      </c>
      <c r="E80" t="str">
        <f t="shared" si="4"/>
        <v>24-11-2024 to 30-11-2024</v>
      </c>
      <c r="F80" t="str">
        <f>IF(COUNTIF('Top5'!I:I, G80) &gt; 0, "Yes", "No")</f>
        <v>No</v>
      </c>
      <c r="G80" t="str">
        <f t="shared" si="5"/>
        <v>24-11-2024 to 30-11-2024</v>
      </c>
    </row>
    <row r="81" spans="1:7">
      <c r="A81" s="1">
        <v>45620</v>
      </c>
      <c r="B81" s="6">
        <v>0.70694444444444449</v>
      </c>
      <c r="C81" t="s">
        <v>22</v>
      </c>
      <c r="D81" s="7">
        <f t="shared" si="3"/>
        <v>45620.706944444442</v>
      </c>
      <c r="E81" t="str">
        <f t="shared" si="4"/>
        <v>24-11-2024 to 30-11-2024</v>
      </c>
      <c r="F81" t="str">
        <f>IF(COUNTIF('Top5'!I:I, G81) &gt; 0, "Yes", "No")</f>
        <v>No</v>
      </c>
      <c r="G81" t="str">
        <f t="shared" si="5"/>
        <v>24-11-2024 to 30-11-2024</v>
      </c>
    </row>
    <row r="82" spans="1:7">
      <c r="A82" s="1">
        <v>45621</v>
      </c>
      <c r="B82" s="6">
        <v>0.82638888888888884</v>
      </c>
      <c r="C82" t="s">
        <v>23</v>
      </c>
      <c r="D82" s="7">
        <f t="shared" si="3"/>
        <v>45621.826388888891</v>
      </c>
      <c r="E82" t="str">
        <f t="shared" si="4"/>
        <v>25-11-2024 to 01-12-2024</v>
      </c>
      <c r="F82" t="str">
        <f>IF(COUNTIF('Top5'!I:I, G82) &gt; 0, "Yes", "No")</f>
        <v>No</v>
      </c>
      <c r="G82" t="str">
        <f t="shared" si="5"/>
        <v>25-11-2024 to 01-12-2024</v>
      </c>
    </row>
    <row r="83" spans="1:7">
      <c r="A83" s="1">
        <v>45622</v>
      </c>
      <c r="B83" s="6">
        <v>0.52500000000000002</v>
      </c>
      <c r="C83" t="s">
        <v>22</v>
      </c>
      <c r="D83" s="7">
        <f t="shared" si="3"/>
        <v>45622.525000000001</v>
      </c>
      <c r="E83" t="str">
        <f t="shared" si="4"/>
        <v>26-11-2024 to 02-12-2024</v>
      </c>
      <c r="F83" t="str">
        <f>IF(COUNTIF('Top5'!I:I, G83) &gt; 0, "Yes", "No")</f>
        <v>No</v>
      </c>
      <c r="G83" t="str">
        <f t="shared" si="5"/>
        <v>26-11-2024 to 02-12-2024</v>
      </c>
    </row>
    <row r="84" spans="1:7">
      <c r="A84" s="1">
        <v>45622</v>
      </c>
      <c r="B84" s="6">
        <v>0.56736111111111109</v>
      </c>
      <c r="C84" t="s">
        <v>22</v>
      </c>
      <c r="D84" s="7">
        <f t="shared" si="3"/>
        <v>45622.567361111112</v>
      </c>
      <c r="E84" t="str">
        <f t="shared" si="4"/>
        <v>26-11-2024 to 02-12-2024</v>
      </c>
      <c r="F84" t="str">
        <f>IF(COUNTIF('Top5'!I:I, G84) &gt; 0, "Yes", "No")</f>
        <v>No</v>
      </c>
      <c r="G84" t="str">
        <f t="shared" si="5"/>
        <v>26-11-2024 to 02-12-2024</v>
      </c>
    </row>
    <row r="85" spans="1:7">
      <c r="A85" s="1">
        <v>45622</v>
      </c>
      <c r="B85" s="6">
        <v>0.61041666666666672</v>
      </c>
      <c r="C85" t="s">
        <v>22</v>
      </c>
      <c r="D85" s="7">
        <f t="shared" si="3"/>
        <v>45622.61041666667</v>
      </c>
      <c r="E85" t="str">
        <f t="shared" si="4"/>
        <v>26-11-2024 to 02-12-2024</v>
      </c>
      <c r="F85" t="str">
        <f>IF(COUNTIF('Top5'!I:I, G85) &gt; 0, "Yes", "No")</f>
        <v>No</v>
      </c>
      <c r="G85" t="str">
        <f t="shared" si="5"/>
        <v>26-11-2024 to 02-12-2024</v>
      </c>
    </row>
    <row r="86" spans="1:7">
      <c r="A86" s="1">
        <v>45622</v>
      </c>
      <c r="B86" s="6">
        <v>0.79305555555555551</v>
      </c>
      <c r="C86" t="s">
        <v>23</v>
      </c>
      <c r="D86" s="7">
        <f t="shared" si="3"/>
        <v>45622.793055555558</v>
      </c>
      <c r="E86" t="str">
        <f t="shared" si="4"/>
        <v>26-11-2024 to 02-12-2024</v>
      </c>
      <c r="F86" t="str">
        <f>IF(COUNTIF('Top5'!I:I, G86) &gt; 0, "Yes", "No")</f>
        <v>No</v>
      </c>
      <c r="G86" t="str">
        <f t="shared" si="5"/>
        <v>26-11-2024 to 02-12-2024</v>
      </c>
    </row>
    <row r="87" spans="1:7">
      <c r="A87" s="1">
        <v>45622</v>
      </c>
      <c r="B87" s="6">
        <v>0.7993055555555556</v>
      </c>
      <c r="C87" t="s">
        <v>23</v>
      </c>
      <c r="D87" s="7">
        <f t="shared" si="3"/>
        <v>45622.799305555556</v>
      </c>
      <c r="E87" t="str">
        <f t="shared" si="4"/>
        <v>26-11-2024 to 02-12-2024</v>
      </c>
      <c r="F87" t="str">
        <f>IF(COUNTIF('Top5'!I:I, G87) &gt; 0, "Yes", "No")</f>
        <v>No</v>
      </c>
      <c r="G87" t="str">
        <f t="shared" si="5"/>
        <v>26-11-2024 to 02-12-2024</v>
      </c>
    </row>
    <row r="88" spans="1:7">
      <c r="A88" s="1">
        <v>45625</v>
      </c>
      <c r="B88" s="6">
        <v>0.55555555555555558</v>
      </c>
      <c r="C88" t="s">
        <v>22</v>
      </c>
      <c r="D88" s="7">
        <f t="shared" si="3"/>
        <v>45625.555555555555</v>
      </c>
      <c r="E88" t="str">
        <f t="shared" si="4"/>
        <v>29-11-2024 to 05-12-2024</v>
      </c>
      <c r="F88" t="str">
        <f>IF(COUNTIF('Top5'!I:I, G88) &gt; 0, "Yes", "No")</f>
        <v>No</v>
      </c>
      <c r="G88" t="str">
        <f t="shared" si="5"/>
        <v>29-11-2024 to 05-12-2024</v>
      </c>
    </row>
    <row r="89" spans="1:7">
      <c r="A89" s="1">
        <v>45625</v>
      </c>
      <c r="B89" s="6">
        <v>0.62430555555555556</v>
      </c>
      <c r="C89" t="s">
        <v>22</v>
      </c>
      <c r="D89" s="7">
        <f t="shared" si="3"/>
        <v>45625.624305555553</v>
      </c>
      <c r="E89" t="str">
        <f t="shared" si="4"/>
        <v>29-11-2024 to 05-12-2024</v>
      </c>
      <c r="F89" t="str">
        <f>IF(COUNTIF('Top5'!I:I, G89) &gt; 0, "Yes", "No")</f>
        <v>No</v>
      </c>
      <c r="G89" t="str">
        <f t="shared" si="5"/>
        <v>29-11-2024 to 05-12-2024</v>
      </c>
    </row>
    <row r="90" spans="1:7">
      <c r="A90" s="1">
        <v>45625</v>
      </c>
      <c r="B90" s="6">
        <v>0.6875</v>
      </c>
      <c r="C90" t="s">
        <v>22</v>
      </c>
      <c r="D90" s="7">
        <f t="shared" si="3"/>
        <v>45625.6875</v>
      </c>
      <c r="E90" t="str">
        <f t="shared" si="4"/>
        <v>29-11-2024 to 05-12-2024</v>
      </c>
      <c r="F90" t="str">
        <f>IF(COUNTIF('Top5'!I:I, G90) &gt; 0, "Yes", "No")</f>
        <v>No</v>
      </c>
      <c r="G90" t="str">
        <f t="shared" si="5"/>
        <v>29-11-2024 to 05-12-2024</v>
      </c>
    </row>
    <row r="91" spans="1:7">
      <c r="A91" s="1">
        <v>45625</v>
      </c>
      <c r="B91" s="6">
        <v>0.99583333333333335</v>
      </c>
      <c r="C91" t="s">
        <v>23</v>
      </c>
      <c r="D91" s="7">
        <f t="shared" si="3"/>
        <v>45625.995833333334</v>
      </c>
      <c r="E91" t="str">
        <f t="shared" si="4"/>
        <v>29-11-2024 to 05-12-2024</v>
      </c>
      <c r="F91" t="str">
        <f>IF(COUNTIF('Top5'!I:I, G91) &gt; 0, "Yes", "No")</f>
        <v>No</v>
      </c>
      <c r="G91" t="str">
        <f t="shared" si="5"/>
        <v>29-11-2024 to 05-12-2024</v>
      </c>
    </row>
    <row r="92" spans="1:7">
      <c r="A92" s="1">
        <v>45626</v>
      </c>
      <c r="B92" s="6">
        <v>1.5277777777777777E-2</v>
      </c>
      <c r="C92" t="s">
        <v>23</v>
      </c>
      <c r="D92" s="7">
        <f t="shared" si="3"/>
        <v>45626.015277777777</v>
      </c>
      <c r="E92" t="str">
        <f t="shared" si="4"/>
        <v>30-11-2024 to 06-12-2024</v>
      </c>
      <c r="F92" t="str">
        <f>IF(COUNTIF('Top5'!I:I, G92) &gt; 0, "Yes", "No")</f>
        <v>No</v>
      </c>
      <c r="G92" t="str">
        <f t="shared" si="5"/>
        <v>30-11-2024 to 06-12-2024</v>
      </c>
    </row>
    <row r="93" spans="1:7">
      <c r="A93" s="1">
        <v>45626</v>
      </c>
      <c r="B93" s="6">
        <v>1.5972222222222221E-2</v>
      </c>
      <c r="C93" t="s">
        <v>23</v>
      </c>
      <c r="D93" s="7">
        <f t="shared" si="3"/>
        <v>45626.015972222223</v>
      </c>
      <c r="E93" t="str">
        <f t="shared" si="4"/>
        <v>30-11-2024 to 06-12-2024</v>
      </c>
      <c r="F93" t="str">
        <f>IF(COUNTIF('Top5'!I:I, G93) &gt; 0, "Yes", "No")</f>
        <v>No</v>
      </c>
      <c r="G93" t="str">
        <f t="shared" si="5"/>
        <v>30-11-2024 to 06-12-2024</v>
      </c>
    </row>
    <row r="94" spans="1:7">
      <c r="A94" s="1">
        <v>45626</v>
      </c>
      <c r="B94" s="6">
        <v>1.6666666666666666E-2</v>
      </c>
      <c r="C94" t="s">
        <v>23</v>
      </c>
      <c r="D94" s="7">
        <f t="shared" si="3"/>
        <v>45626.01666666667</v>
      </c>
      <c r="E94" t="str">
        <f t="shared" si="4"/>
        <v>30-11-2024 to 06-12-2024</v>
      </c>
      <c r="F94" t="str">
        <f>IF(COUNTIF('Top5'!I:I, G94) &gt; 0, "Yes", "No")</f>
        <v>No</v>
      </c>
      <c r="G94" t="str">
        <f t="shared" si="5"/>
        <v>30-11-2024 to 06-12-2024</v>
      </c>
    </row>
    <row r="95" spans="1:7">
      <c r="A95" s="1">
        <v>45626</v>
      </c>
      <c r="B95" s="6">
        <v>0.50416666666666665</v>
      </c>
      <c r="C95" t="s">
        <v>22</v>
      </c>
      <c r="D95" s="7">
        <f t="shared" si="3"/>
        <v>45626.504166666666</v>
      </c>
      <c r="E95" t="str">
        <f t="shared" si="4"/>
        <v>30-11-2024 to 06-12-2024</v>
      </c>
      <c r="F95" t="str">
        <f>IF(COUNTIF('Top5'!I:I, G95) &gt; 0, "Yes", "No")</f>
        <v>No</v>
      </c>
      <c r="G95" t="str">
        <f t="shared" si="5"/>
        <v>30-11-2024 to 06-12-2024</v>
      </c>
    </row>
    <row r="96" spans="1:7">
      <c r="A96" s="1">
        <v>45626</v>
      </c>
      <c r="B96" s="6">
        <v>0.53333333333333333</v>
      </c>
      <c r="C96" t="s">
        <v>22</v>
      </c>
      <c r="D96" s="7">
        <f t="shared" si="3"/>
        <v>45626.533333333333</v>
      </c>
      <c r="E96" t="str">
        <f t="shared" si="4"/>
        <v>30-11-2024 to 06-12-2024</v>
      </c>
      <c r="F96" t="str">
        <f>IF(COUNTIF('Top5'!I:I, G96) &gt; 0, "Yes", "No")</f>
        <v>No</v>
      </c>
      <c r="G96" t="str">
        <f t="shared" si="5"/>
        <v>30-11-2024 to 06-12-2024</v>
      </c>
    </row>
    <row r="97" spans="1:7">
      <c r="A97" s="1">
        <v>45626</v>
      </c>
      <c r="B97" s="6">
        <v>0.54027777777777775</v>
      </c>
      <c r="C97" t="s">
        <v>22</v>
      </c>
      <c r="D97" s="7">
        <f t="shared" si="3"/>
        <v>45626.540277777778</v>
      </c>
      <c r="E97" t="str">
        <f t="shared" si="4"/>
        <v>30-11-2024 to 06-12-2024</v>
      </c>
      <c r="F97" t="str">
        <f>IF(COUNTIF('Top5'!I:I, G97) &gt; 0, "Yes", "No")</f>
        <v>No</v>
      </c>
      <c r="G97" t="str">
        <f t="shared" si="5"/>
        <v>30-11-2024 to 06-12-2024</v>
      </c>
    </row>
    <row r="98" spans="1:7">
      <c r="A98" s="1">
        <v>45626</v>
      </c>
      <c r="B98" s="6">
        <v>0.73819444444444449</v>
      </c>
      <c r="C98" t="s">
        <v>23</v>
      </c>
      <c r="D98" s="7">
        <f t="shared" si="3"/>
        <v>45626.738194444442</v>
      </c>
      <c r="E98" t="str">
        <f t="shared" si="4"/>
        <v>30-11-2024 to 06-12-2024</v>
      </c>
      <c r="F98" t="str">
        <f>IF(COUNTIF('Top5'!I:I, G98) &gt; 0, "Yes", "No")</f>
        <v>No</v>
      </c>
      <c r="G98" t="str">
        <f t="shared" si="5"/>
        <v>30-11-2024 to 06-12-2024</v>
      </c>
    </row>
    <row r="99" spans="1:7">
      <c r="A99" s="1">
        <v>45626</v>
      </c>
      <c r="B99" s="6">
        <v>0.81944444444444442</v>
      </c>
      <c r="C99" t="s">
        <v>23</v>
      </c>
      <c r="D99" s="7">
        <f t="shared" si="3"/>
        <v>45626.819444444445</v>
      </c>
      <c r="E99" t="str">
        <f t="shared" si="4"/>
        <v>30-11-2024 to 06-12-2024</v>
      </c>
      <c r="F99" t="str">
        <f>IF(COUNTIF('Top5'!I:I, G99) &gt; 0, "Yes", "No")</f>
        <v>No</v>
      </c>
      <c r="G99" t="str">
        <f t="shared" si="5"/>
        <v>30-11-2024 to 06-12-2024</v>
      </c>
    </row>
    <row r="100" spans="1:7">
      <c r="A100" s="1">
        <v>45627</v>
      </c>
      <c r="B100" s="6">
        <v>0.33611111111111114</v>
      </c>
      <c r="C100" t="s">
        <v>22</v>
      </c>
      <c r="D100" s="7">
        <f t="shared" si="3"/>
        <v>45627.336111111108</v>
      </c>
      <c r="E100" t="str">
        <f t="shared" si="4"/>
        <v>01-12-2024 to 07-12-2024</v>
      </c>
      <c r="F100" t="str">
        <f>IF(COUNTIF('Top5'!I:I, G100) &gt; 0, "Yes", "No")</f>
        <v>No</v>
      </c>
      <c r="G100" t="str">
        <f t="shared" si="5"/>
        <v>01-12-2024 to 07-12-2024</v>
      </c>
    </row>
    <row r="101" spans="1:7">
      <c r="A101" s="1">
        <v>45627</v>
      </c>
      <c r="B101" s="6">
        <v>0.55972222222222223</v>
      </c>
      <c r="C101" t="s">
        <v>22</v>
      </c>
      <c r="D101" s="7">
        <f t="shared" si="3"/>
        <v>45627.55972222222</v>
      </c>
      <c r="E101" t="str">
        <f t="shared" si="4"/>
        <v>01-12-2024 to 07-12-2024</v>
      </c>
      <c r="F101" t="str">
        <f>IF(COUNTIF('Top5'!I:I, G101) &gt; 0, "Yes", "No")</f>
        <v>No</v>
      </c>
      <c r="G101" t="str">
        <f t="shared" si="5"/>
        <v>01-12-2024 to 07-12-2024</v>
      </c>
    </row>
    <row r="102" spans="1:7">
      <c r="A102" s="1">
        <v>45628</v>
      </c>
      <c r="B102" s="6">
        <v>0.54305555555555551</v>
      </c>
      <c r="C102" t="s">
        <v>22</v>
      </c>
      <c r="D102" s="7">
        <f t="shared" si="3"/>
        <v>45628.543055555558</v>
      </c>
      <c r="E102" t="str">
        <f t="shared" si="4"/>
        <v>02-12-2024 to 08-12-2024</v>
      </c>
      <c r="F102" t="str">
        <f>IF(COUNTIF('Top5'!I:I, G102) &gt; 0, "Yes", "No")</f>
        <v>No</v>
      </c>
      <c r="G102" t="str">
        <f t="shared" si="5"/>
        <v>02-12-2024 to 08-12-2024</v>
      </c>
    </row>
    <row r="103" spans="1:7">
      <c r="A103" s="1">
        <v>45628</v>
      </c>
      <c r="B103" s="6">
        <v>0.55000000000000004</v>
      </c>
      <c r="C103" t="s">
        <v>22</v>
      </c>
      <c r="D103" s="7">
        <f t="shared" si="3"/>
        <v>45628.55</v>
      </c>
      <c r="E103" t="str">
        <f t="shared" si="4"/>
        <v>02-12-2024 to 08-12-2024</v>
      </c>
      <c r="F103" t="str">
        <f>IF(COUNTIF('Top5'!I:I, G103) &gt; 0, "Yes", "No")</f>
        <v>No</v>
      </c>
      <c r="G103" t="str">
        <f t="shared" si="5"/>
        <v>02-12-2024 to 08-12-2024</v>
      </c>
    </row>
    <row r="104" spans="1:7">
      <c r="A104" s="1">
        <v>45628</v>
      </c>
      <c r="B104" s="6">
        <v>0.55000000000000004</v>
      </c>
      <c r="C104" t="s">
        <v>22</v>
      </c>
      <c r="D104" s="7">
        <f t="shared" si="3"/>
        <v>45628.55</v>
      </c>
      <c r="E104" t="str">
        <f t="shared" si="4"/>
        <v>02-12-2024 to 08-12-2024</v>
      </c>
      <c r="F104" t="str">
        <f>IF(COUNTIF('Top5'!I:I, G104) &gt; 0, "Yes", "No")</f>
        <v>No</v>
      </c>
      <c r="G104" t="str">
        <f t="shared" si="5"/>
        <v>02-12-2024 to 08-12-2024</v>
      </c>
    </row>
    <row r="105" spans="1:7">
      <c r="A105" s="1">
        <v>45628</v>
      </c>
      <c r="B105" s="6">
        <v>0.55277777777777781</v>
      </c>
      <c r="C105" t="s">
        <v>22</v>
      </c>
      <c r="D105" s="7">
        <f t="shared" si="3"/>
        <v>45628.552777777775</v>
      </c>
      <c r="E105" t="str">
        <f t="shared" si="4"/>
        <v>02-12-2024 to 08-12-2024</v>
      </c>
      <c r="F105" t="str">
        <f>IF(COUNTIF('Top5'!I:I, G105) &gt; 0, "Yes", "No")</f>
        <v>No</v>
      </c>
      <c r="G105" t="str">
        <f t="shared" si="5"/>
        <v>02-12-2024 to 08-12-2024</v>
      </c>
    </row>
    <row r="106" spans="1:7">
      <c r="A106" s="1">
        <v>45629</v>
      </c>
      <c r="B106" s="6">
        <v>0.47986111111111113</v>
      </c>
      <c r="C106" t="s">
        <v>22</v>
      </c>
      <c r="D106" s="7">
        <f t="shared" si="3"/>
        <v>45629.479861111111</v>
      </c>
      <c r="E106" t="str">
        <f t="shared" si="4"/>
        <v>03-12-2024 to 09-12-2024</v>
      </c>
      <c r="F106" t="str">
        <f>IF(COUNTIF('Top5'!I:I, G106) &gt; 0, "Yes", "No")</f>
        <v>No</v>
      </c>
      <c r="G106" t="str">
        <f t="shared" si="5"/>
        <v>03-12-2024 to 09-12-2024</v>
      </c>
    </row>
    <row r="107" spans="1:7">
      <c r="A107" s="1">
        <v>45629</v>
      </c>
      <c r="B107" s="6">
        <v>0.65694444444444444</v>
      </c>
      <c r="C107" t="s">
        <v>22</v>
      </c>
      <c r="D107" s="7">
        <f t="shared" si="3"/>
        <v>45629.656944444447</v>
      </c>
      <c r="E107" t="str">
        <f t="shared" si="4"/>
        <v>03-12-2024 to 09-12-2024</v>
      </c>
      <c r="F107" t="str">
        <f>IF(COUNTIF('Top5'!I:I, G107) &gt; 0, "Yes", "No")</f>
        <v>No</v>
      </c>
      <c r="G107" t="str">
        <f t="shared" si="5"/>
        <v>03-12-2024 to 09-12-2024</v>
      </c>
    </row>
    <row r="108" spans="1:7">
      <c r="A108" s="1">
        <v>45631</v>
      </c>
      <c r="B108" s="6">
        <v>0.66319444444444442</v>
      </c>
      <c r="C108" t="s">
        <v>22</v>
      </c>
      <c r="D108" s="7">
        <f t="shared" si="3"/>
        <v>45631.663194444445</v>
      </c>
      <c r="E108" t="str">
        <f t="shared" si="4"/>
        <v>05-12-2024 to 11-12-2024</v>
      </c>
      <c r="F108" t="str">
        <f>IF(COUNTIF('Top5'!I:I, G108) &gt; 0, "Yes", "No")</f>
        <v>No</v>
      </c>
      <c r="G108" t="str">
        <f t="shared" si="5"/>
        <v>05-12-2024 to 11-12-2024</v>
      </c>
    </row>
    <row r="109" spans="1:7">
      <c r="A109" s="1">
        <v>45632</v>
      </c>
      <c r="B109" s="6">
        <v>0.31666666666666665</v>
      </c>
      <c r="C109" t="s">
        <v>22</v>
      </c>
      <c r="D109" s="7">
        <f t="shared" si="3"/>
        <v>45632.316666666666</v>
      </c>
      <c r="E109" t="str">
        <f t="shared" si="4"/>
        <v>06-12-2024 to 12-12-2024</v>
      </c>
      <c r="F109" t="str">
        <f>IF(COUNTIF('Top5'!I:I, G109) &gt; 0, "Yes", "No")</f>
        <v>No</v>
      </c>
      <c r="G109" t="str">
        <f t="shared" si="5"/>
        <v>06-12-2024 to 12-12-2024</v>
      </c>
    </row>
    <row r="110" spans="1:7">
      <c r="A110" s="1">
        <v>45632</v>
      </c>
      <c r="B110" s="6">
        <v>0.42291666666666666</v>
      </c>
      <c r="C110" t="s">
        <v>22</v>
      </c>
      <c r="D110" s="7">
        <f t="shared" si="3"/>
        <v>45632.42291666667</v>
      </c>
      <c r="E110" t="str">
        <f t="shared" si="4"/>
        <v>06-12-2024 to 12-12-2024</v>
      </c>
      <c r="F110" t="str">
        <f>IF(COUNTIF('Top5'!I:I, G110) &gt; 0, "Yes", "No")</f>
        <v>No</v>
      </c>
      <c r="G110" t="str">
        <f t="shared" si="5"/>
        <v>06-12-2024 to 12-12-2024</v>
      </c>
    </row>
    <row r="111" spans="1:7">
      <c r="A111" s="1">
        <v>45632</v>
      </c>
      <c r="B111" s="6">
        <v>0.42430555555555555</v>
      </c>
      <c r="C111" t="s">
        <v>22</v>
      </c>
      <c r="D111" s="7">
        <f t="shared" si="3"/>
        <v>45632.424305555556</v>
      </c>
      <c r="E111" t="str">
        <f t="shared" si="4"/>
        <v>06-12-2024 to 12-12-2024</v>
      </c>
      <c r="F111" t="str">
        <f>IF(COUNTIF('Top5'!I:I, G111) &gt; 0, "Yes", "No")</f>
        <v>No</v>
      </c>
      <c r="G111" t="str">
        <f t="shared" si="5"/>
        <v>06-12-2024 to 12-12-2024</v>
      </c>
    </row>
    <row r="112" spans="1:7">
      <c r="A112" s="1">
        <v>45632</v>
      </c>
      <c r="B112" s="6">
        <v>0.42430555555555555</v>
      </c>
      <c r="C112" t="s">
        <v>22</v>
      </c>
      <c r="D112" s="7">
        <f t="shared" si="3"/>
        <v>45632.424305555556</v>
      </c>
      <c r="E112" t="str">
        <f t="shared" si="4"/>
        <v>06-12-2024 to 12-12-2024</v>
      </c>
      <c r="F112" t="str">
        <f>IF(COUNTIF('Top5'!I:I, G112) &gt; 0, "Yes", "No")</f>
        <v>No</v>
      </c>
      <c r="G112" t="str">
        <f t="shared" si="5"/>
        <v>06-12-2024 to 12-12-2024</v>
      </c>
    </row>
    <row r="113" spans="1:7">
      <c r="A113" s="1">
        <v>45632</v>
      </c>
      <c r="B113" s="6">
        <v>0.42499999999999999</v>
      </c>
      <c r="C113" t="s">
        <v>22</v>
      </c>
      <c r="D113" s="7">
        <f t="shared" si="3"/>
        <v>45632.425000000003</v>
      </c>
      <c r="E113" t="str">
        <f t="shared" si="4"/>
        <v>06-12-2024 to 12-12-2024</v>
      </c>
      <c r="F113" t="str">
        <f>IF(COUNTIF('Top5'!I:I, G113) &gt; 0, "Yes", "No")</f>
        <v>No</v>
      </c>
      <c r="G113" t="str">
        <f t="shared" si="5"/>
        <v>06-12-2024 to 12-12-2024</v>
      </c>
    </row>
    <row r="114" spans="1:7">
      <c r="A114" s="1">
        <v>45632</v>
      </c>
      <c r="B114" s="6">
        <v>0.42499999999999999</v>
      </c>
      <c r="C114" t="s">
        <v>22</v>
      </c>
      <c r="D114" s="7">
        <f t="shared" si="3"/>
        <v>45632.425000000003</v>
      </c>
      <c r="E114" t="str">
        <f t="shared" si="4"/>
        <v>06-12-2024 to 12-12-2024</v>
      </c>
      <c r="F114" t="str">
        <f>IF(COUNTIF('Top5'!I:I, G114) &gt; 0, "Yes", "No")</f>
        <v>No</v>
      </c>
      <c r="G114" t="str">
        <f t="shared" si="5"/>
        <v>06-12-2024 to 12-12-2024</v>
      </c>
    </row>
    <row r="115" spans="1:7">
      <c r="A115" s="1">
        <v>45632</v>
      </c>
      <c r="B115" s="6">
        <v>0.42777777777777776</v>
      </c>
      <c r="C115" t="s">
        <v>22</v>
      </c>
      <c r="D115" s="7">
        <f t="shared" si="3"/>
        <v>45632.427777777775</v>
      </c>
      <c r="E115" t="str">
        <f t="shared" si="4"/>
        <v>06-12-2024 to 12-12-2024</v>
      </c>
      <c r="F115" t="str">
        <f>IF(COUNTIF('Top5'!I:I, G115) &gt; 0, "Yes", "No")</f>
        <v>No</v>
      </c>
      <c r="G115" t="str">
        <f t="shared" si="5"/>
        <v>06-12-2024 to 12-12-2024</v>
      </c>
    </row>
    <row r="116" spans="1:7">
      <c r="A116" s="1">
        <v>45632</v>
      </c>
      <c r="B116" s="6">
        <v>0.4284722222222222</v>
      </c>
      <c r="C116" t="s">
        <v>22</v>
      </c>
      <c r="D116" s="7">
        <f t="shared" si="3"/>
        <v>45632.428472222222</v>
      </c>
      <c r="E116" t="str">
        <f t="shared" si="4"/>
        <v>06-12-2024 to 12-12-2024</v>
      </c>
      <c r="F116" t="str">
        <f>IF(COUNTIF('Top5'!I:I, G116) &gt; 0, "Yes", "No")</f>
        <v>No</v>
      </c>
      <c r="G116" t="str">
        <f t="shared" si="5"/>
        <v>06-12-2024 to 12-12-2024</v>
      </c>
    </row>
    <row r="117" spans="1:7">
      <c r="A117" s="1">
        <v>45632</v>
      </c>
      <c r="B117" s="6">
        <v>0.44374999999999998</v>
      </c>
      <c r="C117" t="s">
        <v>22</v>
      </c>
      <c r="D117" s="7">
        <f t="shared" si="3"/>
        <v>45632.443749999999</v>
      </c>
      <c r="E117" t="str">
        <f t="shared" si="4"/>
        <v>06-12-2024 to 12-12-2024</v>
      </c>
      <c r="F117" t="str">
        <f>IF(COUNTIF('Top5'!I:I, G117) &gt; 0, "Yes", "No")</f>
        <v>No</v>
      </c>
      <c r="G117" t="str">
        <f t="shared" si="5"/>
        <v>06-12-2024 to 12-12-2024</v>
      </c>
    </row>
    <row r="118" spans="1:7">
      <c r="A118" s="1">
        <v>45632</v>
      </c>
      <c r="B118" s="6">
        <v>0.46944444444444444</v>
      </c>
      <c r="C118" t="s">
        <v>22</v>
      </c>
      <c r="D118" s="7">
        <f t="shared" si="3"/>
        <v>45632.469444444447</v>
      </c>
      <c r="E118" t="str">
        <f t="shared" si="4"/>
        <v>06-12-2024 to 12-12-2024</v>
      </c>
      <c r="F118" t="str">
        <f>IF(COUNTIF('Top5'!I:I, G118) &gt; 0, "Yes", "No")</f>
        <v>No</v>
      </c>
      <c r="G118" t="str">
        <f t="shared" si="5"/>
        <v>06-12-2024 to 12-12-2024</v>
      </c>
    </row>
    <row r="119" spans="1:7">
      <c r="A119" s="1">
        <v>45632</v>
      </c>
      <c r="B119" s="6">
        <v>0.61111111111111116</v>
      </c>
      <c r="C119" t="s">
        <v>22</v>
      </c>
      <c r="D119" s="7">
        <f t="shared" si="3"/>
        <v>45632.611111111109</v>
      </c>
      <c r="E119" t="str">
        <f t="shared" si="4"/>
        <v>06-12-2024 to 12-12-2024</v>
      </c>
      <c r="F119" t="str">
        <f>IF(COUNTIF('Top5'!I:I, G119) &gt; 0, "Yes", "No")</f>
        <v>No</v>
      </c>
      <c r="G119" t="str">
        <f t="shared" si="5"/>
        <v>06-12-2024 to 12-12-2024</v>
      </c>
    </row>
    <row r="120" spans="1:7">
      <c r="A120" s="1">
        <v>45632</v>
      </c>
      <c r="B120" s="6">
        <v>0.87083333333333335</v>
      </c>
      <c r="C120" t="s">
        <v>23</v>
      </c>
      <c r="D120" s="7">
        <f t="shared" si="3"/>
        <v>45632.870833333334</v>
      </c>
      <c r="E120" t="str">
        <f t="shared" si="4"/>
        <v>06-12-2024 to 12-12-2024</v>
      </c>
      <c r="F120" t="str">
        <f>IF(COUNTIF('Top5'!I:I, G120) &gt; 0, "Yes", "No")</f>
        <v>No</v>
      </c>
      <c r="G120" t="str">
        <f t="shared" si="5"/>
        <v>06-12-2024 to 12-12-2024</v>
      </c>
    </row>
    <row r="121" spans="1:7">
      <c r="A121" s="1">
        <v>45633</v>
      </c>
      <c r="B121" s="6">
        <v>0.39930555555555558</v>
      </c>
      <c r="C121" t="s">
        <v>22</v>
      </c>
      <c r="D121" s="7">
        <f t="shared" si="3"/>
        <v>45633.399305555555</v>
      </c>
      <c r="E121" t="str">
        <f t="shared" si="4"/>
        <v>07-12-2024 to 13-12-2024</v>
      </c>
      <c r="F121" t="str">
        <f>IF(COUNTIF('Top5'!I:I, G121) &gt; 0, "Yes", "No")</f>
        <v>No</v>
      </c>
      <c r="G121" t="str">
        <f t="shared" si="5"/>
        <v>07-12-2024 to 13-12-2024</v>
      </c>
    </row>
    <row r="122" spans="1:7">
      <c r="A122" s="1">
        <v>45633</v>
      </c>
      <c r="B122" s="6">
        <v>0.45069444444444445</v>
      </c>
      <c r="C122" t="s">
        <v>22</v>
      </c>
      <c r="D122" s="7">
        <f t="shared" si="3"/>
        <v>45633.450694444444</v>
      </c>
      <c r="E122" t="str">
        <f t="shared" si="4"/>
        <v>07-12-2024 to 13-12-2024</v>
      </c>
      <c r="F122" t="str">
        <f>IF(COUNTIF('Top5'!I:I, G122) &gt; 0, "Yes", "No")</f>
        <v>No</v>
      </c>
      <c r="G122" t="str">
        <f t="shared" si="5"/>
        <v>07-12-2024 to 13-12-2024</v>
      </c>
    </row>
    <row r="123" spans="1:7">
      <c r="A123" s="1">
        <v>45633</v>
      </c>
      <c r="B123" s="6">
        <v>0.64930555555555558</v>
      </c>
      <c r="C123" t="s">
        <v>22</v>
      </c>
      <c r="D123" s="7">
        <f t="shared" si="3"/>
        <v>45633.649305555555</v>
      </c>
      <c r="E123" t="str">
        <f t="shared" si="4"/>
        <v>07-12-2024 to 13-12-2024</v>
      </c>
      <c r="F123" t="str">
        <f>IF(COUNTIF('Top5'!I:I, G123) &gt; 0, "Yes", "No")</f>
        <v>No</v>
      </c>
      <c r="G123" t="str">
        <f t="shared" si="5"/>
        <v>07-12-2024 to 13-12-2024</v>
      </c>
    </row>
    <row r="124" spans="1:7">
      <c r="A124" s="1">
        <v>45633</v>
      </c>
      <c r="B124" s="6">
        <v>0.71736111111111112</v>
      </c>
      <c r="C124" t="s">
        <v>23</v>
      </c>
      <c r="D124" s="7">
        <f t="shared" si="3"/>
        <v>45633.717361111114</v>
      </c>
      <c r="E124" t="str">
        <f t="shared" si="4"/>
        <v>07-12-2024 to 13-12-2024</v>
      </c>
      <c r="F124" t="str">
        <f>IF(COUNTIF('Top5'!I:I, G124) &gt; 0, "Yes", "No")</f>
        <v>No</v>
      </c>
      <c r="G124" t="str">
        <f t="shared" si="5"/>
        <v>07-12-2024 to 13-12-2024</v>
      </c>
    </row>
    <row r="125" spans="1:7">
      <c r="A125" s="1">
        <v>45633</v>
      </c>
      <c r="B125" s="6">
        <v>0.81597222222222221</v>
      </c>
      <c r="C125" t="s">
        <v>23</v>
      </c>
      <c r="D125" s="7">
        <f t="shared" si="3"/>
        <v>45633.815972222219</v>
      </c>
      <c r="E125" t="str">
        <f t="shared" si="4"/>
        <v>07-12-2024 to 13-12-2024</v>
      </c>
      <c r="F125" t="str">
        <f>IF(COUNTIF('Top5'!I:I, G125) &gt; 0, "Yes", "No")</f>
        <v>No</v>
      </c>
      <c r="G125" t="str">
        <f t="shared" si="5"/>
        <v>07-12-2024 to 13-12-2024</v>
      </c>
    </row>
    <row r="126" spans="1:7">
      <c r="A126" s="1">
        <v>45634</v>
      </c>
      <c r="B126" s="6">
        <v>0.5180555555555556</v>
      </c>
      <c r="C126" t="s">
        <v>22</v>
      </c>
      <c r="D126" s="7">
        <f t="shared" si="3"/>
        <v>45634.518055555556</v>
      </c>
      <c r="E126" t="str">
        <f t="shared" si="4"/>
        <v>08-12-2024 to 14-12-2024</v>
      </c>
      <c r="F126" t="str">
        <f>IF(COUNTIF('Top5'!I:I, G126) &gt; 0, "Yes", "No")</f>
        <v>No</v>
      </c>
      <c r="G126" t="str">
        <f t="shared" si="5"/>
        <v>08-12-2024 to 14-12-2024</v>
      </c>
    </row>
    <row r="127" spans="1:7">
      <c r="A127" s="1">
        <v>45634</v>
      </c>
      <c r="B127" s="6">
        <v>0.52152777777777781</v>
      </c>
      <c r="C127" t="s">
        <v>22</v>
      </c>
      <c r="D127" s="7">
        <f t="shared" si="3"/>
        <v>45634.521527777775</v>
      </c>
      <c r="E127" t="str">
        <f t="shared" si="4"/>
        <v>08-12-2024 to 14-12-2024</v>
      </c>
      <c r="F127" t="str">
        <f>IF(COUNTIF('Top5'!I:I, G127) &gt; 0, "Yes", "No")</f>
        <v>No</v>
      </c>
      <c r="G127" t="str">
        <f t="shared" si="5"/>
        <v>08-12-2024 to 14-12-2024</v>
      </c>
    </row>
    <row r="128" spans="1:7">
      <c r="A128" s="1">
        <v>45634</v>
      </c>
      <c r="B128" s="6">
        <v>0.52847222222222223</v>
      </c>
      <c r="C128" t="s">
        <v>22</v>
      </c>
      <c r="D128" s="7">
        <f t="shared" si="3"/>
        <v>45634.52847222222</v>
      </c>
      <c r="E128" t="str">
        <f t="shared" si="4"/>
        <v>08-12-2024 to 14-12-2024</v>
      </c>
      <c r="F128" t="str">
        <f>IF(COUNTIF('Top5'!I:I, G128) &gt; 0, "Yes", "No")</f>
        <v>No</v>
      </c>
      <c r="G128" t="str">
        <f t="shared" si="5"/>
        <v>08-12-2024 to 14-12-2024</v>
      </c>
    </row>
    <row r="129" spans="1:7">
      <c r="A129" s="1">
        <v>45634</v>
      </c>
      <c r="B129" s="6">
        <v>0.5541666666666667</v>
      </c>
      <c r="C129" t="s">
        <v>22</v>
      </c>
      <c r="D129" s="7">
        <f t="shared" si="3"/>
        <v>45634.554166666669</v>
      </c>
      <c r="E129" t="str">
        <f t="shared" si="4"/>
        <v>08-12-2024 to 14-12-2024</v>
      </c>
      <c r="F129" t="str">
        <f>IF(COUNTIF('Top5'!I:I, G129) &gt; 0, "Yes", "No")</f>
        <v>No</v>
      </c>
      <c r="G129" t="str">
        <f t="shared" si="5"/>
        <v>08-12-2024 to 14-12-2024</v>
      </c>
    </row>
    <row r="130" spans="1:7">
      <c r="A130" s="1">
        <v>45634</v>
      </c>
      <c r="B130" s="6">
        <v>0.63055555555555554</v>
      </c>
      <c r="C130" t="s">
        <v>22</v>
      </c>
      <c r="D130" s="7">
        <f t="shared" si="3"/>
        <v>45634.630555555559</v>
      </c>
      <c r="E130" t="str">
        <f t="shared" si="4"/>
        <v>08-12-2024 to 14-12-2024</v>
      </c>
      <c r="F130" t="str">
        <f>IF(COUNTIF('Top5'!I:I, G130) &gt; 0, "Yes", "No")</f>
        <v>No</v>
      </c>
      <c r="G130" t="str">
        <f t="shared" si="5"/>
        <v>08-12-2024 to 14-12-2024</v>
      </c>
    </row>
    <row r="131" spans="1:7">
      <c r="A131" s="1">
        <v>45634</v>
      </c>
      <c r="B131" s="6">
        <v>0.87777777777777777</v>
      </c>
      <c r="C131" t="s">
        <v>23</v>
      </c>
      <c r="D131" s="7">
        <f t="shared" ref="D131:D194" si="6">VALUE(A131) + VALUE(B131)</f>
        <v>45634.87777777778</v>
      </c>
      <c r="E131" t="str">
        <f t="shared" ref="E131:E194" si="7">TEXT(D131, "dd-mm-yyyy") &amp; " to " &amp; TEXT(D131+6, "dd-mm-yyyy")</f>
        <v>08-12-2024 to 14-12-2024</v>
      </c>
      <c r="F131" t="str">
        <f>IF(COUNTIF('Top5'!I:I, G131) &gt; 0, "Yes", "No")</f>
        <v>No</v>
      </c>
      <c r="G131" t="str">
        <f t="shared" ref="G131:G194" si="8">TRIM(E131)</f>
        <v>08-12-2024 to 14-12-2024</v>
      </c>
    </row>
    <row r="132" spans="1:7">
      <c r="A132" s="1">
        <v>45634</v>
      </c>
      <c r="B132" s="6">
        <v>0.87777777777777777</v>
      </c>
      <c r="C132" t="s">
        <v>23</v>
      </c>
      <c r="D132" s="7">
        <f t="shared" si="6"/>
        <v>45634.87777777778</v>
      </c>
      <c r="E132" t="str">
        <f t="shared" si="7"/>
        <v>08-12-2024 to 14-12-2024</v>
      </c>
      <c r="F132" t="str">
        <f>IF(COUNTIF('Top5'!I:I, G132) &gt; 0, "Yes", "No")</f>
        <v>No</v>
      </c>
      <c r="G132" t="str">
        <f t="shared" si="8"/>
        <v>08-12-2024 to 14-12-2024</v>
      </c>
    </row>
    <row r="133" spans="1:7">
      <c r="A133" s="1">
        <v>45635</v>
      </c>
      <c r="B133" s="6">
        <v>0.45347222222222222</v>
      </c>
      <c r="C133" t="s">
        <v>22</v>
      </c>
      <c r="D133" s="7">
        <f t="shared" si="6"/>
        <v>45635.453472222223</v>
      </c>
      <c r="E133" t="str">
        <f t="shared" si="7"/>
        <v>09-12-2024 to 15-12-2024</v>
      </c>
      <c r="F133" t="str">
        <f>IF(COUNTIF('Top5'!I:I, G133) &gt; 0, "Yes", "No")</f>
        <v>No</v>
      </c>
      <c r="G133" t="str">
        <f t="shared" si="8"/>
        <v>09-12-2024 to 15-12-2024</v>
      </c>
    </row>
    <row r="134" spans="1:7">
      <c r="A134" s="1">
        <v>45635</v>
      </c>
      <c r="B134" s="6">
        <v>0.4548611111111111</v>
      </c>
      <c r="C134" t="s">
        <v>22</v>
      </c>
      <c r="D134" s="7">
        <f t="shared" si="6"/>
        <v>45635.454861111109</v>
      </c>
      <c r="E134" t="str">
        <f t="shared" si="7"/>
        <v>09-12-2024 to 15-12-2024</v>
      </c>
      <c r="F134" t="str">
        <f>IF(COUNTIF('Top5'!I:I, G134) &gt; 0, "Yes", "No")</f>
        <v>No</v>
      </c>
      <c r="G134" t="str">
        <f t="shared" si="8"/>
        <v>09-12-2024 to 15-12-2024</v>
      </c>
    </row>
    <row r="135" spans="1:7">
      <c r="A135" s="1">
        <v>45635</v>
      </c>
      <c r="B135" s="6">
        <v>0.46041666666666664</v>
      </c>
      <c r="C135" t="s">
        <v>22</v>
      </c>
      <c r="D135" s="7">
        <f t="shared" si="6"/>
        <v>45635.460416666669</v>
      </c>
      <c r="E135" t="str">
        <f t="shared" si="7"/>
        <v>09-12-2024 to 15-12-2024</v>
      </c>
      <c r="F135" t="str">
        <f>IF(COUNTIF('Top5'!I:I, G135) &gt; 0, "Yes", "No")</f>
        <v>No</v>
      </c>
      <c r="G135" t="str">
        <f t="shared" si="8"/>
        <v>09-12-2024 to 15-12-2024</v>
      </c>
    </row>
    <row r="136" spans="1:7">
      <c r="A136" s="1">
        <v>45635</v>
      </c>
      <c r="B136" s="6">
        <v>0.49236111111111114</v>
      </c>
      <c r="C136" t="s">
        <v>22</v>
      </c>
      <c r="D136" s="7">
        <f t="shared" si="6"/>
        <v>45635.492361111108</v>
      </c>
      <c r="E136" t="str">
        <f t="shared" si="7"/>
        <v>09-12-2024 to 15-12-2024</v>
      </c>
      <c r="F136" t="str">
        <f>IF(COUNTIF('Top5'!I:I, G136) &gt; 0, "Yes", "No")</f>
        <v>No</v>
      </c>
      <c r="G136" t="str">
        <f t="shared" si="8"/>
        <v>09-12-2024 to 15-12-2024</v>
      </c>
    </row>
    <row r="137" spans="1:7">
      <c r="A137" s="1">
        <v>45635</v>
      </c>
      <c r="B137" s="6">
        <v>0.55972222222222223</v>
      </c>
      <c r="C137" t="s">
        <v>22</v>
      </c>
      <c r="D137" s="7">
        <f t="shared" si="6"/>
        <v>45635.55972222222</v>
      </c>
      <c r="E137" t="str">
        <f t="shared" si="7"/>
        <v>09-12-2024 to 15-12-2024</v>
      </c>
      <c r="F137" t="str">
        <f>IF(COUNTIF('Top5'!I:I, G137) &gt; 0, "Yes", "No")</f>
        <v>No</v>
      </c>
      <c r="G137" t="str">
        <f t="shared" si="8"/>
        <v>09-12-2024 to 15-12-2024</v>
      </c>
    </row>
    <row r="138" spans="1:7">
      <c r="A138" s="1">
        <v>45635</v>
      </c>
      <c r="B138" s="6">
        <v>0.56180555555555556</v>
      </c>
      <c r="C138" t="s">
        <v>22</v>
      </c>
      <c r="D138" s="7">
        <f t="shared" si="6"/>
        <v>45635.561805555553</v>
      </c>
      <c r="E138" t="str">
        <f t="shared" si="7"/>
        <v>09-12-2024 to 15-12-2024</v>
      </c>
      <c r="F138" t="str">
        <f>IF(COUNTIF('Top5'!I:I, G138) &gt; 0, "Yes", "No")</f>
        <v>No</v>
      </c>
      <c r="G138" t="str">
        <f t="shared" si="8"/>
        <v>09-12-2024 to 15-12-2024</v>
      </c>
    </row>
    <row r="139" spans="1:7">
      <c r="A139" s="1">
        <v>45635</v>
      </c>
      <c r="B139" s="6">
        <v>0.69444444444444442</v>
      </c>
      <c r="C139" t="s">
        <v>22</v>
      </c>
      <c r="D139" s="7">
        <f t="shared" si="6"/>
        <v>45635.694444444445</v>
      </c>
      <c r="E139" t="str">
        <f t="shared" si="7"/>
        <v>09-12-2024 to 15-12-2024</v>
      </c>
      <c r="F139" t="str">
        <f>IF(COUNTIF('Top5'!I:I, G139) &gt; 0, "Yes", "No")</f>
        <v>No</v>
      </c>
      <c r="G139" t="str">
        <f t="shared" si="8"/>
        <v>09-12-2024 to 15-12-2024</v>
      </c>
    </row>
    <row r="140" spans="1:7">
      <c r="A140" s="1">
        <v>45635</v>
      </c>
      <c r="B140" s="6">
        <v>0.83611111111111114</v>
      </c>
      <c r="C140" t="s">
        <v>23</v>
      </c>
      <c r="D140" s="7">
        <f t="shared" si="6"/>
        <v>45635.836111111108</v>
      </c>
      <c r="E140" t="str">
        <f t="shared" si="7"/>
        <v>09-12-2024 to 15-12-2024</v>
      </c>
      <c r="F140" t="str">
        <f>IF(COUNTIF('Top5'!I:I, G140) &gt; 0, "Yes", "No")</f>
        <v>No</v>
      </c>
      <c r="G140" t="str">
        <f t="shared" si="8"/>
        <v>09-12-2024 to 15-12-2024</v>
      </c>
    </row>
    <row r="141" spans="1:7">
      <c r="A141" s="1">
        <v>45635</v>
      </c>
      <c r="B141" s="6">
        <v>0.84097222222222223</v>
      </c>
      <c r="C141" t="s">
        <v>23</v>
      </c>
      <c r="D141" s="7">
        <f t="shared" si="6"/>
        <v>45635.84097222222</v>
      </c>
      <c r="E141" t="str">
        <f t="shared" si="7"/>
        <v>09-12-2024 to 15-12-2024</v>
      </c>
      <c r="F141" t="str">
        <f>IF(COUNTIF('Top5'!I:I, G141) &gt; 0, "Yes", "No")</f>
        <v>No</v>
      </c>
      <c r="G141" t="str">
        <f t="shared" si="8"/>
        <v>09-12-2024 to 15-12-2024</v>
      </c>
    </row>
    <row r="142" spans="1:7">
      <c r="A142" s="1">
        <v>45637</v>
      </c>
      <c r="B142" s="6">
        <v>1.3888888888888889E-3</v>
      </c>
      <c r="C142" t="s">
        <v>23</v>
      </c>
      <c r="D142" s="7">
        <f t="shared" si="6"/>
        <v>45637.001388888886</v>
      </c>
      <c r="E142" t="str">
        <f t="shared" si="7"/>
        <v>11-12-2024 to 17-12-2024</v>
      </c>
      <c r="F142" t="str">
        <f>IF(COUNTIF('Top5'!I:I, G142) &gt; 0, "Yes", "No")</f>
        <v>No</v>
      </c>
      <c r="G142" t="str">
        <f t="shared" si="8"/>
        <v>11-12-2024 to 17-12-2024</v>
      </c>
    </row>
    <row r="143" spans="1:7">
      <c r="A143" s="1">
        <v>45637</v>
      </c>
      <c r="B143" s="6">
        <v>5.5555555555555558E-3</v>
      </c>
      <c r="C143" t="s">
        <v>23</v>
      </c>
      <c r="D143" s="7">
        <f t="shared" si="6"/>
        <v>45637.005555555559</v>
      </c>
      <c r="E143" t="str">
        <f t="shared" si="7"/>
        <v>11-12-2024 to 17-12-2024</v>
      </c>
      <c r="F143" t="str">
        <f>IF(COUNTIF('Top5'!I:I, G143) &gt; 0, "Yes", "No")</f>
        <v>No</v>
      </c>
      <c r="G143" t="str">
        <f t="shared" si="8"/>
        <v>11-12-2024 to 17-12-2024</v>
      </c>
    </row>
    <row r="144" spans="1:7">
      <c r="A144" s="1">
        <v>45637</v>
      </c>
      <c r="B144" s="6">
        <v>5.5555555555555558E-3</v>
      </c>
      <c r="C144" t="s">
        <v>23</v>
      </c>
      <c r="D144" s="7">
        <f t="shared" si="6"/>
        <v>45637.005555555559</v>
      </c>
      <c r="E144" t="str">
        <f t="shared" si="7"/>
        <v>11-12-2024 to 17-12-2024</v>
      </c>
      <c r="F144" t="str">
        <f>IF(COUNTIF('Top5'!I:I, G144) &gt; 0, "Yes", "No")</f>
        <v>No</v>
      </c>
      <c r="G144" t="str">
        <f t="shared" si="8"/>
        <v>11-12-2024 to 17-12-2024</v>
      </c>
    </row>
    <row r="145" spans="1:7">
      <c r="A145" s="1">
        <v>45637</v>
      </c>
      <c r="B145" s="6">
        <v>6.2500000000000003E-3</v>
      </c>
      <c r="C145" t="s">
        <v>23</v>
      </c>
      <c r="D145" s="7">
        <f t="shared" si="6"/>
        <v>45637.006249999999</v>
      </c>
      <c r="E145" t="str">
        <f t="shared" si="7"/>
        <v>11-12-2024 to 17-12-2024</v>
      </c>
      <c r="F145" t="str">
        <f>IF(COUNTIF('Top5'!I:I, G145) &gt; 0, "Yes", "No")</f>
        <v>No</v>
      </c>
      <c r="G145" t="str">
        <f t="shared" si="8"/>
        <v>11-12-2024 to 17-12-2024</v>
      </c>
    </row>
    <row r="146" spans="1:7">
      <c r="A146" s="1">
        <v>45637</v>
      </c>
      <c r="B146" s="6">
        <v>0.57013888888888886</v>
      </c>
      <c r="C146" t="s">
        <v>22</v>
      </c>
      <c r="D146" s="7">
        <f t="shared" si="6"/>
        <v>45637.570138888892</v>
      </c>
      <c r="E146" t="str">
        <f t="shared" si="7"/>
        <v>11-12-2024 to 17-12-2024</v>
      </c>
      <c r="F146" t="str">
        <f>IF(COUNTIF('Top5'!I:I, G146) &gt; 0, "Yes", "No")</f>
        <v>No</v>
      </c>
      <c r="G146" t="str">
        <f t="shared" si="8"/>
        <v>11-12-2024 to 17-12-2024</v>
      </c>
    </row>
    <row r="147" spans="1:7">
      <c r="A147" s="1">
        <v>45637</v>
      </c>
      <c r="B147" s="6">
        <v>0.64722222222222225</v>
      </c>
      <c r="C147" t="s">
        <v>22</v>
      </c>
      <c r="D147" s="7">
        <f t="shared" si="6"/>
        <v>45637.647222222222</v>
      </c>
      <c r="E147" t="str">
        <f t="shared" si="7"/>
        <v>11-12-2024 to 17-12-2024</v>
      </c>
      <c r="F147" t="str">
        <f>IF(COUNTIF('Top5'!I:I, G147) &gt; 0, "Yes", "No")</f>
        <v>No</v>
      </c>
      <c r="G147" t="str">
        <f t="shared" si="8"/>
        <v>11-12-2024 to 17-12-2024</v>
      </c>
    </row>
    <row r="148" spans="1:7">
      <c r="A148" s="1">
        <v>45637</v>
      </c>
      <c r="B148" s="6">
        <v>0.65625</v>
      </c>
      <c r="C148" t="s">
        <v>22</v>
      </c>
      <c r="D148" s="7">
        <f t="shared" si="6"/>
        <v>45637.65625</v>
      </c>
      <c r="E148" t="str">
        <f t="shared" si="7"/>
        <v>11-12-2024 to 17-12-2024</v>
      </c>
      <c r="F148" t="str">
        <f>IF(COUNTIF('Top5'!I:I, G148) &gt; 0, "Yes", "No")</f>
        <v>No</v>
      </c>
      <c r="G148" t="str">
        <f t="shared" si="8"/>
        <v>11-12-2024 to 17-12-2024</v>
      </c>
    </row>
    <row r="149" spans="1:7">
      <c r="A149" s="1">
        <v>45638</v>
      </c>
      <c r="B149" s="6">
        <v>0.33611111111111114</v>
      </c>
      <c r="C149" t="s">
        <v>22</v>
      </c>
      <c r="D149" s="7">
        <f t="shared" si="6"/>
        <v>45638.336111111108</v>
      </c>
      <c r="E149" t="str">
        <f t="shared" si="7"/>
        <v>12-12-2024 to 18-12-2024</v>
      </c>
      <c r="F149" t="str">
        <f>IF(COUNTIF('Top5'!I:I, G149) &gt; 0, "Yes", "No")</f>
        <v>No</v>
      </c>
      <c r="G149" t="str">
        <f t="shared" si="8"/>
        <v>12-12-2024 to 18-12-2024</v>
      </c>
    </row>
    <row r="150" spans="1:7">
      <c r="A150" s="1">
        <v>45638</v>
      </c>
      <c r="B150" s="6">
        <v>0.33611111111111114</v>
      </c>
      <c r="C150" t="s">
        <v>22</v>
      </c>
      <c r="D150" s="7">
        <f t="shared" si="6"/>
        <v>45638.336111111108</v>
      </c>
      <c r="E150" t="str">
        <f t="shared" si="7"/>
        <v>12-12-2024 to 18-12-2024</v>
      </c>
      <c r="F150" t="str">
        <f>IF(COUNTIF('Top5'!I:I, G150) &gt; 0, "Yes", "No")</f>
        <v>No</v>
      </c>
      <c r="G150" t="str">
        <f t="shared" si="8"/>
        <v>12-12-2024 to 18-12-2024</v>
      </c>
    </row>
    <row r="151" spans="1:7">
      <c r="A151" s="1">
        <v>45638</v>
      </c>
      <c r="B151" s="6">
        <v>0.42499999999999999</v>
      </c>
      <c r="C151" t="s">
        <v>22</v>
      </c>
      <c r="D151" s="7">
        <f t="shared" si="6"/>
        <v>45638.425000000003</v>
      </c>
      <c r="E151" t="str">
        <f t="shared" si="7"/>
        <v>12-12-2024 to 18-12-2024</v>
      </c>
      <c r="F151" t="str">
        <f>IF(COUNTIF('Top5'!I:I, G151) &gt; 0, "Yes", "No")</f>
        <v>No</v>
      </c>
      <c r="G151" t="str">
        <f t="shared" si="8"/>
        <v>12-12-2024 to 18-12-2024</v>
      </c>
    </row>
    <row r="152" spans="1:7">
      <c r="A152" s="1">
        <v>45638</v>
      </c>
      <c r="B152" s="6">
        <v>0.47916666666666669</v>
      </c>
      <c r="C152" t="s">
        <v>22</v>
      </c>
      <c r="D152" s="7">
        <f t="shared" si="6"/>
        <v>45638.479166666664</v>
      </c>
      <c r="E152" t="str">
        <f t="shared" si="7"/>
        <v>12-12-2024 to 18-12-2024</v>
      </c>
      <c r="F152" t="str">
        <f>IF(COUNTIF('Top5'!I:I, G152) &gt; 0, "Yes", "No")</f>
        <v>No</v>
      </c>
      <c r="G152" t="str">
        <f t="shared" si="8"/>
        <v>12-12-2024 to 18-12-2024</v>
      </c>
    </row>
    <row r="153" spans="1:7">
      <c r="A153" s="1">
        <v>45638</v>
      </c>
      <c r="B153" s="6">
        <v>0.48333333333333334</v>
      </c>
      <c r="C153" t="s">
        <v>22</v>
      </c>
      <c r="D153" s="7">
        <f t="shared" si="6"/>
        <v>45638.48333333333</v>
      </c>
      <c r="E153" t="str">
        <f t="shared" si="7"/>
        <v>12-12-2024 to 18-12-2024</v>
      </c>
      <c r="F153" t="str">
        <f>IF(COUNTIF('Top5'!I:I, G153) &gt; 0, "Yes", "No")</f>
        <v>No</v>
      </c>
      <c r="G153" t="str">
        <f t="shared" si="8"/>
        <v>12-12-2024 to 18-12-2024</v>
      </c>
    </row>
    <row r="154" spans="1:7">
      <c r="A154" s="1">
        <v>45638</v>
      </c>
      <c r="B154" s="6">
        <v>0.80486111111111114</v>
      </c>
      <c r="C154" t="s">
        <v>23</v>
      </c>
      <c r="D154" s="7">
        <f t="shared" si="6"/>
        <v>45638.804861111108</v>
      </c>
      <c r="E154" t="str">
        <f t="shared" si="7"/>
        <v>12-12-2024 to 18-12-2024</v>
      </c>
      <c r="F154" t="str">
        <f>IF(COUNTIF('Top5'!I:I, G154) &gt; 0, "Yes", "No")</f>
        <v>No</v>
      </c>
      <c r="G154" t="str">
        <f t="shared" si="8"/>
        <v>12-12-2024 to 18-12-2024</v>
      </c>
    </row>
    <row r="155" spans="1:7">
      <c r="A155" s="1">
        <v>45638</v>
      </c>
      <c r="B155" s="6">
        <v>0.82222222222222219</v>
      </c>
      <c r="C155" t="s">
        <v>23</v>
      </c>
      <c r="D155" s="7">
        <f t="shared" si="6"/>
        <v>45638.822222222225</v>
      </c>
      <c r="E155" t="str">
        <f t="shared" si="7"/>
        <v>12-12-2024 to 18-12-2024</v>
      </c>
      <c r="F155" t="str">
        <f>IF(COUNTIF('Top5'!I:I, G155) &gt; 0, "Yes", "No")</f>
        <v>No</v>
      </c>
      <c r="G155" t="str">
        <f t="shared" si="8"/>
        <v>12-12-2024 to 18-12-2024</v>
      </c>
    </row>
    <row r="156" spans="1:7">
      <c r="A156" s="1">
        <v>45638</v>
      </c>
      <c r="B156" s="6">
        <v>0.88611111111111107</v>
      </c>
      <c r="C156" t="s">
        <v>23</v>
      </c>
      <c r="D156" s="7">
        <f t="shared" si="6"/>
        <v>45638.886111111111</v>
      </c>
      <c r="E156" t="str">
        <f t="shared" si="7"/>
        <v>12-12-2024 to 18-12-2024</v>
      </c>
      <c r="F156" t="str">
        <f>IF(COUNTIF('Top5'!I:I, G156) &gt; 0, "Yes", "No")</f>
        <v>No</v>
      </c>
      <c r="G156" t="str">
        <f t="shared" si="8"/>
        <v>12-12-2024 to 18-12-2024</v>
      </c>
    </row>
    <row r="157" spans="1:7">
      <c r="A157" s="1">
        <v>45639</v>
      </c>
      <c r="B157" s="6">
        <v>0.43125000000000002</v>
      </c>
      <c r="C157" t="s">
        <v>22</v>
      </c>
      <c r="D157" s="7">
        <f t="shared" si="6"/>
        <v>45639.431250000001</v>
      </c>
      <c r="E157" t="str">
        <f t="shared" si="7"/>
        <v>13-12-2024 to 19-12-2024</v>
      </c>
      <c r="F157" t="str">
        <f>IF(COUNTIF('Top5'!I:I, G157) &gt; 0, "Yes", "No")</f>
        <v>No</v>
      </c>
      <c r="G157" t="str">
        <f t="shared" si="8"/>
        <v>13-12-2024 to 19-12-2024</v>
      </c>
    </row>
    <row r="158" spans="1:7">
      <c r="A158" s="1">
        <v>45640</v>
      </c>
      <c r="B158" s="6">
        <v>0.40486111111111112</v>
      </c>
      <c r="C158" t="s">
        <v>22</v>
      </c>
      <c r="D158" s="7">
        <f t="shared" si="6"/>
        <v>45640.404861111114</v>
      </c>
      <c r="E158" t="str">
        <f t="shared" si="7"/>
        <v>14-12-2024 to 20-12-2024</v>
      </c>
      <c r="F158" t="str">
        <f>IF(COUNTIF('Top5'!I:I, G158) &gt; 0, "Yes", "No")</f>
        <v>No</v>
      </c>
      <c r="G158" t="str">
        <f t="shared" si="8"/>
        <v>14-12-2024 to 20-12-2024</v>
      </c>
    </row>
    <row r="159" spans="1:7">
      <c r="A159" s="1">
        <v>45640</v>
      </c>
      <c r="B159" s="6">
        <v>0.42569444444444443</v>
      </c>
      <c r="C159" t="s">
        <v>22</v>
      </c>
      <c r="D159" s="7">
        <f t="shared" si="6"/>
        <v>45640.425694444442</v>
      </c>
      <c r="E159" t="str">
        <f t="shared" si="7"/>
        <v>14-12-2024 to 20-12-2024</v>
      </c>
      <c r="F159" t="str">
        <f>IF(COUNTIF('Top5'!I:I, G159) &gt; 0, "Yes", "No")</f>
        <v>No</v>
      </c>
      <c r="G159" t="str">
        <f t="shared" si="8"/>
        <v>14-12-2024 to 20-12-2024</v>
      </c>
    </row>
    <row r="160" spans="1:7">
      <c r="A160" s="1">
        <v>45640</v>
      </c>
      <c r="B160" s="6">
        <v>0.42708333333333331</v>
      </c>
      <c r="C160" t="s">
        <v>22</v>
      </c>
      <c r="D160" s="7">
        <f t="shared" si="6"/>
        <v>45640.427083333336</v>
      </c>
      <c r="E160" t="str">
        <f t="shared" si="7"/>
        <v>14-12-2024 to 20-12-2024</v>
      </c>
      <c r="F160" t="str">
        <f>IF(COUNTIF('Top5'!I:I, G160) &gt; 0, "Yes", "No")</f>
        <v>No</v>
      </c>
      <c r="G160" t="str">
        <f t="shared" si="8"/>
        <v>14-12-2024 to 20-12-2024</v>
      </c>
    </row>
    <row r="161" spans="1:7">
      <c r="A161" s="1">
        <v>45640</v>
      </c>
      <c r="B161" s="6">
        <v>0.45</v>
      </c>
      <c r="C161" t="s">
        <v>22</v>
      </c>
      <c r="D161" s="7">
        <f t="shared" si="6"/>
        <v>45640.45</v>
      </c>
      <c r="E161" t="str">
        <f t="shared" si="7"/>
        <v>14-12-2024 to 20-12-2024</v>
      </c>
      <c r="F161" t="str">
        <f>IF(COUNTIF('Top5'!I:I, G161) &gt; 0, "Yes", "No")</f>
        <v>No</v>
      </c>
      <c r="G161" t="str">
        <f t="shared" si="8"/>
        <v>14-12-2024 to 20-12-2024</v>
      </c>
    </row>
    <row r="162" spans="1:7">
      <c r="A162" s="1">
        <v>45640</v>
      </c>
      <c r="B162" s="6">
        <v>0.71388888888888891</v>
      </c>
      <c r="C162" t="s">
        <v>23</v>
      </c>
      <c r="D162" s="7">
        <f t="shared" si="6"/>
        <v>45640.713888888888</v>
      </c>
      <c r="E162" t="str">
        <f t="shared" si="7"/>
        <v>14-12-2024 to 20-12-2024</v>
      </c>
      <c r="F162" t="str">
        <f>IF(COUNTIF('Top5'!I:I, G162) &gt; 0, "Yes", "No")</f>
        <v>No</v>
      </c>
      <c r="G162" t="str">
        <f t="shared" si="8"/>
        <v>14-12-2024 to 20-12-2024</v>
      </c>
    </row>
    <row r="163" spans="1:7">
      <c r="A163" s="1">
        <v>45641</v>
      </c>
      <c r="B163" s="6">
        <v>0.4548611111111111</v>
      </c>
      <c r="C163" t="s">
        <v>22</v>
      </c>
      <c r="D163" s="7">
        <f t="shared" si="6"/>
        <v>45641.454861111109</v>
      </c>
      <c r="E163" t="str">
        <f t="shared" si="7"/>
        <v>15-12-2024 to 21-12-2024</v>
      </c>
      <c r="F163" t="str">
        <f>IF(COUNTIF('Top5'!I:I, G163) &gt; 0, "Yes", "No")</f>
        <v>No</v>
      </c>
      <c r="G163" t="str">
        <f t="shared" si="8"/>
        <v>15-12-2024 to 21-12-2024</v>
      </c>
    </row>
    <row r="164" spans="1:7">
      <c r="A164" s="1">
        <v>45642</v>
      </c>
      <c r="B164" s="6">
        <v>1.1111111111111112E-2</v>
      </c>
      <c r="C164" t="s">
        <v>23</v>
      </c>
      <c r="D164" s="7">
        <f t="shared" si="6"/>
        <v>45642.011111111111</v>
      </c>
      <c r="E164" t="str">
        <f t="shared" si="7"/>
        <v>16-12-2024 to 22-12-2024</v>
      </c>
      <c r="F164" t="str">
        <f>IF(COUNTIF('Top5'!I:I, G164) &gt; 0, "Yes", "No")</f>
        <v>No</v>
      </c>
      <c r="G164" t="str">
        <f t="shared" si="8"/>
        <v>16-12-2024 to 22-12-2024</v>
      </c>
    </row>
    <row r="165" spans="1:7">
      <c r="A165" s="1">
        <v>45642</v>
      </c>
      <c r="B165" s="6">
        <v>1.1805555555555555E-2</v>
      </c>
      <c r="C165" t="s">
        <v>23</v>
      </c>
      <c r="D165" s="7">
        <f t="shared" si="6"/>
        <v>45642.011805555558</v>
      </c>
      <c r="E165" t="str">
        <f t="shared" si="7"/>
        <v>16-12-2024 to 22-12-2024</v>
      </c>
      <c r="F165" t="str">
        <f>IF(COUNTIF('Top5'!I:I, G165) &gt; 0, "Yes", "No")</f>
        <v>No</v>
      </c>
      <c r="G165" t="str">
        <f t="shared" si="8"/>
        <v>16-12-2024 to 22-12-2024</v>
      </c>
    </row>
    <row r="166" spans="1:7">
      <c r="A166" s="1">
        <v>45642</v>
      </c>
      <c r="B166" s="6">
        <v>1.1805555555555555E-2</v>
      </c>
      <c r="C166" t="s">
        <v>23</v>
      </c>
      <c r="D166" s="7">
        <f t="shared" si="6"/>
        <v>45642.011805555558</v>
      </c>
      <c r="E166" t="str">
        <f t="shared" si="7"/>
        <v>16-12-2024 to 22-12-2024</v>
      </c>
      <c r="F166" t="str">
        <f>IF(COUNTIF('Top5'!I:I, G166) &gt; 0, "Yes", "No")</f>
        <v>No</v>
      </c>
      <c r="G166" t="str">
        <f t="shared" si="8"/>
        <v>16-12-2024 to 22-12-2024</v>
      </c>
    </row>
    <row r="167" spans="1:7">
      <c r="A167" s="1">
        <v>45642</v>
      </c>
      <c r="B167" s="6">
        <v>1.1805555555555555E-2</v>
      </c>
      <c r="C167" t="s">
        <v>23</v>
      </c>
      <c r="D167" s="7">
        <f t="shared" si="6"/>
        <v>45642.011805555558</v>
      </c>
      <c r="E167" t="str">
        <f t="shared" si="7"/>
        <v>16-12-2024 to 22-12-2024</v>
      </c>
      <c r="F167" t="str">
        <f>IF(COUNTIF('Top5'!I:I, G167) &gt; 0, "Yes", "No")</f>
        <v>No</v>
      </c>
      <c r="G167" t="str">
        <f t="shared" si="8"/>
        <v>16-12-2024 to 22-12-2024</v>
      </c>
    </row>
    <row r="168" spans="1:7">
      <c r="A168" s="1">
        <v>45642</v>
      </c>
      <c r="B168" s="6">
        <v>1.1805555555555555E-2</v>
      </c>
      <c r="C168" t="s">
        <v>23</v>
      </c>
      <c r="D168" s="7">
        <f t="shared" si="6"/>
        <v>45642.011805555558</v>
      </c>
      <c r="E168" t="str">
        <f t="shared" si="7"/>
        <v>16-12-2024 to 22-12-2024</v>
      </c>
      <c r="F168" t="str">
        <f>IF(COUNTIF('Top5'!I:I, G168) &gt; 0, "Yes", "No")</f>
        <v>No</v>
      </c>
      <c r="G168" t="str">
        <f t="shared" si="8"/>
        <v>16-12-2024 to 22-12-2024</v>
      </c>
    </row>
    <row r="169" spans="1:7">
      <c r="A169" s="1">
        <v>45642</v>
      </c>
      <c r="B169" s="6">
        <v>1.1805555555555555E-2</v>
      </c>
      <c r="C169" t="s">
        <v>23</v>
      </c>
      <c r="D169" s="7">
        <f t="shared" si="6"/>
        <v>45642.011805555558</v>
      </c>
      <c r="E169" t="str">
        <f t="shared" si="7"/>
        <v>16-12-2024 to 22-12-2024</v>
      </c>
      <c r="F169" t="str">
        <f>IF(COUNTIF('Top5'!I:I, G169) &gt; 0, "Yes", "No")</f>
        <v>No</v>
      </c>
      <c r="G169" t="str">
        <f t="shared" si="8"/>
        <v>16-12-2024 to 22-12-2024</v>
      </c>
    </row>
    <row r="170" spans="1:7">
      <c r="A170" s="1">
        <v>45642</v>
      </c>
      <c r="B170" s="6">
        <v>0.53472222222222221</v>
      </c>
      <c r="C170" t="s">
        <v>22</v>
      </c>
      <c r="D170" s="7">
        <f t="shared" si="6"/>
        <v>45642.534722222219</v>
      </c>
      <c r="E170" t="str">
        <f t="shared" si="7"/>
        <v>16-12-2024 to 22-12-2024</v>
      </c>
      <c r="F170" t="str">
        <f>IF(COUNTIF('Top5'!I:I, G170) &gt; 0, "Yes", "No")</f>
        <v>No</v>
      </c>
      <c r="G170" t="str">
        <f t="shared" si="8"/>
        <v>16-12-2024 to 22-12-2024</v>
      </c>
    </row>
    <row r="171" spans="1:7">
      <c r="A171" s="1">
        <v>45642</v>
      </c>
      <c r="B171" s="6">
        <v>0.66874999999999996</v>
      </c>
      <c r="C171" t="s">
        <v>22</v>
      </c>
      <c r="D171" s="7">
        <f t="shared" si="6"/>
        <v>45642.668749999997</v>
      </c>
      <c r="E171" t="str">
        <f t="shared" si="7"/>
        <v>16-12-2024 to 22-12-2024</v>
      </c>
      <c r="F171" t="str">
        <f>IF(COUNTIF('Top5'!I:I, G171) &gt; 0, "Yes", "No")</f>
        <v>No</v>
      </c>
      <c r="G171" t="str">
        <f t="shared" si="8"/>
        <v>16-12-2024 to 22-12-2024</v>
      </c>
    </row>
    <row r="172" spans="1:7">
      <c r="A172" s="1">
        <v>45642</v>
      </c>
      <c r="B172" s="6">
        <v>0.70138888888888884</v>
      </c>
      <c r="C172" t="s">
        <v>22</v>
      </c>
      <c r="D172" s="7">
        <f t="shared" si="6"/>
        <v>45642.701388888891</v>
      </c>
      <c r="E172" t="str">
        <f t="shared" si="7"/>
        <v>16-12-2024 to 22-12-2024</v>
      </c>
      <c r="F172" t="str">
        <f>IF(COUNTIF('Top5'!I:I, G172) &gt; 0, "Yes", "No")</f>
        <v>No</v>
      </c>
      <c r="G172" t="str">
        <f t="shared" si="8"/>
        <v>16-12-2024 to 22-12-2024</v>
      </c>
    </row>
    <row r="173" spans="1:7">
      <c r="A173" s="1">
        <v>45642</v>
      </c>
      <c r="B173" s="6">
        <v>0.71388888888888891</v>
      </c>
      <c r="C173" t="s">
        <v>23</v>
      </c>
      <c r="D173" s="7">
        <f t="shared" si="6"/>
        <v>45642.713888888888</v>
      </c>
      <c r="E173" t="str">
        <f t="shared" si="7"/>
        <v>16-12-2024 to 22-12-2024</v>
      </c>
      <c r="F173" t="str">
        <f>IF(COUNTIF('Top5'!I:I, G173) &gt; 0, "Yes", "No")</f>
        <v>No</v>
      </c>
      <c r="G173" t="str">
        <f t="shared" si="8"/>
        <v>16-12-2024 to 22-12-2024</v>
      </c>
    </row>
    <row r="174" spans="1:7">
      <c r="A174" s="1">
        <v>45642</v>
      </c>
      <c r="B174" s="6">
        <v>0.82152777777777775</v>
      </c>
      <c r="C174" t="s">
        <v>23</v>
      </c>
      <c r="D174" s="7">
        <f t="shared" si="6"/>
        <v>45642.821527777778</v>
      </c>
      <c r="E174" t="str">
        <f t="shared" si="7"/>
        <v>16-12-2024 to 22-12-2024</v>
      </c>
      <c r="F174" t="str">
        <f>IF(COUNTIF('Top5'!I:I, G174) &gt; 0, "Yes", "No")</f>
        <v>No</v>
      </c>
      <c r="G174" t="str">
        <f t="shared" si="8"/>
        <v>16-12-2024 to 22-12-2024</v>
      </c>
    </row>
    <row r="175" spans="1:7">
      <c r="A175" s="1">
        <v>45642</v>
      </c>
      <c r="B175" s="6">
        <v>0.84236111111111112</v>
      </c>
      <c r="C175" t="s">
        <v>23</v>
      </c>
      <c r="D175" s="7">
        <f t="shared" si="6"/>
        <v>45642.842361111114</v>
      </c>
      <c r="E175" t="str">
        <f t="shared" si="7"/>
        <v>16-12-2024 to 22-12-2024</v>
      </c>
      <c r="F175" t="str">
        <f>IF(COUNTIF('Top5'!I:I, G175) &gt; 0, "Yes", "No")</f>
        <v>No</v>
      </c>
      <c r="G175" t="str">
        <f t="shared" si="8"/>
        <v>16-12-2024 to 22-12-2024</v>
      </c>
    </row>
    <row r="176" spans="1:7">
      <c r="A176" s="1">
        <v>45642</v>
      </c>
      <c r="B176" s="6">
        <v>0.9819444444444444</v>
      </c>
      <c r="C176" t="s">
        <v>23</v>
      </c>
      <c r="D176" s="7">
        <f t="shared" si="6"/>
        <v>45642.981944444444</v>
      </c>
      <c r="E176" t="str">
        <f t="shared" si="7"/>
        <v>16-12-2024 to 22-12-2024</v>
      </c>
      <c r="F176" t="str">
        <f>IF(COUNTIF('Top5'!I:I, G176) &gt; 0, "Yes", "No")</f>
        <v>No</v>
      </c>
      <c r="G176" t="str">
        <f t="shared" si="8"/>
        <v>16-12-2024 to 22-12-2024</v>
      </c>
    </row>
    <row r="177" spans="1:7">
      <c r="A177" s="1">
        <v>45643</v>
      </c>
      <c r="B177" s="6">
        <v>0.625</v>
      </c>
      <c r="C177" t="s">
        <v>22</v>
      </c>
      <c r="D177" s="7">
        <f t="shared" si="6"/>
        <v>45643.625</v>
      </c>
      <c r="E177" t="str">
        <f t="shared" si="7"/>
        <v>17-12-2024 to 23-12-2024</v>
      </c>
      <c r="F177" t="str">
        <f>IF(COUNTIF('Top5'!I:I, G177) &gt; 0, "Yes", "No")</f>
        <v>No</v>
      </c>
      <c r="G177" t="str">
        <f t="shared" si="8"/>
        <v>17-12-2024 to 23-12-2024</v>
      </c>
    </row>
    <row r="178" spans="1:7">
      <c r="A178" s="1">
        <v>45644</v>
      </c>
      <c r="B178" s="6">
        <v>4.1666666666666666E-3</v>
      </c>
      <c r="C178" t="s">
        <v>23</v>
      </c>
      <c r="D178" s="7">
        <f t="shared" si="6"/>
        <v>45644.004166666666</v>
      </c>
      <c r="E178" t="str">
        <f t="shared" si="7"/>
        <v>18-12-2024 to 24-12-2024</v>
      </c>
      <c r="F178" t="str">
        <f>IF(COUNTIF('Top5'!I:I, G178) &gt; 0, "Yes", "No")</f>
        <v>No</v>
      </c>
      <c r="G178" t="str">
        <f t="shared" si="8"/>
        <v>18-12-2024 to 24-12-2024</v>
      </c>
    </row>
    <row r="179" spans="1:7">
      <c r="A179" s="1">
        <v>45644</v>
      </c>
      <c r="B179" s="6">
        <v>4.1666666666666666E-3</v>
      </c>
      <c r="C179" t="s">
        <v>23</v>
      </c>
      <c r="D179" s="7">
        <f t="shared" si="6"/>
        <v>45644.004166666666</v>
      </c>
      <c r="E179" t="str">
        <f t="shared" si="7"/>
        <v>18-12-2024 to 24-12-2024</v>
      </c>
      <c r="F179" t="str">
        <f>IF(COUNTIF('Top5'!I:I, G179) &gt; 0, "Yes", "No")</f>
        <v>No</v>
      </c>
      <c r="G179" t="str">
        <f t="shared" si="8"/>
        <v>18-12-2024 to 24-12-2024</v>
      </c>
    </row>
    <row r="180" spans="1:7">
      <c r="A180" s="1">
        <v>45644</v>
      </c>
      <c r="B180" s="6">
        <v>0.50624999999999998</v>
      </c>
      <c r="C180" t="s">
        <v>22</v>
      </c>
      <c r="D180" s="7">
        <f t="shared" si="6"/>
        <v>45644.506249999999</v>
      </c>
      <c r="E180" t="str">
        <f t="shared" si="7"/>
        <v>18-12-2024 to 24-12-2024</v>
      </c>
      <c r="F180" t="str">
        <f>IF(COUNTIF('Top5'!I:I, G180) &gt; 0, "Yes", "No")</f>
        <v>No</v>
      </c>
      <c r="G180" t="str">
        <f t="shared" si="8"/>
        <v>18-12-2024 to 24-12-2024</v>
      </c>
    </row>
    <row r="181" spans="1:7">
      <c r="A181" s="1">
        <v>45644</v>
      </c>
      <c r="B181" s="6">
        <v>0.90208333333333335</v>
      </c>
      <c r="C181" t="s">
        <v>23</v>
      </c>
      <c r="D181" s="7">
        <f t="shared" si="6"/>
        <v>45644.902083333334</v>
      </c>
      <c r="E181" t="str">
        <f t="shared" si="7"/>
        <v>18-12-2024 to 24-12-2024</v>
      </c>
      <c r="F181" t="str">
        <f>IF(COUNTIF('Top5'!I:I, G181) &gt; 0, "Yes", "No")</f>
        <v>No</v>
      </c>
      <c r="G181" t="str">
        <f t="shared" si="8"/>
        <v>18-12-2024 to 24-12-2024</v>
      </c>
    </row>
    <row r="182" spans="1:7">
      <c r="A182" s="1">
        <v>45645</v>
      </c>
      <c r="B182" s="6">
        <v>0.65347222222222223</v>
      </c>
      <c r="C182" t="s">
        <v>22</v>
      </c>
      <c r="D182" s="7">
        <f t="shared" si="6"/>
        <v>45645.65347222222</v>
      </c>
      <c r="E182" t="str">
        <f t="shared" si="7"/>
        <v>19-12-2024 to 25-12-2024</v>
      </c>
      <c r="F182" t="str">
        <f>IF(COUNTIF('Top5'!I:I, G182) &gt; 0, "Yes", "No")</f>
        <v>No</v>
      </c>
      <c r="G182" t="str">
        <f t="shared" si="8"/>
        <v>19-12-2024 to 25-12-2024</v>
      </c>
    </row>
    <row r="183" spans="1:7">
      <c r="A183" s="1">
        <v>45645</v>
      </c>
      <c r="B183" s="6">
        <v>0.66180555555555554</v>
      </c>
      <c r="C183" t="s">
        <v>22</v>
      </c>
      <c r="D183" s="7">
        <f t="shared" si="6"/>
        <v>45645.661805555559</v>
      </c>
      <c r="E183" t="str">
        <f t="shared" si="7"/>
        <v>19-12-2024 to 25-12-2024</v>
      </c>
      <c r="F183" t="str">
        <f>IF(COUNTIF('Top5'!I:I, G183) &gt; 0, "Yes", "No")</f>
        <v>No</v>
      </c>
      <c r="G183" t="str">
        <f t="shared" si="8"/>
        <v>19-12-2024 to 25-12-2024</v>
      </c>
    </row>
    <row r="184" spans="1:7">
      <c r="A184" s="1">
        <v>45645</v>
      </c>
      <c r="B184" s="6">
        <v>0.88124999999999998</v>
      </c>
      <c r="C184" t="s">
        <v>23</v>
      </c>
      <c r="D184" s="7">
        <f t="shared" si="6"/>
        <v>45645.881249999999</v>
      </c>
      <c r="E184" t="str">
        <f t="shared" si="7"/>
        <v>19-12-2024 to 25-12-2024</v>
      </c>
      <c r="F184" t="str">
        <f>IF(COUNTIF('Top5'!I:I, G184) &gt; 0, "Yes", "No")</f>
        <v>No</v>
      </c>
      <c r="G184" t="str">
        <f t="shared" si="8"/>
        <v>19-12-2024 to 25-12-2024</v>
      </c>
    </row>
    <row r="185" spans="1:7">
      <c r="A185" s="1">
        <v>45646</v>
      </c>
      <c r="B185" s="6">
        <v>0.44305555555555554</v>
      </c>
      <c r="C185" t="s">
        <v>22</v>
      </c>
      <c r="D185" s="7">
        <f t="shared" si="6"/>
        <v>45646.443055555559</v>
      </c>
      <c r="E185" t="str">
        <f t="shared" si="7"/>
        <v>20-12-2024 to 26-12-2024</v>
      </c>
      <c r="F185" t="str">
        <f>IF(COUNTIF('Top5'!I:I, G185) &gt; 0, "Yes", "No")</f>
        <v>No</v>
      </c>
      <c r="G185" t="str">
        <f t="shared" si="8"/>
        <v>20-12-2024 to 26-12-2024</v>
      </c>
    </row>
    <row r="186" spans="1:7">
      <c r="A186" s="1">
        <v>45647</v>
      </c>
      <c r="B186" s="6">
        <v>0.51597222222222228</v>
      </c>
      <c r="C186" t="s">
        <v>22</v>
      </c>
      <c r="D186" s="7">
        <f t="shared" si="6"/>
        <v>45647.515972222223</v>
      </c>
      <c r="E186" t="str">
        <f t="shared" si="7"/>
        <v>21-12-2024 to 27-12-2024</v>
      </c>
      <c r="F186" t="str">
        <f>IF(COUNTIF('Top5'!I:I, G186) &gt; 0, "Yes", "No")</f>
        <v>No</v>
      </c>
      <c r="G186" t="str">
        <f t="shared" si="8"/>
        <v>21-12-2024 to 27-12-2024</v>
      </c>
    </row>
    <row r="187" spans="1:7">
      <c r="A187" s="1">
        <v>45647</v>
      </c>
      <c r="B187" s="6">
        <v>0.51597222222222228</v>
      </c>
      <c r="C187" t="s">
        <v>22</v>
      </c>
      <c r="D187" s="7">
        <f t="shared" si="6"/>
        <v>45647.515972222223</v>
      </c>
      <c r="E187" t="str">
        <f t="shared" si="7"/>
        <v>21-12-2024 to 27-12-2024</v>
      </c>
      <c r="F187" t="str">
        <f>IF(COUNTIF('Top5'!I:I, G187) &gt; 0, "Yes", "No")</f>
        <v>No</v>
      </c>
      <c r="G187" t="str">
        <f t="shared" si="8"/>
        <v>21-12-2024 to 27-12-2024</v>
      </c>
    </row>
    <row r="188" spans="1:7">
      <c r="A188" s="1">
        <v>45648</v>
      </c>
      <c r="B188" s="6">
        <v>1.3888888888888889E-3</v>
      </c>
      <c r="C188" t="s">
        <v>23</v>
      </c>
      <c r="D188" s="7">
        <f t="shared" si="6"/>
        <v>45648.001388888886</v>
      </c>
      <c r="E188" t="str">
        <f t="shared" si="7"/>
        <v>22-12-2024 to 28-12-2024</v>
      </c>
      <c r="F188" t="str">
        <f>IF(COUNTIF('Top5'!I:I, G188) &gt; 0, "Yes", "No")</f>
        <v>No</v>
      </c>
      <c r="G188" t="str">
        <f t="shared" si="8"/>
        <v>22-12-2024 to 28-12-2024</v>
      </c>
    </row>
    <row r="189" spans="1:7">
      <c r="A189" s="1">
        <v>45648</v>
      </c>
      <c r="B189" s="6">
        <v>1.3888888888888889E-3</v>
      </c>
      <c r="C189" t="s">
        <v>23</v>
      </c>
      <c r="D189" s="7">
        <f t="shared" si="6"/>
        <v>45648.001388888886</v>
      </c>
      <c r="E189" t="str">
        <f t="shared" si="7"/>
        <v>22-12-2024 to 28-12-2024</v>
      </c>
      <c r="F189" t="str">
        <f>IF(COUNTIF('Top5'!I:I, G189) &gt; 0, "Yes", "No")</f>
        <v>No</v>
      </c>
      <c r="G189" t="str">
        <f t="shared" si="8"/>
        <v>22-12-2024 to 28-12-2024</v>
      </c>
    </row>
    <row r="190" spans="1:7">
      <c r="A190" s="1">
        <v>45648</v>
      </c>
      <c r="B190" s="6">
        <v>0.46250000000000002</v>
      </c>
      <c r="C190" t="s">
        <v>22</v>
      </c>
      <c r="D190" s="7">
        <f t="shared" si="6"/>
        <v>45648.462500000001</v>
      </c>
      <c r="E190" t="str">
        <f t="shared" si="7"/>
        <v>22-12-2024 to 28-12-2024</v>
      </c>
      <c r="F190" t="str">
        <f>IF(COUNTIF('Top5'!I:I, G190) &gt; 0, "Yes", "No")</f>
        <v>No</v>
      </c>
      <c r="G190" t="str">
        <f t="shared" si="8"/>
        <v>22-12-2024 to 28-12-2024</v>
      </c>
    </row>
    <row r="191" spans="1:7">
      <c r="A191" s="1">
        <v>45648</v>
      </c>
      <c r="B191" s="6">
        <v>0.71319444444444446</v>
      </c>
      <c r="C191" t="s">
        <v>23</v>
      </c>
      <c r="D191" s="7">
        <f t="shared" si="6"/>
        <v>45648.713194444441</v>
      </c>
      <c r="E191" t="str">
        <f t="shared" si="7"/>
        <v>22-12-2024 to 28-12-2024</v>
      </c>
      <c r="F191" t="str">
        <f>IF(COUNTIF('Top5'!I:I, G191) &gt; 0, "Yes", "No")</f>
        <v>No</v>
      </c>
      <c r="G191" t="str">
        <f t="shared" si="8"/>
        <v>22-12-2024 to 28-12-2024</v>
      </c>
    </row>
    <row r="192" spans="1:7">
      <c r="A192" s="1">
        <v>45650</v>
      </c>
      <c r="B192" s="6">
        <v>0.68125000000000002</v>
      </c>
      <c r="C192" t="s">
        <v>22</v>
      </c>
      <c r="D192" s="7">
        <f t="shared" si="6"/>
        <v>45650.681250000001</v>
      </c>
      <c r="E192" t="str">
        <f t="shared" si="7"/>
        <v>24-12-2024 to 30-12-2024</v>
      </c>
      <c r="F192" t="str">
        <f>IF(COUNTIF('Top5'!I:I, G192) &gt; 0, "Yes", "No")</f>
        <v>No</v>
      </c>
      <c r="G192" t="str">
        <f t="shared" si="8"/>
        <v>24-12-2024 to 30-12-2024</v>
      </c>
    </row>
    <row r="193" spans="1:7">
      <c r="A193" s="1">
        <v>45650</v>
      </c>
      <c r="B193" s="6">
        <v>0.80694444444444446</v>
      </c>
      <c r="C193" t="s">
        <v>23</v>
      </c>
      <c r="D193" s="7">
        <f t="shared" si="6"/>
        <v>45650.806944444441</v>
      </c>
      <c r="E193" t="str">
        <f t="shared" si="7"/>
        <v>24-12-2024 to 30-12-2024</v>
      </c>
      <c r="F193" t="str">
        <f>IF(COUNTIF('Top5'!I:I, G193) &gt; 0, "Yes", "No")</f>
        <v>No</v>
      </c>
      <c r="G193" t="str">
        <f t="shared" si="8"/>
        <v>24-12-2024 to 30-12-2024</v>
      </c>
    </row>
    <row r="194" spans="1:7">
      <c r="A194" s="1">
        <v>45651</v>
      </c>
      <c r="B194" s="6">
        <v>0.98958333333333337</v>
      </c>
      <c r="C194" t="s">
        <v>23</v>
      </c>
      <c r="D194" s="7">
        <f t="shared" si="6"/>
        <v>45651.989583333336</v>
      </c>
      <c r="E194" t="str">
        <f t="shared" si="7"/>
        <v>25-12-2024 to 31-12-2024</v>
      </c>
      <c r="F194" t="str">
        <f>IF(COUNTIF('Top5'!I:I, G194) &gt; 0, "Yes", "No")</f>
        <v>No</v>
      </c>
      <c r="G194" t="str">
        <f t="shared" si="8"/>
        <v>25-12-2024 to 31-12-2024</v>
      </c>
    </row>
    <row r="195" spans="1:7">
      <c r="A195" s="1">
        <v>45652</v>
      </c>
      <c r="B195" s="6">
        <v>0.47361111111111109</v>
      </c>
      <c r="C195" t="s">
        <v>22</v>
      </c>
      <c r="D195" s="7">
        <f t="shared" ref="D195:D258" si="9">VALUE(A195) + VALUE(B195)</f>
        <v>45652.473611111112</v>
      </c>
      <c r="E195" t="str">
        <f t="shared" ref="E195:E258" si="10">TEXT(D195, "dd-mm-yyyy") &amp; " to " &amp; TEXT(D195+6, "dd-mm-yyyy")</f>
        <v>26-12-2024 to 01-01-2025</v>
      </c>
      <c r="F195" t="str">
        <f>IF(COUNTIF('Top5'!I:I, G195) &gt; 0, "Yes", "No")</f>
        <v>No</v>
      </c>
      <c r="G195" t="str">
        <f t="shared" ref="G195:G258" si="11">TRIM(E195)</f>
        <v>26-12-2024 to 01-01-2025</v>
      </c>
    </row>
    <row r="196" spans="1:7">
      <c r="A196" s="1">
        <v>45652</v>
      </c>
      <c r="B196" s="6">
        <v>0.56458333333333333</v>
      </c>
      <c r="C196" t="s">
        <v>22</v>
      </c>
      <c r="D196" s="7">
        <f t="shared" si="9"/>
        <v>45652.564583333333</v>
      </c>
      <c r="E196" t="str">
        <f t="shared" si="10"/>
        <v>26-12-2024 to 01-01-2025</v>
      </c>
      <c r="F196" t="str">
        <f>IF(COUNTIF('Top5'!I:I, G196) &gt; 0, "Yes", "No")</f>
        <v>No</v>
      </c>
      <c r="G196" t="str">
        <f t="shared" si="11"/>
        <v>26-12-2024 to 01-01-2025</v>
      </c>
    </row>
    <row r="197" spans="1:7">
      <c r="A197" s="1">
        <v>45652</v>
      </c>
      <c r="B197" s="6">
        <v>0.59652777777777777</v>
      </c>
      <c r="C197" t="s">
        <v>22</v>
      </c>
      <c r="D197" s="7">
        <f t="shared" si="9"/>
        <v>45652.59652777778</v>
      </c>
      <c r="E197" t="str">
        <f t="shared" si="10"/>
        <v>26-12-2024 to 01-01-2025</v>
      </c>
      <c r="F197" t="str">
        <f>IF(COUNTIF('Top5'!I:I, G197) &gt; 0, "Yes", "No")</f>
        <v>No</v>
      </c>
      <c r="G197" t="str">
        <f t="shared" si="11"/>
        <v>26-12-2024 to 01-01-2025</v>
      </c>
    </row>
    <row r="198" spans="1:7">
      <c r="A198" s="1">
        <v>45652</v>
      </c>
      <c r="B198" s="6">
        <v>0.7729166666666667</v>
      </c>
      <c r="C198" t="s">
        <v>23</v>
      </c>
      <c r="D198" s="7">
        <f t="shared" si="9"/>
        <v>45652.772916666669</v>
      </c>
      <c r="E198" t="str">
        <f t="shared" si="10"/>
        <v>26-12-2024 to 01-01-2025</v>
      </c>
      <c r="F198" t="str">
        <f>IF(COUNTIF('Top5'!I:I, G198) &gt; 0, "Yes", "No")</f>
        <v>No</v>
      </c>
      <c r="G198" t="str">
        <f t="shared" si="11"/>
        <v>26-12-2024 to 01-01-2025</v>
      </c>
    </row>
    <row r="199" spans="1:7">
      <c r="A199" s="1">
        <v>45653</v>
      </c>
      <c r="B199" s="6">
        <v>0.4548611111111111</v>
      </c>
      <c r="C199" t="s">
        <v>22</v>
      </c>
      <c r="D199" s="7">
        <f t="shared" si="9"/>
        <v>45653.454861111109</v>
      </c>
      <c r="E199" t="str">
        <f t="shared" si="10"/>
        <v>27-12-2024 to 02-01-2025</v>
      </c>
      <c r="F199" t="str">
        <f>IF(COUNTIF('Top5'!I:I, G199) &gt; 0, "Yes", "No")</f>
        <v>No</v>
      </c>
      <c r="G199" t="str">
        <f t="shared" si="11"/>
        <v>27-12-2024 to 02-01-2025</v>
      </c>
    </row>
    <row r="200" spans="1:7">
      <c r="A200" s="1">
        <v>45653</v>
      </c>
      <c r="B200" s="6">
        <v>0.58819444444444446</v>
      </c>
      <c r="C200" t="s">
        <v>22</v>
      </c>
      <c r="D200" s="7">
        <f t="shared" si="9"/>
        <v>45653.588194444441</v>
      </c>
      <c r="E200" t="str">
        <f t="shared" si="10"/>
        <v>27-12-2024 to 02-01-2025</v>
      </c>
      <c r="F200" t="str">
        <f>IF(COUNTIF('Top5'!I:I, G200) &gt; 0, "Yes", "No")</f>
        <v>No</v>
      </c>
      <c r="G200" t="str">
        <f t="shared" si="11"/>
        <v>27-12-2024 to 02-01-2025</v>
      </c>
    </row>
    <row r="201" spans="1:7">
      <c r="A201" s="1">
        <v>45653</v>
      </c>
      <c r="B201" s="6">
        <v>0.58819444444444446</v>
      </c>
      <c r="C201" t="s">
        <v>22</v>
      </c>
      <c r="D201" s="7">
        <f t="shared" si="9"/>
        <v>45653.588194444441</v>
      </c>
      <c r="E201" t="str">
        <f t="shared" si="10"/>
        <v>27-12-2024 to 02-01-2025</v>
      </c>
      <c r="F201" t="str">
        <f>IF(COUNTIF('Top5'!I:I, G201) &gt; 0, "Yes", "No")</f>
        <v>No</v>
      </c>
      <c r="G201" t="str">
        <f t="shared" si="11"/>
        <v>27-12-2024 to 02-01-2025</v>
      </c>
    </row>
    <row r="202" spans="1:7">
      <c r="A202" s="1">
        <v>45653</v>
      </c>
      <c r="B202" s="6">
        <v>0.67847222222222225</v>
      </c>
      <c r="C202" t="s">
        <v>22</v>
      </c>
      <c r="D202" s="7">
        <f t="shared" si="9"/>
        <v>45653.678472222222</v>
      </c>
      <c r="E202" t="str">
        <f t="shared" si="10"/>
        <v>27-12-2024 to 02-01-2025</v>
      </c>
      <c r="F202" t="str">
        <f>IF(COUNTIF('Top5'!I:I, G202) &gt; 0, "Yes", "No")</f>
        <v>No</v>
      </c>
      <c r="G202" t="str">
        <f t="shared" si="11"/>
        <v>27-12-2024 to 02-01-2025</v>
      </c>
    </row>
    <row r="203" spans="1:7">
      <c r="A203" s="1">
        <v>45653</v>
      </c>
      <c r="B203" s="6">
        <v>0.7368055555555556</v>
      </c>
      <c r="C203" t="s">
        <v>23</v>
      </c>
      <c r="D203" s="7">
        <f t="shared" si="9"/>
        <v>45653.736805555556</v>
      </c>
      <c r="E203" t="str">
        <f t="shared" si="10"/>
        <v>27-12-2024 to 02-01-2025</v>
      </c>
      <c r="F203" t="str">
        <f>IF(COUNTIF('Top5'!I:I, G203) &gt; 0, "Yes", "No")</f>
        <v>No</v>
      </c>
      <c r="G203" t="str">
        <f t="shared" si="11"/>
        <v>27-12-2024 to 02-01-2025</v>
      </c>
    </row>
    <row r="204" spans="1:7">
      <c r="A204" s="1">
        <v>45653</v>
      </c>
      <c r="B204" s="6">
        <v>0.73750000000000004</v>
      </c>
      <c r="C204" t="s">
        <v>23</v>
      </c>
      <c r="D204" s="7">
        <f t="shared" si="9"/>
        <v>45653.737500000003</v>
      </c>
      <c r="E204" t="str">
        <f t="shared" si="10"/>
        <v>27-12-2024 to 02-01-2025</v>
      </c>
      <c r="F204" t="str">
        <f>IF(COUNTIF('Top5'!I:I, G204) &gt; 0, "Yes", "No")</f>
        <v>No</v>
      </c>
      <c r="G204" t="str">
        <f t="shared" si="11"/>
        <v>27-12-2024 to 02-01-2025</v>
      </c>
    </row>
    <row r="205" spans="1:7">
      <c r="A205" s="1">
        <v>45653</v>
      </c>
      <c r="B205" s="6">
        <v>0.89444444444444449</v>
      </c>
      <c r="C205" t="s">
        <v>23</v>
      </c>
      <c r="D205" s="7">
        <f t="shared" si="9"/>
        <v>45653.894444444442</v>
      </c>
      <c r="E205" t="str">
        <f t="shared" si="10"/>
        <v>27-12-2024 to 02-01-2025</v>
      </c>
      <c r="F205" t="str">
        <f>IF(COUNTIF('Top5'!I:I, G205) &gt; 0, "Yes", "No")</f>
        <v>No</v>
      </c>
      <c r="G205" t="str">
        <f t="shared" si="11"/>
        <v>27-12-2024 to 02-01-2025</v>
      </c>
    </row>
    <row r="206" spans="1:7">
      <c r="A206" s="1">
        <v>45654</v>
      </c>
      <c r="B206" s="6">
        <v>0.48402777777777778</v>
      </c>
      <c r="C206" t="s">
        <v>22</v>
      </c>
      <c r="D206" s="7">
        <f t="shared" si="9"/>
        <v>45654.484027777777</v>
      </c>
      <c r="E206" t="str">
        <f t="shared" si="10"/>
        <v>28-12-2024 to 03-01-2025</v>
      </c>
      <c r="F206" t="str">
        <f>IF(COUNTIF('Top5'!I:I, G206) &gt; 0, "Yes", "No")</f>
        <v>No</v>
      </c>
      <c r="G206" t="str">
        <f t="shared" si="11"/>
        <v>28-12-2024 to 03-01-2025</v>
      </c>
    </row>
    <row r="207" spans="1:7">
      <c r="A207" s="1">
        <v>45655</v>
      </c>
      <c r="B207" s="6">
        <v>1.3888888888888888E-2</v>
      </c>
      <c r="C207" t="s">
        <v>23</v>
      </c>
      <c r="D207" s="7">
        <f t="shared" si="9"/>
        <v>45655.013888888891</v>
      </c>
      <c r="E207" t="str">
        <f t="shared" si="10"/>
        <v>29-12-2024 to 04-01-2025</v>
      </c>
      <c r="F207" t="str">
        <f>IF(COUNTIF('Top5'!I:I, G207) &gt; 0, "Yes", "No")</f>
        <v>No</v>
      </c>
      <c r="G207" t="str">
        <f t="shared" si="11"/>
        <v>29-12-2024 to 04-01-2025</v>
      </c>
    </row>
    <row r="208" spans="1:7">
      <c r="A208" s="1">
        <v>45655</v>
      </c>
      <c r="B208" s="6">
        <v>0.98750000000000004</v>
      </c>
      <c r="C208" t="s">
        <v>23</v>
      </c>
      <c r="D208" s="7">
        <f t="shared" si="9"/>
        <v>45655.987500000003</v>
      </c>
      <c r="E208" t="str">
        <f t="shared" si="10"/>
        <v>29-12-2024 to 04-01-2025</v>
      </c>
      <c r="F208" t="str">
        <f>IF(COUNTIF('Top5'!I:I, G208) &gt; 0, "Yes", "No")</f>
        <v>No</v>
      </c>
      <c r="G208" t="str">
        <f t="shared" si="11"/>
        <v>29-12-2024 to 04-01-2025</v>
      </c>
    </row>
    <row r="209" spans="1:7">
      <c r="A209" s="1">
        <v>45656</v>
      </c>
      <c r="B209" s="6">
        <v>0.41875000000000001</v>
      </c>
      <c r="C209" t="s">
        <v>22</v>
      </c>
      <c r="D209" s="7">
        <f t="shared" si="9"/>
        <v>45656.418749999997</v>
      </c>
      <c r="E209" t="str">
        <f t="shared" si="10"/>
        <v>30-12-2024 to 05-01-2025</v>
      </c>
      <c r="F209" t="str">
        <f>IF(COUNTIF('Top5'!I:I, G209) &gt; 0, "Yes", "No")</f>
        <v>No</v>
      </c>
      <c r="G209" t="str">
        <f t="shared" si="11"/>
        <v>30-12-2024 to 05-01-2025</v>
      </c>
    </row>
    <row r="210" spans="1:7">
      <c r="A210" s="1">
        <v>45656</v>
      </c>
      <c r="B210" s="6">
        <v>0.51527777777777772</v>
      </c>
      <c r="C210" t="s">
        <v>22</v>
      </c>
      <c r="D210" s="7">
        <f t="shared" si="9"/>
        <v>45656.515277777777</v>
      </c>
      <c r="E210" t="str">
        <f t="shared" si="10"/>
        <v>30-12-2024 to 05-01-2025</v>
      </c>
      <c r="F210" t="str">
        <f>IF(COUNTIF('Top5'!I:I, G210) &gt; 0, "Yes", "No")</f>
        <v>No</v>
      </c>
      <c r="G210" t="str">
        <f t="shared" si="11"/>
        <v>30-12-2024 to 05-01-2025</v>
      </c>
    </row>
    <row r="211" spans="1:7">
      <c r="A211" s="1">
        <v>45656</v>
      </c>
      <c r="B211" s="6">
        <v>0.51666666666666672</v>
      </c>
      <c r="C211" t="s">
        <v>22</v>
      </c>
      <c r="D211" s="7">
        <f t="shared" si="9"/>
        <v>45656.51666666667</v>
      </c>
      <c r="E211" t="str">
        <f t="shared" si="10"/>
        <v>30-12-2024 to 05-01-2025</v>
      </c>
      <c r="F211" t="str">
        <f>IF(COUNTIF('Top5'!I:I, G211) &gt; 0, "Yes", "No")</f>
        <v>No</v>
      </c>
      <c r="G211" t="str">
        <f t="shared" si="11"/>
        <v>30-12-2024 to 05-01-2025</v>
      </c>
    </row>
    <row r="212" spans="1:7">
      <c r="A212" s="1">
        <v>45656</v>
      </c>
      <c r="B212" s="6">
        <v>0.82638888888888884</v>
      </c>
      <c r="C212" t="s">
        <v>23</v>
      </c>
      <c r="D212" s="7">
        <f t="shared" si="9"/>
        <v>45656.826388888891</v>
      </c>
      <c r="E212" t="str">
        <f t="shared" si="10"/>
        <v>30-12-2024 to 05-01-2025</v>
      </c>
      <c r="F212" t="str">
        <f>IF(COUNTIF('Top5'!I:I, G212) &gt; 0, "Yes", "No")</f>
        <v>No</v>
      </c>
      <c r="G212" t="str">
        <f t="shared" si="11"/>
        <v>30-12-2024 to 05-01-2025</v>
      </c>
    </row>
    <row r="213" spans="1:7">
      <c r="A213" s="1">
        <v>45656</v>
      </c>
      <c r="B213" s="6">
        <v>0.86805555555555558</v>
      </c>
      <c r="C213" t="s">
        <v>23</v>
      </c>
      <c r="D213" s="7">
        <f t="shared" si="9"/>
        <v>45656.868055555555</v>
      </c>
      <c r="E213" t="str">
        <f t="shared" si="10"/>
        <v>30-12-2024 to 05-01-2025</v>
      </c>
      <c r="F213" t="str">
        <f>IF(COUNTIF('Top5'!I:I, G213) &gt; 0, "Yes", "No")</f>
        <v>No</v>
      </c>
      <c r="G213" t="str">
        <f t="shared" si="11"/>
        <v>30-12-2024 to 05-01-2025</v>
      </c>
    </row>
    <row r="214" spans="1:7">
      <c r="A214" s="1">
        <v>45658</v>
      </c>
      <c r="B214" s="6">
        <v>0.5</v>
      </c>
      <c r="C214" t="s">
        <v>22</v>
      </c>
      <c r="D214" s="7">
        <f t="shared" si="9"/>
        <v>45658.5</v>
      </c>
      <c r="E214" t="str">
        <f t="shared" si="10"/>
        <v>01-01-2025 to 07-01-2025</v>
      </c>
      <c r="F214" t="str">
        <f>IF(COUNTIF('Top5'!I:I, G214) &gt; 0, "Yes", "No")</f>
        <v>No</v>
      </c>
      <c r="G214" t="str">
        <f t="shared" si="11"/>
        <v>01-01-2025 to 07-01-2025</v>
      </c>
    </row>
    <row r="215" spans="1:7">
      <c r="A215" s="1">
        <v>45658</v>
      </c>
      <c r="B215" s="6">
        <v>0.50902777777777775</v>
      </c>
      <c r="C215" t="s">
        <v>22</v>
      </c>
      <c r="D215" s="7">
        <f t="shared" si="9"/>
        <v>45658.509027777778</v>
      </c>
      <c r="E215" t="str">
        <f t="shared" si="10"/>
        <v>01-01-2025 to 07-01-2025</v>
      </c>
      <c r="F215" t="str">
        <f>IF(COUNTIF('Top5'!I:I, G215) &gt; 0, "Yes", "No")</f>
        <v>No</v>
      </c>
      <c r="G215" t="str">
        <f t="shared" si="11"/>
        <v>01-01-2025 to 07-01-2025</v>
      </c>
    </row>
    <row r="216" spans="1:7">
      <c r="A216" s="1">
        <v>45661</v>
      </c>
      <c r="B216" s="6">
        <v>0.99375000000000002</v>
      </c>
      <c r="C216" t="s">
        <v>23</v>
      </c>
      <c r="D216" s="7">
        <f t="shared" si="9"/>
        <v>45661.993750000001</v>
      </c>
      <c r="E216" t="str">
        <f t="shared" si="10"/>
        <v>04-01-2025 to 10-01-2025</v>
      </c>
      <c r="F216" t="str">
        <f>IF(COUNTIF('Top5'!I:I, G216) &gt; 0, "Yes", "No")</f>
        <v>No</v>
      </c>
      <c r="G216" t="str">
        <f t="shared" si="11"/>
        <v>04-01-2025 to 10-01-2025</v>
      </c>
    </row>
    <row r="217" spans="1:7">
      <c r="A217" s="1">
        <v>45661</v>
      </c>
      <c r="B217" s="6">
        <v>0.99375000000000002</v>
      </c>
      <c r="C217" t="s">
        <v>23</v>
      </c>
      <c r="D217" s="7">
        <f t="shared" si="9"/>
        <v>45661.993750000001</v>
      </c>
      <c r="E217" t="str">
        <f t="shared" si="10"/>
        <v>04-01-2025 to 10-01-2025</v>
      </c>
      <c r="F217" t="str">
        <f>IF(COUNTIF('Top5'!I:I, G217) &gt; 0, "Yes", "No")</f>
        <v>No</v>
      </c>
      <c r="G217" t="str">
        <f t="shared" si="11"/>
        <v>04-01-2025 to 10-01-2025</v>
      </c>
    </row>
    <row r="218" spans="1:7">
      <c r="A218" s="1">
        <v>45662</v>
      </c>
      <c r="B218" s="6">
        <v>1.4583333333333334E-2</v>
      </c>
      <c r="C218" t="s">
        <v>23</v>
      </c>
      <c r="D218" s="7">
        <f t="shared" si="9"/>
        <v>45662.01458333333</v>
      </c>
      <c r="E218" t="str">
        <f t="shared" si="10"/>
        <v>05-01-2025 to 11-01-2025</v>
      </c>
      <c r="F218" t="str">
        <f>IF(COUNTIF('Top5'!I:I, G218) &gt; 0, "Yes", "No")</f>
        <v>No</v>
      </c>
      <c r="G218" t="str">
        <f t="shared" si="11"/>
        <v>05-01-2025 to 11-01-2025</v>
      </c>
    </row>
    <row r="219" spans="1:7">
      <c r="A219" s="1">
        <v>45662</v>
      </c>
      <c r="B219" s="6">
        <v>1.4583333333333334E-2</v>
      </c>
      <c r="C219" t="s">
        <v>23</v>
      </c>
      <c r="D219" s="7">
        <f t="shared" si="9"/>
        <v>45662.01458333333</v>
      </c>
      <c r="E219" t="str">
        <f t="shared" si="10"/>
        <v>05-01-2025 to 11-01-2025</v>
      </c>
      <c r="F219" t="str">
        <f>IF(COUNTIF('Top5'!I:I, G219) &gt; 0, "Yes", "No")</f>
        <v>No</v>
      </c>
      <c r="G219" t="str">
        <f t="shared" si="11"/>
        <v>05-01-2025 to 11-01-2025</v>
      </c>
    </row>
    <row r="220" spans="1:7">
      <c r="A220" s="1">
        <v>45662</v>
      </c>
      <c r="B220" s="6">
        <v>1.4583333333333334E-2</v>
      </c>
      <c r="C220" t="s">
        <v>23</v>
      </c>
      <c r="D220" s="7">
        <f t="shared" si="9"/>
        <v>45662.01458333333</v>
      </c>
      <c r="E220" t="str">
        <f t="shared" si="10"/>
        <v>05-01-2025 to 11-01-2025</v>
      </c>
      <c r="F220" t="str">
        <f>IF(COUNTIF('Top5'!I:I, G220) &gt; 0, "Yes", "No")</f>
        <v>No</v>
      </c>
      <c r="G220" t="str">
        <f t="shared" si="11"/>
        <v>05-01-2025 to 11-01-2025</v>
      </c>
    </row>
    <row r="221" spans="1:7">
      <c r="A221" s="1">
        <v>45662</v>
      </c>
      <c r="B221" s="6">
        <v>1.4583333333333334E-2</v>
      </c>
      <c r="C221" t="s">
        <v>23</v>
      </c>
      <c r="D221" s="7">
        <f t="shared" si="9"/>
        <v>45662.01458333333</v>
      </c>
      <c r="E221" t="str">
        <f t="shared" si="10"/>
        <v>05-01-2025 to 11-01-2025</v>
      </c>
      <c r="F221" t="str">
        <f>IF(COUNTIF('Top5'!I:I, G221) &gt; 0, "Yes", "No")</f>
        <v>No</v>
      </c>
      <c r="G221" t="str">
        <f t="shared" si="11"/>
        <v>05-01-2025 to 11-01-2025</v>
      </c>
    </row>
    <row r="222" spans="1:7">
      <c r="A222" s="1">
        <v>45662</v>
      </c>
      <c r="B222" s="6">
        <v>1.4583333333333334E-2</v>
      </c>
      <c r="C222" t="s">
        <v>23</v>
      </c>
      <c r="D222" s="7">
        <f t="shared" si="9"/>
        <v>45662.01458333333</v>
      </c>
      <c r="E222" t="str">
        <f t="shared" si="10"/>
        <v>05-01-2025 to 11-01-2025</v>
      </c>
      <c r="F222" t="str">
        <f>IF(COUNTIF('Top5'!I:I, G222) &gt; 0, "Yes", "No")</f>
        <v>No</v>
      </c>
      <c r="G222" t="str">
        <f t="shared" si="11"/>
        <v>05-01-2025 to 11-01-2025</v>
      </c>
    </row>
    <row r="223" spans="1:7">
      <c r="A223" s="1">
        <v>45662</v>
      </c>
      <c r="B223" s="6">
        <v>1.4583333333333334E-2</v>
      </c>
      <c r="C223" t="s">
        <v>23</v>
      </c>
      <c r="D223" s="7">
        <f t="shared" si="9"/>
        <v>45662.01458333333</v>
      </c>
      <c r="E223" t="str">
        <f t="shared" si="10"/>
        <v>05-01-2025 to 11-01-2025</v>
      </c>
      <c r="F223" t="str">
        <f>IF(COUNTIF('Top5'!I:I, G223) &gt; 0, "Yes", "No")</f>
        <v>No</v>
      </c>
      <c r="G223" t="str">
        <f t="shared" si="11"/>
        <v>05-01-2025 to 11-01-2025</v>
      </c>
    </row>
    <row r="224" spans="1:7">
      <c r="A224" s="1">
        <v>45662</v>
      </c>
      <c r="B224" s="6">
        <v>1.4583333333333334E-2</v>
      </c>
      <c r="C224" t="s">
        <v>23</v>
      </c>
      <c r="D224" s="7">
        <f t="shared" si="9"/>
        <v>45662.01458333333</v>
      </c>
      <c r="E224" t="str">
        <f t="shared" si="10"/>
        <v>05-01-2025 to 11-01-2025</v>
      </c>
      <c r="F224" t="str">
        <f>IF(COUNTIF('Top5'!I:I, G224) &gt; 0, "Yes", "No")</f>
        <v>No</v>
      </c>
      <c r="G224" t="str">
        <f t="shared" si="11"/>
        <v>05-01-2025 to 11-01-2025</v>
      </c>
    </row>
    <row r="225" spans="1:7">
      <c r="A225" s="1">
        <v>45662</v>
      </c>
      <c r="B225" s="6">
        <v>1.4583333333333334E-2</v>
      </c>
      <c r="C225" t="s">
        <v>23</v>
      </c>
      <c r="D225" s="7">
        <f t="shared" si="9"/>
        <v>45662.01458333333</v>
      </c>
      <c r="E225" t="str">
        <f t="shared" si="10"/>
        <v>05-01-2025 to 11-01-2025</v>
      </c>
      <c r="F225" t="str">
        <f>IF(COUNTIF('Top5'!I:I, G225) &gt; 0, "Yes", "No")</f>
        <v>No</v>
      </c>
      <c r="G225" t="str">
        <f t="shared" si="11"/>
        <v>05-01-2025 to 11-01-2025</v>
      </c>
    </row>
    <row r="226" spans="1:7">
      <c r="A226" s="1">
        <v>45662</v>
      </c>
      <c r="B226" s="6">
        <v>1.4583333333333334E-2</v>
      </c>
      <c r="C226" t="s">
        <v>23</v>
      </c>
      <c r="D226" s="7">
        <f t="shared" si="9"/>
        <v>45662.01458333333</v>
      </c>
      <c r="E226" t="str">
        <f t="shared" si="10"/>
        <v>05-01-2025 to 11-01-2025</v>
      </c>
      <c r="F226" t="str">
        <f>IF(COUNTIF('Top5'!I:I, G226) &gt; 0, "Yes", "No")</f>
        <v>No</v>
      </c>
      <c r="G226" t="str">
        <f t="shared" si="11"/>
        <v>05-01-2025 to 11-01-2025</v>
      </c>
    </row>
    <row r="227" spans="1:7">
      <c r="A227" s="1">
        <v>45662</v>
      </c>
      <c r="B227" s="6">
        <v>0.7</v>
      </c>
      <c r="C227" t="s">
        <v>22</v>
      </c>
      <c r="D227" s="7">
        <f t="shared" si="9"/>
        <v>45662.7</v>
      </c>
      <c r="E227" t="str">
        <f t="shared" si="10"/>
        <v>05-01-2025 to 11-01-2025</v>
      </c>
      <c r="F227" t="str">
        <f>IF(COUNTIF('Top5'!I:I, G227) &gt; 0, "Yes", "No")</f>
        <v>No</v>
      </c>
      <c r="G227" t="str">
        <f t="shared" si="11"/>
        <v>05-01-2025 to 11-01-2025</v>
      </c>
    </row>
    <row r="228" spans="1:7">
      <c r="A228" s="1">
        <v>45663</v>
      </c>
      <c r="B228" s="6">
        <v>2.0833333333333333E-3</v>
      </c>
      <c r="C228" t="s">
        <v>23</v>
      </c>
      <c r="D228" s="7">
        <f t="shared" si="9"/>
        <v>45663.002083333333</v>
      </c>
      <c r="E228" t="str">
        <f t="shared" si="10"/>
        <v>06-01-2025 to 12-01-2025</v>
      </c>
      <c r="F228" t="str">
        <f>IF(COUNTIF('Top5'!I:I, G228) &gt; 0, "Yes", "No")</f>
        <v>No</v>
      </c>
      <c r="G228" t="str">
        <f t="shared" si="11"/>
        <v>06-01-2025 to 12-01-2025</v>
      </c>
    </row>
    <row r="229" spans="1:7">
      <c r="A229" s="1">
        <v>45663</v>
      </c>
      <c r="B229" s="6">
        <v>2.0833333333333333E-3</v>
      </c>
      <c r="C229" t="s">
        <v>23</v>
      </c>
      <c r="D229" s="7">
        <f t="shared" si="9"/>
        <v>45663.002083333333</v>
      </c>
      <c r="E229" t="str">
        <f t="shared" si="10"/>
        <v>06-01-2025 to 12-01-2025</v>
      </c>
      <c r="F229" t="str">
        <f>IF(COUNTIF('Top5'!I:I, G229) &gt; 0, "Yes", "No")</f>
        <v>No</v>
      </c>
      <c r="G229" t="str">
        <f t="shared" si="11"/>
        <v>06-01-2025 to 12-01-2025</v>
      </c>
    </row>
    <row r="230" spans="1:7">
      <c r="A230" s="1">
        <v>45663</v>
      </c>
      <c r="B230" s="6">
        <v>2.0833333333333333E-3</v>
      </c>
      <c r="C230" t="s">
        <v>23</v>
      </c>
      <c r="D230" s="7">
        <f t="shared" si="9"/>
        <v>45663.002083333333</v>
      </c>
      <c r="E230" t="str">
        <f t="shared" si="10"/>
        <v>06-01-2025 to 12-01-2025</v>
      </c>
      <c r="F230" t="str">
        <f>IF(COUNTIF('Top5'!I:I, G230) &gt; 0, "Yes", "No")</f>
        <v>No</v>
      </c>
      <c r="G230" t="str">
        <f t="shared" si="11"/>
        <v>06-01-2025 to 12-01-2025</v>
      </c>
    </row>
    <row r="231" spans="1:7">
      <c r="A231" s="1">
        <v>45663</v>
      </c>
      <c r="B231" s="6">
        <v>0.9916666666666667</v>
      </c>
      <c r="C231" t="s">
        <v>23</v>
      </c>
      <c r="D231" s="7">
        <f t="shared" si="9"/>
        <v>45663.991666666669</v>
      </c>
      <c r="E231" t="str">
        <f t="shared" si="10"/>
        <v>06-01-2025 to 12-01-2025</v>
      </c>
      <c r="F231" t="str">
        <f>IF(COUNTIF('Top5'!I:I, G231) &gt; 0, "Yes", "No")</f>
        <v>No</v>
      </c>
      <c r="G231" t="str">
        <f t="shared" si="11"/>
        <v>06-01-2025 to 12-01-2025</v>
      </c>
    </row>
    <row r="232" spans="1:7">
      <c r="A232" s="1">
        <v>45666</v>
      </c>
      <c r="B232" s="6">
        <v>1.3888888888888888E-2</v>
      </c>
      <c r="C232" t="s">
        <v>23</v>
      </c>
      <c r="D232" s="7">
        <f t="shared" si="9"/>
        <v>45666.013888888891</v>
      </c>
      <c r="E232" t="str">
        <f t="shared" si="10"/>
        <v>09-01-2025 to 15-01-2025</v>
      </c>
      <c r="F232" t="str">
        <f>IF(COUNTIF('Top5'!I:I, G232) &gt; 0, "Yes", "No")</f>
        <v>No</v>
      </c>
      <c r="G232" t="str">
        <f t="shared" si="11"/>
        <v>09-01-2025 to 15-01-2025</v>
      </c>
    </row>
    <row r="233" spans="1:7">
      <c r="A233" s="1">
        <v>45666</v>
      </c>
      <c r="B233" s="6">
        <v>1.3888888888888888E-2</v>
      </c>
      <c r="C233" t="s">
        <v>23</v>
      </c>
      <c r="D233" s="7">
        <f t="shared" si="9"/>
        <v>45666.013888888891</v>
      </c>
      <c r="E233" t="str">
        <f t="shared" si="10"/>
        <v>09-01-2025 to 15-01-2025</v>
      </c>
      <c r="F233" t="str">
        <f>IF(COUNTIF('Top5'!I:I, G233) &gt; 0, "Yes", "No")</f>
        <v>No</v>
      </c>
      <c r="G233" t="str">
        <f t="shared" si="11"/>
        <v>09-01-2025 to 15-01-2025</v>
      </c>
    </row>
    <row r="234" spans="1:7">
      <c r="A234" s="1">
        <v>45666</v>
      </c>
      <c r="B234" s="6">
        <v>1.3888888888888888E-2</v>
      </c>
      <c r="C234" t="s">
        <v>23</v>
      </c>
      <c r="D234" s="7">
        <f t="shared" si="9"/>
        <v>45666.013888888891</v>
      </c>
      <c r="E234" t="str">
        <f t="shared" si="10"/>
        <v>09-01-2025 to 15-01-2025</v>
      </c>
      <c r="F234" t="str">
        <f>IF(COUNTIF('Top5'!I:I, G234) &gt; 0, "Yes", "No")</f>
        <v>No</v>
      </c>
      <c r="G234" t="str">
        <f t="shared" si="11"/>
        <v>09-01-2025 to 15-01-2025</v>
      </c>
    </row>
    <row r="235" spans="1:7">
      <c r="A235" s="1">
        <v>45666</v>
      </c>
      <c r="B235" s="6">
        <v>1.3888888888888888E-2</v>
      </c>
      <c r="C235" t="s">
        <v>23</v>
      </c>
      <c r="D235" s="7">
        <f t="shared" si="9"/>
        <v>45666.013888888891</v>
      </c>
      <c r="E235" t="str">
        <f t="shared" si="10"/>
        <v>09-01-2025 to 15-01-2025</v>
      </c>
      <c r="F235" t="str">
        <f>IF(COUNTIF('Top5'!I:I, G235) &gt; 0, "Yes", "No")</f>
        <v>No</v>
      </c>
      <c r="G235" t="str">
        <f t="shared" si="11"/>
        <v>09-01-2025 to 15-01-2025</v>
      </c>
    </row>
    <row r="236" spans="1:7">
      <c r="A236" s="1">
        <v>45666</v>
      </c>
      <c r="B236" s="6">
        <v>1.3888888888888888E-2</v>
      </c>
      <c r="C236" t="s">
        <v>23</v>
      </c>
      <c r="D236" s="7">
        <f t="shared" si="9"/>
        <v>45666.013888888891</v>
      </c>
      <c r="E236" t="str">
        <f t="shared" si="10"/>
        <v>09-01-2025 to 15-01-2025</v>
      </c>
      <c r="F236" t="str">
        <f>IF(COUNTIF('Top5'!I:I, G236) &gt; 0, "Yes", "No")</f>
        <v>No</v>
      </c>
      <c r="G236" t="str">
        <f t="shared" si="11"/>
        <v>09-01-2025 to 15-01-2025</v>
      </c>
    </row>
    <row r="237" spans="1:7">
      <c r="A237" s="1">
        <v>45666</v>
      </c>
      <c r="B237" s="6">
        <v>1.3888888888888888E-2</v>
      </c>
      <c r="C237" t="s">
        <v>23</v>
      </c>
      <c r="D237" s="7">
        <f t="shared" si="9"/>
        <v>45666.013888888891</v>
      </c>
      <c r="E237" t="str">
        <f t="shared" si="10"/>
        <v>09-01-2025 to 15-01-2025</v>
      </c>
      <c r="F237" t="str">
        <f>IF(COUNTIF('Top5'!I:I, G237) &gt; 0, "Yes", "No")</f>
        <v>No</v>
      </c>
      <c r="G237" t="str">
        <f t="shared" si="11"/>
        <v>09-01-2025 to 15-01-2025</v>
      </c>
    </row>
    <row r="238" spans="1:7">
      <c r="A238" s="1">
        <v>45666</v>
      </c>
      <c r="B238" s="6">
        <v>1.3888888888888888E-2</v>
      </c>
      <c r="C238" t="s">
        <v>23</v>
      </c>
      <c r="D238" s="7">
        <f t="shared" si="9"/>
        <v>45666.013888888891</v>
      </c>
      <c r="E238" t="str">
        <f t="shared" si="10"/>
        <v>09-01-2025 to 15-01-2025</v>
      </c>
      <c r="F238" t="str">
        <f>IF(COUNTIF('Top5'!I:I, G238) &gt; 0, "Yes", "No")</f>
        <v>No</v>
      </c>
      <c r="G238" t="str">
        <f t="shared" si="11"/>
        <v>09-01-2025 to 15-01-2025</v>
      </c>
    </row>
    <row r="239" spans="1:7">
      <c r="A239" s="1">
        <v>45666</v>
      </c>
      <c r="B239" s="6">
        <v>1.3888888888888888E-2</v>
      </c>
      <c r="C239" t="s">
        <v>23</v>
      </c>
      <c r="D239" s="7">
        <f t="shared" si="9"/>
        <v>45666.013888888891</v>
      </c>
      <c r="E239" t="str">
        <f t="shared" si="10"/>
        <v>09-01-2025 to 15-01-2025</v>
      </c>
      <c r="F239" t="str">
        <f>IF(COUNTIF('Top5'!I:I, G239) &gt; 0, "Yes", "No")</f>
        <v>No</v>
      </c>
      <c r="G239" t="str">
        <f t="shared" si="11"/>
        <v>09-01-2025 to 15-01-2025</v>
      </c>
    </row>
    <row r="240" spans="1:7">
      <c r="A240" s="1">
        <v>45666</v>
      </c>
      <c r="B240" s="6">
        <v>0.43819444444444444</v>
      </c>
      <c r="C240" t="s">
        <v>22</v>
      </c>
      <c r="D240" s="7">
        <f t="shared" si="9"/>
        <v>45666.438194444447</v>
      </c>
      <c r="E240" t="str">
        <f t="shared" si="10"/>
        <v>09-01-2025 to 15-01-2025</v>
      </c>
      <c r="F240" t="str">
        <f>IF(COUNTIF('Top5'!I:I, G240) &gt; 0, "Yes", "No")</f>
        <v>No</v>
      </c>
      <c r="G240" t="str">
        <f t="shared" si="11"/>
        <v>09-01-2025 to 15-01-2025</v>
      </c>
    </row>
    <row r="241" spans="1:7">
      <c r="A241" s="1">
        <v>45666</v>
      </c>
      <c r="B241" s="6">
        <v>0.43819444444444444</v>
      </c>
      <c r="C241" t="s">
        <v>22</v>
      </c>
      <c r="D241" s="7">
        <f t="shared" si="9"/>
        <v>45666.438194444447</v>
      </c>
      <c r="E241" t="str">
        <f t="shared" si="10"/>
        <v>09-01-2025 to 15-01-2025</v>
      </c>
      <c r="F241" t="str">
        <f>IF(COUNTIF('Top5'!I:I, G241) &gt; 0, "Yes", "No")</f>
        <v>No</v>
      </c>
      <c r="G241" t="str">
        <f t="shared" si="11"/>
        <v>09-01-2025 to 15-01-2025</v>
      </c>
    </row>
    <row r="242" spans="1:7">
      <c r="A242" s="1">
        <v>45666</v>
      </c>
      <c r="B242" s="6">
        <v>0.44444444444444442</v>
      </c>
      <c r="C242" t="s">
        <v>22</v>
      </c>
      <c r="D242" s="7">
        <f t="shared" si="9"/>
        <v>45666.444444444445</v>
      </c>
      <c r="E242" t="str">
        <f t="shared" si="10"/>
        <v>09-01-2025 to 15-01-2025</v>
      </c>
      <c r="F242" t="str">
        <f>IF(COUNTIF('Top5'!I:I, G242) &gt; 0, "Yes", "No")</f>
        <v>No</v>
      </c>
      <c r="G242" t="str">
        <f t="shared" si="11"/>
        <v>09-01-2025 to 15-01-2025</v>
      </c>
    </row>
    <row r="243" spans="1:7">
      <c r="A243" s="1">
        <v>45666</v>
      </c>
      <c r="B243" s="6">
        <v>0.4513888888888889</v>
      </c>
      <c r="C243" t="s">
        <v>22</v>
      </c>
      <c r="D243" s="7">
        <f t="shared" si="9"/>
        <v>45666.451388888891</v>
      </c>
      <c r="E243" t="str">
        <f t="shared" si="10"/>
        <v>09-01-2025 to 15-01-2025</v>
      </c>
      <c r="F243" t="str">
        <f>IF(COUNTIF('Top5'!I:I, G243) &gt; 0, "Yes", "No")</f>
        <v>No</v>
      </c>
      <c r="G243" t="str">
        <f t="shared" si="11"/>
        <v>09-01-2025 to 15-01-2025</v>
      </c>
    </row>
    <row r="244" spans="1:7">
      <c r="A244" s="1">
        <v>45666</v>
      </c>
      <c r="B244" s="6">
        <v>0.76180555555555551</v>
      </c>
      <c r="C244" t="s">
        <v>23</v>
      </c>
      <c r="D244" s="7">
        <f t="shared" si="9"/>
        <v>45666.761805555558</v>
      </c>
      <c r="E244" t="str">
        <f t="shared" si="10"/>
        <v>09-01-2025 to 15-01-2025</v>
      </c>
      <c r="F244" t="str">
        <f>IF(COUNTIF('Top5'!I:I, G244) &gt; 0, "Yes", "No")</f>
        <v>No</v>
      </c>
      <c r="G244" t="str">
        <f t="shared" si="11"/>
        <v>09-01-2025 to 15-01-2025</v>
      </c>
    </row>
    <row r="245" spans="1:7">
      <c r="A245" s="1">
        <v>45666</v>
      </c>
      <c r="B245" s="6">
        <v>0.80555555555555558</v>
      </c>
      <c r="C245" t="s">
        <v>23</v>
      </c>
      <c r="D245" s="7">
        <f t="shared" si="9"/>
        <v>45666.805555555555</v>
      </c>
      <c r="E245" t="str">
        <f t="shared" si="10"/>
        <v>09-01-2025 to 15-01-2025</v>
      </c>
      <c r="F245" t="str">
        <f>IF(COUNTIF('Top5'!I:I, G245) &gt; 0, "Yes", "No")</f>
        <v>No</v>
      </c>
      <c r="G245" t="str">
        <f t="shared" si="11"/>
        <v>09-01-2025 to 15-01-2025</v>
      </c>
    </row>
    <row r="246" spans="1:7">
      <c r="A246" s="1">
        <v>45667</v>
      </c>
      <c r="B246" s="6">
        <v>4.1666666666666666E-3</v>
      </c>
      <c r="C246" t="s">
        <v>23</v>
      </c>
      <c r="D246" s="7">
        <f t="shared" si="9"/>
        <v>45667.004166666666</v>
      </c>
      <c r="E246" t="str">
        <f t="shared" si="10"/>
        <v>10-01-2025 to 16-01-2025</v>
      </c>
      <c r="F246" t="str">
        <f>IF(COUNTIF('Top5'!I:I, G246) &gt; 0, "Yes", "No")</f>
        <v>No</v>
      </c>
      <c r="G246" t="str">
        <f t="shared" si="11"/>
        <v>10-01-2025 to 16-01-2025</v>
      </c>
    </row>
    <row r="247" spans="1:7">
      <c r="A247" s="1">
        <v>45667</v>
      </c>
      <c r="B247" s="6">
        <v>0.48472222222222222</v>
      </c>
      <c r="C247" t="s">
        <v>22</v>
      </c>
      <c r="D247" s="7">
        <f t="shared" si="9"/>
        <v>45667.484722222223</v>
      </c>
      <c r="E247" t="str">
        <f t="shared" si="10"/>
        <v>10-01-2025 to 16-01-2025</v>
      </c>
      <c r="F247" t="str">
        <f>IF(COUNTIF('Top5'!I:I, G247) &gt; 0, "Yes", "No")</f>
        <v>No</v>
      </c>
      <c r="G247" t="str">
        <f t="shared" si="11"/>
        <v>10-01-2025 to 16-01-2025</v>
      </c>
    </row>
    <row r="248" spans="1:7">
      <c r="A248" s="1">
        <v>45667</v>
      </c>
      <c r="B248" s="6">
        <v>0.48472222222222222</v>
      </c>
      <c r="C248" t="s">
        <v>22</v>
      </c>
      <c r="D248" s="7">
        <f t="shared" si="9"/>
        <v>45667.484722222223</v>
      </c>
      <c r="E248" t="str">
        <f t="shared" si="10"/>
        <v>10-01-2025 to 16-01-2025</v>
      </c>
      <c r="F248" t="str">
        <f>IF(COUNTIF('Top5'!I:I, G248) &gt; 0, "Yes", "No")</f>
        <v>No</v>
      </c>
      <c r="G248" t="str">
        <f t="shared" si="11"/>
        <v>10-01-2025 to 16-01-2025</v>
      </c>
    </row>
    <row r="249" spans="1:7">
      <c r="A249" s="1">
        <v>45667</v>
      </c>
      <c r="B249" s="6">
        <v>0.75277777777777777</v>
      </c>
      <c r="C249" t="s">
        <v>23</v>
      </c>
      <c r="D249" s="7">
        <f t="shared" si="9"/>
        <v>45667.75277777778</v>
      </c>
      <c r="E249" t="str">
        <f t="shared" si="10"/>
        <v>10-01-2025 to 16-01-2025</v>
      </c>
      <c r="F249" t="str">
        <f>IF(COUNTIF('Top5'!I:I, G249) &gt; 0, "Yes", "No")</f>
        <v>No</v>
      </c>
      <c r="G249" t="str">
        <f t="shared" si="11"/>
        <v>10-01-2025 to 16-01-2025</v>
      </c>
    </row>
    <row r="250" spans="1:7">
      <c r="A250" s="1">
        <v>45667</v>
      </c>
      <c r="B250" s="6">
        <v>0.77361111111111114</v>
      </c>
      <c r="C250" t="s">
        <v>23</v>
      </c>
      <c r="D250" s="7">
        <f t="shared" si="9"/>
        <v>45667.773611111108</v>
      </c>
      <c r="E250" t="str">
        <f t="shared" si="10"/>
        <v>10-01-2025 to 16-01-2025</v>
      </c>
      <c r="F250" t="str">
        <f>IF(COUNTIF('Top5'!I:I, G250) &gt; 0, "Yes", "No")</f>
        <v>No</v>
      </c>
      <c r="G250" t="str">
        <f t="shared" si="11"/>
        <v>10-01-2025 to 16-01-2025</v>
      </c>
    </row>
    <row r="251" spans="1:7">
      <c r="A251" s="1">
        <v>45667</v>
      </c>
      <c r="B251" s="6">
        <v>0.77569444444444446</v>
      </c>
      <c r="C251" t="s">
        <v>23</v>
      </c>
      <c r="D251" s="7">
        <f t="shared" si="9"/>
        <v>45667.775694444441</v>
      </c>
      <c r="E251" t="str">
        <f t="shared" si="10"/>
        <v>10-01-2025 to 16-01-2025</v>
      </c>
      <c r="F251" t="str">
        <f>IF(COUNTIF('Top5'!I:I, G251) &gt; 0, "Yes", "No")</f>
        <v>No</v>
      </c>
      <c r="G251" t="str">
        <f t="shared" si="11"/>
        <v>10-01-2025 to 16-01-2025</v>
      </c>
    </row>
    <row r="252" spans="1:7">
      <c r="A252" s="1">
        <v>45667</v>
      </c>
      <c r="B252" s="6">
        <v>0.78888888888888886</v>
      </c>
      <c r="C252" t="s">
        <v>23</v>
      </c>
      <c r="D252" s="7">
        <f t="shared" si="9"/>
        <v>45667.788888888892</v>
      </c>
      <c r="E252" t="str">
        <f t="shared" si="10"/>
        <v>10-01-2025 to 16-01-2025</v>
      </c>
      <c r="F252" t="str">
        <f>IF(COUNTIF('Top5'!I:I, G252) &gt; 0, "Yes", "No")</f>
        <v>No</v>
      </c>
      <c r="G252" t="str">
        <f t="shared" si="11"/>
        <v>10-01-2025 to 16-01-2025</v>
      </c>
    </row>
    <row r="253" spans="1:7">
      <c r="A253" s="1">
        <v>45668</v>
      </c>
      <c r="B253" s="6">
        <v>1.3888888888888889E-3</v>
      </c>
      <c r="C253" t="s">
        <v>23</v>
      </c>
      <c r="D253" s="7">
        <f t="shared" si="9"/>
        <v>45668.001388888886</v>
      </c>
      <c r="E253" t="str">
        <f t="shared" si="10"/>
        <v>11-01-2025 to 17-01-2025</v>
      </c>
      <c r="F253" t="str">
        <f>IF(COUNTIF('Top5'!I:I, G253) &gt; 0, "Yes", "No")</f>
        <v>No</v>
      </c>
      <c r="G253" t="str">
        <f t="shared" si="11"/>
        <v>11-01-2025 to 17-01-2025</v>
      </c>
    </row>
    <row r="254" spans="1:7">
      <c r="A254" s="1">
        <v>45668</v>
      </c>
      <c r="B254" s="6">
        <v>2.0833333333333333E-3</v>
      </c>
      <c r="C254" t="s">
        <v>23</v>
      </c>
      <c r="D254" s="7">
        <f t="shared" si="9"/>
        <v>45668.002083333333</v>
      </c>
      <c r="E254" t="str">
        <f t="shared" si="10"/>
        <v>11-01-2025 to 17-01-2025</v>
      </c>
      <c r="F254" t="str">
        <f>IF(COUNTIF('Top5'!I:I, G254) &gt; 0, "Yes", "No")</f>
        <v>No</v>
      </c>
      <c r="G254" t="str">
        <f t="shared" si="11"/>
        <v>11-01-2025 to 17-01-2025</v>
      </c>
    </row>
    <row r="255" spans="1:7">
      <c r="A255" s="1">
        <v>45668</v>
      </c>
      <c r="B255" s="6">
        <v>2.0833333333333333E-3</v>
      </c>
      <c r="C255" t="s">
        <v>23</v>
      </c>
      <c r="D255" s="7">
        <f t="shared" si="9"/>
        <v>45668.002083333333</v>
      </c>
      <c r="E255" t="str">
        <f t="shared" si="10"/>
        <v>11-01-2025 to 17-01-2025</v>
      </c>
      <c r="F255" t="str">
        <f>IF(COUNTIF('Top5'!I:I, G255) &gt; 0, "Yes", "No")</f>
        <v>No</v>
      </c>
      <c r="G255" t="str">
        <f t="shared" si="11"/>
        <v>11-01-2025 to 17-01-2025</v>
      </c>
    </row>
    <row r="256" spans="1:7">
      <c r="A256" s="1">
        <v>45668</v>
      </c>
      <c r="B256" s="6">
        <v>3.472222222222222E-3</v>
      </c>
      <c r="C256" t="s">
        <v>23</v>
      </c>
      <c r="D256" s="7">
        <f t="shared" si="9"/>
        <v>45668.003472222219</v>
      </c>
      <c r="E256" t="str">
        <f t="shared" si="10"/>
        <v>11-01-2025 to 17-01-2025</v>
      </c>
      <c r="F256" t="str">
        <f>IF(COUNTIF('Top5'!I:I, G256) &gt; 0, "Yes", "No")</f>
        <v>No</v>
      </c>
      <c r="G256" t="str">
        <f t="shared" si="11"/>
        <v>11-01-2025 to 17-01-2025</v>
      </c>
    </row>
    <row r="257" spans="1:7">
      <c r="A257" s="1">
        <v>45668</v>
      </c>
      <c r="B257" s="6">
        <v>6.9444444444444441E-3</v>
      </c>
      <c r="C257" t="s">
        <v>23</v>
      </c>
      <c r="D257" s="7">
        <f t="shared" si="9"/>
        <v>45668.006944444445</v>
      </c>
      <c r="E257" t="str">
        <f t="shared" si="10"/>
        <v>11-01-2025 to 17-01-2025</v>
      </c>
      <c r="F257" t="str">
        <f>IF(COUNTIF('Top5'!I:I, G257) &gt; 0, "Yes", "No")</f>
        <v>No</v>
      </c>
      <c r="G257" t="str">
        <f t="shared" si="11"/>
        <v>11-01-2025 to 17-01-2025</v>
      </c>
    </row>
    <row r="258" spans="1:7">
      <c r="A258" s="1">
        <v>45668</v>
      </c>
      <c r="B258" s="6">
        <v>7.6388888888888886E-3</v>
      </c>
      <c r="C258" t="s">
        <v>23</v>
      </c>
      <c r="D258" s="7">
        <f t="shared" si="9"/>
        <v>45668.007638888892</v>
      </c>
      <c r="E258" t="str">
        <f t="shared" si="10"/>
        <v>11-01-2025 to 17-01-2025</v>
      </c>
      <c r="F258" t="str">
        <f>IF(COUNTIF('Top5'!I:I, G258) &gt; 0, "Yes", "No")</f>
        <v>No</v>
      </c>
      <c r="G258" t="str">
        <f t="shared" si="11"/>
        <v>11-01-2025 to 17-01-2025</v>
      </c>
    </row>
    <row r="259" spans="1:7">
      <c r="A259" s="1">
        <v>45668</v>
      </c>
      <c r="B259" s="6">
        <v>8.3333333333333332E-3</v>
      </c>
      <c r="C259" t="s">
        <v>23</v>
      </c>
      <c r="D259" s="7">
        <f t="shared" ref="D259:D322" si="12">VALUE(A259) + VALUE(B259)</f>
        <v>45668.008333333331</v>
      </c>
      <c r="E259" t="str">
        <f t="shared" ref="E259:E322" si="13">TEXT(D259, "dd-mm-yyyy") &amp; " to " &amp; TEXT(D259+6, "dd-mm-yyyy")</f>
        <v>11-01-2025 to 17-01-2025</v>
      </c>
      <c r="F259" t="str">
        <f>IF(COUNTIF('Top5'!I:I, G259) &gt; 0, "Yes", "No")</f>
        <v>No</v>
      </c>
      <c r="G259" t="str">
        <f t="shared" ref="G259:G322" si="14">TRIM(E259)</f>
        <v>11-01-2025 to 17-01-2025</v>
      </c>
    </row>
    <row r="260" spans="1:7">
      <c r="A260" s="1">
        <v>45668</v>
      </c>
      <c r="B260" s="6">
        <v>0.54583333333333328</v>
      </c>
      <c r="C260" t="s">
        <v>22</v>
      </c>
      <c r="D260" s="7">
        <f t="shared" si="12"/>
        <v>45668.54583333333</v>
      </c>
      <c r="E260" t="str">
        <f t="shared" si="13"/>
        <v>11-01-2025 to 17-01-2025</v>
      </c>
      <c r="F260" t="str">
        <f>IF(COUNTIF('Top5'!I:I, G260) &gt; 0, "Yes", "No")</f>
        <v>No</v>
      </c>
      <c r="G260" t="str">
        <f t="shared" si="14"/>
        <v>11-01-2025 to 17-01-2025</v>
      </c>
    </row>
    <row r="261" spans="1:7">
      <c r="A261" s="1">
        <v>45668</v>
      </c>
      <c r="B261" s="6">
        <v>0.54583333333333328</v>
      </c>
      <c r="C261" t="s">
        <v>22</v>
      </c>
      <c r="D261" s="7">
        <f t="shared" si="12"/>
        <v>45668.54583333333</v>
      </c>
      <c r="E261" t="str">
        <f t="shared" si="13"/>
        <v>11-01-2025 to 17-01-2025</v>
      </c>
      <c r="F261" t="str">
        <f>IF(COUNTIF('Top5'!I:I, G261) &gt; 0, "Yes", "No")</f>
        <v>No</v>
      </c>
      <c r="G261" t="str">
        <f t="shared" si="14"/>
        <v>11-01-2025 to 17-01-2025</v>
      </c>
    </row>
    <row r="262" spans="1:7">
      <c r="A262" s="1">
        <v>45668</v>
      </c>
      <c r="B262" s="6">
        <v>0.55902777777777779</v>
      </c>
      <c r="C262" t="s">
        <v>22</v>
      </c>
      <c r="D262" s="7">
        <f t="shared" si="12"/>
        <v>45668.559027777781</v>
      </c>
      <c r="E262" t="str">
        <f t="shared" si="13"/>
        <v>11-01-2025 to 17-01-2025</v>
      </c>
      <c r="F262" t="str">
        <f>IF(COUNTIF('Top5'!I:I, G262) &gt; 0, "Yes", "No")</f>
        <v>No</v>
      </c>
      <c r="G262" t="str">
        <f t="shared" si="14"/>
        <v>11-01-2025 to 17-01-2025</v>
      </c>
    </row>
    <row r="263" spans="1:7">
      <c r="A263" s="1">
        <v>45668</v>
      </c>
      <c r="B263" s="6">
        <v>0.72152777777777777</v>
      </c>
      <c r="C263" t="s">
        <v>23</v>
      </c>
      <c r="D263" s="7">
        <f t="shared" si="12"/>
        <v>45668.72152777778</v>
      </c>
      <c r="E263" t="str">
        <f t="shared" si="13"/>
        <v>11-01-2025 to 17-01-2025</v>
      </c>
      <c r="F263" t="str">
        <f>IF(COUNTIF('Top5'!I:I, G263) &gt; 0, "Yes", "No")</f>
        <v>No</v>
      </c>
      <c r="G263" t="str">
        <f t="shared" si="14"/>
        <v>11-01-2025 to 17-01-2025</v>
      </c>
    </row>
    <row r="264" spans="1:7">
      <c r="A264" s="1">
        <v>45668</v>
      </c>
      <c r="B264" s="6">
        <v>0.76041666666666663</v>
      </c>
      <c r="C264" t="s">
        <v>23</v>
      </c>
      <c r="D264" s="7">
        <f t="shared" si="12"/>
        <v>45668.760416666664</v>
      </c>
      <c r="E264" t="str">
        <f t="shared" si="13"/>
        <v>11-01-2025 to 17-01-2025</v>
      </c>
      <c r="F264" t="str">
        <f>IF(COUNTIF('Top5'!I:I, G264) &gt; 0, "Yes", "No")</f>
        <v>No</v>
      </c>
      <c r="G264" t="str">
        <f t="shared" si="14"/>
        <v>11-01-2025 to 17-01-2025</v>
      </c>
    </row>
    <row r="265" spans="1:7">
      <c r="A265" s="1">
        <v>45668</v>
      </c>
      <c r="B265" s="6">
        <v>0.76111111111111107</v>
      </c>
      <c r="C265" t="s">
        <v>23</v>
      </c>
      <c r="D265" s="7">
        <f t="shared" si="12"/>
        <v>45668.761111111111</v>
      </c>
      <c r="E265" t="str">
        <f t="shared" si="13"/>
        <v>11-01-2025 to 17-01-2025</v>
      </c>
      <c r="F265" t="str">
        <f>IF(COUNTIF('Top5'!I:I, G265) &gt; 0, "Yes", "No")</f>
        <v>No</v>
      </c>
      <c r="G265" t="str">
        <f t="shared" si="14"/>
        <v>11-01-2025 to 17-01-2025</v>
      </c>
    </row>
    <row r="266" spans="1:7">
      <c r="A266" s="1">
        <v>45668</v>
      </c>
      <c r="B266" s="6">
        <v>0.80208333333333337</v>
      </c>
      <c r="C266" t="s">
        <v>23</v>
      </c>
      <c r="D266" s="7">
        <f t="shared" si="12"/>
        <v>45668.802083333336</v>
      </c>
      <c r="E266" t="str">
        <f t="shared" si="13"/>
        <v>11-01-2025 to 17-01-2025</v>
      </c>
      <c r="F266" t="str">
        <f>IF(COUNTIF('Top5'!I:I, G266) &gt; 0, "Yes", "No")</f>
        <v>No</v>
      </c>
      <c r="G266" t="str">
        <f t="shared" si="14"/>
        <v>11-01-2025 to 17-01-2025</v>
      </c>
    </row>
    <row r="267" spans="1:7">
      <c r="A267" s="1">
        <v>45668</v>
      </c>
      <c r="B267" s="6">
        <v>0.96736111111111112</v>
      </c>
      <c r="C267" t="s">
        <v>23</v>
      </c>
      <c r="D267" s="7">
        <f t="shared" si="12"/>
        <v>45668.967361111114</v>
      </c>
      <c r="E267" t="str">
        <f t="shared" si="13"/>
        <v>11-01-2025 to 17-01-2025</v>
      </c>
      <c r="F267" t="str">
        <f>IF(COUNTIF('Top5'!I:I, G267) &gt; 0, "Yes", "No")</f>
        <v>No</v>
      </c>
      <c r="G267" t="str">
        <f t="shared" si="14"/>
        <v>11-01-2025 to 17-01-2025</v>
      </c>
    </row>
    <row r="268" spans="1:7">
      <c r="A268" s="1">
        <v>45669</v>
      </c>
      <c r="B268" s="6">
        <v>6.9444444444444447E-4</v>
      </c>
      <c r="C268" t="s">
        <v>23</v>
      </c>
      <c r="D268" s="7">
        <f t="shared" si="12"/>
        <v>45669.000694444447</v>
      </c>
      <c r="E268" t="str">
        <f t="shared" si="13"/>
        <v>12-01-2025 to 18-01-2025</v>
      </c>
      <c r="F268" t="str">
        <f>IF(COUNTIF('Top5'!I:I, G268) &gt; 0, "Yes", "No")</f>
        <v>No</v>
      </c>
      <c r="G268" t="str">
        <f t="shared" si="14"/>
        <v>12-01-2025 to 18-01-2025</v>
      </c>
    </row>
    <row r="269" spans="1:7">
      <c r="A269" s="1">
        <v>45669</v>
      </c>
      <c r="B269" s="6">
        <v>6.2500000000000003E-3</v>
      </c>
      <c r="C269" t="s">
        <v>23</v>
      </c>
      <c r="D269" s="7">
        <f t="shared" si="12"/>
        <v>45669.006249999999</v>
      </c>
      <c r="E269" t="str">
        <f t="shared" si="13"/>
        <v>12-01-2025 to 18-01-2025</v>
      </c>
      <c r="F269" t="str">
        <f>IF(COUNTIF('Top5'!I:I, G269) &gt; 0, "Yes", "No")</f>
        <v>No</v>
      </c>
      <c r="G269" t="str">
        <f t="shared" si="14"/>
        <v>12-01-2025 to 18-01-2025</v>
      </c>
    </row>
    <row r="270" spans="1:7">
      <c r="A270" s="1">
        <v>45669</v>
      </c>
      <c r="B270" s="6">
        <v>6.2500000000000003E-3</v>
      </c>
      <c r="C270" t="s">
        <v>23</v>
      </c>
      <c r="D270" s="7">
        <f t="shared" si="12"/>
        <v>45669.006249999999</v>
      </c>
      <c r="E270" t="str">
        <f t="shared" si="13"/>
        <v>12-01-2025 to 18-01-2025</v>
      </c>
      <c r="F270" t="str">
        <f>IF(COUNTIF('Top5'!I:I, G270) &gt; 0, "Yes", "No")</f>
        <v>No</v>
      </c>
      <c r="G270" t="str">
        <f t="shared" si="14"/>
        <v>12-01-2025 to 18-01-2025</v>
      </c>
    </row>
    <row r="271" spans="1:7">
      <c r="A271" s="1">
        <v>45669</v>
      </c>
      <c r="B271" s="6">
        <v>6.9444444444444441E-3</v>
      </c>
      <c r="C271" t="s">
        <v>23</v>
      </c>
      <c r="D271" s="7">
        <f t="shared" si="12"/>
        <v>45669.006944444445</v>
      </c>
      <c r="E271" t="str">
        <f t="shared" si="13"/>
        <v>12-01-2025 to 18-01-2025</v>
      </c>
      <c r="F271" t="str">
        <f>IF(COUNTIF('Top5'!I:I, G271) &gt; 0, "Yes", "No")</f>
        <v>No</v>
      </c>
      <c r="G271" t="str">
        <f t="shared" si="14"/>
        <v>12-01-2025 to 18-01-2025</v>
      </c>
    </row>
    <row r="272" spans="1:7">
      <c r="A272" s="1">
        <v>45669</v>
      </c>
      <c r="B272" s="6">
        <v>0.5805555555555556</v>
      </c>
      <c r="C272" t="s">
        <v>22</v>
      </c>
      <c r="D272" s="7">
        <f t="shared" si="12"/>
        <v>45669.580555555556</v>
      </c>
      <c r="E272" t="str">
        <f t="shared" si="13"/>
        <v>12-01-2025 to 18-01-2025</v>
      </c>
      <c r="F272" t="str">
        <f>IF(COUNTIF('Top5'!I:I, G272) &gt; 0, "Yes", "No")</f>
        <v>No</v>
      </c>
      <c r="G272" t="str">
        <f t="shared" si="14"/>
        <v>12-01-2025 to 18-01-2025</v>
      </c>
    </row>
    <row r="273" spans="1:7">
      <c r="A273" s="1">
        <v>45669</v>
      </c>
      <c r="B273" s="6">
        <v>0.80833333333333335</v>
      </c>
      <c r="C273" t="s">
        <v>23</v>
      </c>
      <c r="D273" s="7">
        <f t="shared" si="12"/>
        <v>45669.808333333334</v>
      </c>
      <c r="E273" t="str">
        <f t="shared" si="13"/>
        <v>12-01-2025 to 18-01-2025</v>
      </c>
      <c r="F273" t="str">
        <f>IF(COUNTIF('Top5'!I:I, G273) &gt; 0, "Yes", "No")</f>
        <v>No</v>
      </c>
      <c r="G273" t="str">
        <f t="shared" si="14"/>
        <v>12-01-2025 to 18-01-2025</v>
      </c>
    </row>
    <row r="274" spans="1:7">
      <c r="A274" s="1">
        <v>45670</v>
      </c>
      <c r="B274" s="6">
        <v>2.7777777777777779E-3</v>
      </c>
      <c r="C274" t="s">
        <v>23</v>
      </c>
      <c r="D274" s="7">
        <f t="shared" si="12"/>
        <v>45670.00277777778</v>
      </c>
      <c r="E274" t="str">
        <f t="shared" si="13"/>
        <v>13-01-2025 to 19-01-2025</v>
      </c>
      <c r="F274" t="str">
        <f>IF(COUNTIF('Top5'!I:I, G274) &gt; 0, "Yes", "No")</f>
        <v>No</v>
      </c>
      <c r="G274" t="str">
        <f t="shared" si="14"/>
        <v>13-01-2025 to 19-01-2025</v>
      </c>
    </row>
    <row r="275" spans="1:7">
      <c r="A275" s="1">
        <v>45670</v>
      </c>
      <c r="B275" s="6">
        <v>2.7777777777777779E-3</v>
      </c>
      <c r="C275" t="s">
        <v>23</v>
      </c>
      <c r="D275" s="7">
        <f t="shared" si="12"/>
        <v>45670.00277777778</v>
      </c>
      <c r="E275" t="str">
        <f t="shared" si="13"/>
        <v>13-01-2025 to 19-01-2025</v>
      </c>
      <c r="F275" t="str">
        <f>IF(COUNTIF('Top5'!I:I, G275) &gt; 0, "Yes", "No")</f>
        <v>No</v>
      </c>
      <c r="G275" t="str">
        <f t="shared" si="14"/>
        <v>13-01-2025 to 19-01-2025</v>
      </c>
    </row>
    <row r="276" spans="1:7">
      <c r="A276" s="1">
        <v>45670</v>
      </c>
      <c r="B276" s="6">
        <v>2.7777777777777779E-3</v>
      </c>
      <c r="C276" t="s">
        <v>23</v>
      </c>
      <c r="D276" s="7">
        <f t="shared" si="12"/>
        <v>45670.00277777778</v>
      </c>
      <c r="E276" t="str">
        <f t="shared" si="13"/>
        <v>13-01-2025 to 19-01-2025</v>
      </c>
      <c r="F276" t="str">
        <f>IF(COUNTIF('Top5'!I:I, G276) &gt; 0, "Yes", "No")</f>
        <v>No</v>
      </c>
      <c r="G276" t="str">
        <f t="shared" si="14"/>
        <v>13-01-2025 to 19-01-2025</v>
      </c>
    </row>
    <row r="277" spans="1:7">
      <c r="A277" s="1">
        <v>45670</v>
      </c>
      <c r="B277" s="6">
        <v>3.472222222222222E-3</v>
      </c>
      <c r="C277" t="s">
        <v>23</v>
      </c>
      <c r="D277" s="7">
        <f t="shared" si="12"/>
        <v>45670.003472222219</v>
      </c>
      <c r="E277" t="str">
        <f t="shared" si="13"/>
        <v>13-01-2025 to 19-01-2025</v>
      </c>
      <c r="F277" t="str">
        <f>IF(COUNTIF('Top5'!I:I, G277) &gt; 0, "Yes", "No")</f>
        <v>No</v>
      </c>
      <c r="G277" t="str">
        <f t="shared" si="14"/>
        <v>13-01-2025 to 19-01-2025</v>
      </c>
    </row>
    <row r="278" spans="1:7">
      <c r="A278" s="1">
        <v>45670</v>
      </c>
      <c r="B278" s="6">
        <v>4.1666666666666666E-3</v>
      </c>
      <c r="C278" t="s">
        <v>23</v>
      </c>
      <c r="D278" s="7">
        <f t="shared" si="12"/>
        <v>45670.004166666666</v>
      </c>
      <c r="E278" t="str">
        <f t="shared" si="13"/>
        <v>13-01-2025 to 19-01-2025</v>
      </c>
      <c r="F278" t="str">
        <f>IF(COUNTIF('Top5'!I:I, G278) &gt; 0, "Yes", "No")</f>
        <v>No</v>
      </c>
      <c r="G278" t="str">
        <f t="shared" si="14"/>
        <v>13-01-2025 to 19-01-2025</v>
      </c>
    </row>
    <row r="279" spans="1:7">
      <c r="A279" s="1">
        <v>45670</v>
      </c>
      <c r="B279" s="6">
        <v>4.1666666666666666E-3</v>
      </c>
      <c r="C279" t="s">
        <v>23</v>
      </c>
      <c r="D279" s="7">
        <f t="shared" si="12"/>
        <v>45670.004166666666</v>
      </c>
      <c r="E279" t="str">
        <f t="shared" si="13"/>
        <v>13-01-2025 to 19-01-2025</v>
      </c>
      <c r="F279" t="str">
        <f>IF(COUNTIF('Top5'!I:I, G279) &gt; 0, "Yes", "No")</f>
        <v>No</v>
      </c>
      <c r="G279" t="str">
        <f t="shared" si="14"/>
        <v>13-01-2025 to 19-01-2025</v>
      </c>
    </row>
    <row r="280" spans="1:7">
      <c r="A280" s="1">
        <v>45670</v>
      </c>
      <c r="B280" s="6">
        <v>4.1666666666666666E-3</v>
      </c>
      <c r="C280" t="s">
        <v>23</v>
      </c>
      <c r="D280" s="7">
        <f t="shared" si="12"/>
        <v>45670.004166666666</v>
      </c>
      <c r="E280" t="str">
        <f t="shared" si="13"/>
        <v>13-01-2025 to 19-01-2025</v>
      </c>
      <c r="F280" t="str">
        <f>IF(COUNTIF('Top5'!I:I, G280) &gt; 0, "Yes", "No")</f>
        <v>No</v>
      </c>
      <c r="G280" t="str">
        <f t="shared" si="14"/>
        <v>13-01-2025 to 19-01-2025</v>
      </c>
    </row>
    <row r="281" spans="1:7">
      <c r="A281" s="1">
        <v>45670</v>
      </c>
      <c r="B281" s="6">
        <v>4.1666666666666666E-3</v>
      </c>
      <c r="C281" t="s">
        <v>23</v>
      </c>
      <c r="D281" s="7">
        <f t="shared" si="12"/>
        <v>45670.004166666666</v>
      </c>
      <c r="E281" t="str">
        <f t="shared" si="13"/>
        <v>13-01-2025 to 19-01-2025</v>
      </c>
      <c r="F281" t="str">
        <f>IF(COUNTIF('Top5'!I:I, G281) &gt; 0, "Yes", "No")</f>
        <v>No</v>
      </c>
      <c r="G281" t="str">
        <f t="shared" si="14"/>
        <v>13-01-2025 to 19-01-2025</v>
      </c>
    </row>
    <row r="282" spans="1:7">
      <c r="A282" s="1">
        <v>45670</v>
      </c>
      <c r="B282" s="6">
        <v>4.8611111111111112E-3</v>
      </c>
      <c r="C282" t="s">
        <v>23</v>
      </c>
      <c r="D282" s="7">
        <f t="shared" si="12"/>
        <v>45670.004861111112</v>
      </c>
      <c r="E282" t="str">
        <f t="shared" si="13"/>
        <v>13-01-2025 to 19-01-2025</v>
      </c>
      <c r="F282" t="str">
        <f>IF(COUNTIF('Top5'!I:I, G282) &gt; 0, "Yes", "No")</f>
        <v>No</v>
      </c>
      <c r="G282" t="str">
        <f t="shared" si="14"/>
        <v>13-01-2025 to 19-01-2025</v>
      </c>
    </row>
    <row r="283" spans="1:7">
      <c r="A283" s="1">
        <v>45670</v>
      </c>
      <c r="B283" s="6">
        <v>5.5555555555555558E-3</v>
      </c>
      <c r="C283" t="s">
        <v>23</v>
      </c>
      <c r="D283" s="7">
        <f t="shared" si="12"/>
        <v>45670.005555555559</v>
      </c>
      <c r="E283" t="str">
        <f t="shared" si="13"/>
        <v>13-01-2025 to 19-01-2025</v>
      </c>
      <c r="F283" t="str">
        <f>IF(COUNTIF('Top5'!I:I, G283) &gt; 0, "Yes", "No")</f>
        <v>No</v>
      </c>
      <c r="G283" t="str">
        <f t="shared" si="14"/>
        <v>13-01-2025 to 19-01-2025</v>
      </c>
    </row>
    <row r="284" spans="1:7">
      <c r="A284" s="1">
        <v>45670</v>
      </c>
      <c r="B284" s="6">
        <v>6.2500000000000003E-3</v>
      </c>
      <c r="C284" t="s">
        <v>23</v>
      </c>
      <c r="D284" s="7">
        <f t="shared" si="12"/>
        <v>45670.006249999999</v>
      </c>
      <c r="E284" t="str">
        <f t="shared" si="13"/>
        <v>13-01-2025 to 19-01-2025</v>
      </c>
      <c r="F284" t="str">
        <f>IF(COUNTIF('Top5'!I:I, G284) &gt; 0, "Yes", "No")</f>
        <v>No</v>
      </c>
      <c r="G284" t="str">
        <f t="shared" si="14"/>
        <v>13-01-2025 to 19-01-2025</v>
      </c>
    </row>
    <row r="285" spans="1:7">
      <c r="A285" s="1">
        <v>45670</v>
      </c>
      <c r="B285" s="6">
        <v>6.9444444444444441E-3</v>
      </c>
      <c r="C285" t="s">
        <v>23</v>
      </c>
      <c r="D285" s="7">
        <f t="shared" si="12"/>
        <v>45670.006944444445</v>
      </c>
      <c r="E285" t="str">
        <f t="shared" si="13"/>
        <v>13-01-2025 to 19-01-2025</v>
      </c>
      <c r="F285" t="str">
        <f>IF(COUNTIF('Top5'!I:I, G285) &gt; 0, "Yes", "No")</f>
        <v>No</v>
      </c>
      <c r="G285" t="str">
        <f t="shared" si="14"/>
        <v>13-01-2025 to 19-01-2025</v>
      </c>
    </row>
    <row r="286" spans="1:7">
      <c r="A286" s="1">
        <v>45670</v>
      </c>
      <c r="B286" s="6">
        <v>6.9444444444444441E-3</v>
      </c>
      <c r="C286" t="s">
        <v>23</v>
      </c>
      <c r="D286" s="7">
        <f t="shared" si="12"/>
        <v>45670.006944444445</v>
      </c>
      <c r="E286" t="str">
        <f t="shared" si="13"/>
        <v>13-01-2025 to 19-01-2025</v>
      </c>
      <c r="F286" t="str">
        <f>IF(COUNTIF('Top5'!I:I, G286) &gt; 0, "Yes", "No")</f>
        <v>No</v>
      </c>
      <c r="G286" t="str">
        <f t="shared" si="14"/>
        <v>13-01-2025 to 19-01-2025</v>
      </c>
    </row>
    <row r="287" spans="1:7">
      <c r="A287" s="1">
        <v>45670</v>
      </c>
      <c r="B287" s="6">
        <v>7.6388888888888886E-3</v>
      </c>
      <c r="C287" t="s">
        <v>23</v>
      </c>
      <c r="D287" s="7">
        <f t="shared" si="12"/>
        <v>45670.007638888892</v>
      </c>
      <c r="E287" t="str">
        <f t="shared" si="13"/>
        <v>13-01-2025 to 19-01-2025</v>
      </c>
      <c r="F287" t="str">
        <f>IF(COUNTIF('Top5'!I:I, G287) &gt; 0, "Yes", "No")</f>
        <v>No</v>
      </c>
      <c r="G287" t="str">
        <f t="shared" si="14"/>
        <v>13-01-2025 to 19-01-2025</v>
      </c>
    </row>
    <row r="288" spans="1:7">
      <c r="A288" s="1">
        <v>45670</v>
      </c>
      <c r="B288" s="6">
        <v>7.6388888888888886E-3</v>
      </c>
      <c r="C288" t="s">
        <v>23</v>
      </c>
      <c r="D288" s="7">
        <f t="shared" si="12"/>
        <v>45670.007638888892</v>
      </c>
      <c r="E288" t="str">
        <f t="shared" si="13"/>
        <v>13-01-2025 to 19-01-2025</v>
      </c>
      <c r="F288" t="str">
        <f>IF(COUNTIF('Top5'!I:I, G288) &gt; 0, "Yes", "No")</f>
        <v>No</v>
      </c>
      <c r="G288" t="str">
        <f t="shared" si="14"/>
        <v>13-01-2025 to 19-01-2025</v>
      </c>
    </row>
    <row r="289" spans="1:7">
      <c r="A289" s="1">
        <v>45670</v>
      </c>
      <c r="B289" s="6">
        <v>7.6388888888888886E-3</v>
      </c>
      <c r="C289" t="s">
        <v>23</v>
      </c>
      <c r="D289" s="7">
        <f t="shared" si="12"/>
        <v>45670.007638888892</v>
      </c>
      <c r="E289" t="str">
        <f t="shared" si="13"/>
        <v>13-01-2025 to 19-01-2025</v>
      </c>
      <c r="F289" t="str">
        <f>IF(COUNTIF('Top5'!I:I, G289) &gt; 0, "Yes", "No")</f>
        <v>No</v>
      </c>
      <c r="G289" t="str">
        <f t="shared" si="14"/>
        <v>13-01-2025 to 19-01-2025</v>
      </c>
    </row>
    <row r="290" spans="1:7">
      <c r="A290" s="1">
        <v>45670</v>
      </c>
      <c r="B290" s="6">
        <v>9.0277777777777769E-3</v>
      </c>
      <c r="C290" t="s">
        <v>23</v>
      </c>
      <c r="D290" s="7">
        <f t="shared" si="12"/>
        <v>45670.009027777778</v>
      </c>
      <c r="E290" t="str">
        <f t="shared" si="13"/>
        <v>13-01-2025 to 19-01-2025</v>
      </c>
      <c r="F290" t="str">
        <f>IF(COUNTIF('Top5'!I:I, G290) &gt; 0, "Yes", "No")</f>
        <v>No</v>
      </c>
      <c r="G290" t="str">
        <f t="shared" si="14"/>
        <v>13-01-2025 to 19-01-2025</v>
      </c>
    </row>
    <row r="291" spans="1:7">
      <c r="A291" s="1">
        <v>45670</v>
      </c>
      <c r="B291" s="6">
        <v>9.7222222222222224E-3</v>
      </c>
      <c r="C291" t="s">
        <v>23</v>
      </c>
      <c r="D291" s="7">
        <f t="shared" si="12"/>
        <v>45670.009722222225</v>
      </c>
      <c r="E291" t="str">
        <f t="shared" si="13"/>
        <v>13-01-2025 to 19-01-2025</v>
      </c>
      <c r="F291" t="str">
        <f>IF(COUNTIF('Top5'!I:I, G291) &gt; 0, "Yes", "No")</f>
        <v>No</v>
      </c>
      <c r="G291" t="str">
        <f t="shared" si="14"/>
        <v>13-01-2025 to 19-01-2025</v>
      </c>
    </row>
    <row r="292" spans="1:7">
      <c r="A292" s="1">
        <v>45670</v>
      </c>
      <c r="B292" s="6">
        <v>9.7222222222222224E-3</v>
      </c>
      <c r="C292" t="s">
        <v>23</v>
      </c>
      <c r="D292" s="7">
        <f t="shared" si="12"/>
        <v>45670.009722222225</v>
      </c>
      <c r="E292" t="str">
        <f t="shared" si="13"/>
        <v>13-01-2025 to 19-01-2025</v>
      </c>
      <c r="F292" t="str">
        <f>IF(COUNTIF('Top5'!I:I, G292) &gt; 0, "Yes", "No")</f>
        <v>No</v>
      </c>
      <c r="G292" t="str">
        <f t="shared" si="14"/>
        <v>13-01-2025 to 19-01-2025</v>
      </c>
    </row>
    <row r="293" spans="1:7">
      <c r="A293" s="1">
        <v>45670</v>
      </c>
      <c r="B293" s="6">
        <v>1.0416666666666666E-2</v>
      </c>
      <c r="C293" t="s">
        <v>23</v>
      </c>
      <c r="D293" s="7">
        <f t="shared" si="12"/>
        <v>45670.010416666664</v>
      </c>
      <c r="E293" t="str">
        <f t="shared" si="13"/>
        <v>13-01-2025 to 19-01-2025</v>
      </c>
      <c r="F293" t="str">
        <f>IF(COUNTIF('Top5'!I:I, G293) &gt; 0, "Yes", "No")</f>
        <v>No</v>
      </c>
      <c r="G293" t="str">
        <f t="shared" si="14"/>
        <v>13-01-2025 to 19-01-2025</v>
      </c>
    </row>
    <row r="294" spans="1:7">
      <c r="A294" s="1">
        <v>45670</v>
      </c>
      <c r="B294" s="6">
        <v>1.1111111111111112E-2</v>
      </c>
      <c r="C294" t="s">
        <v>23</v>
      </c>
      <c r="D294" s="7">
        <f t="shared" si="12"/>
        <v>45670.011111111111</v>
      </c>
      <c r="E294" t="str">
        <f t="shared" si="13"/>
        <v>13-01-2025 to 19-01-2025</v>
      </c>
      <c r="F294" t="str">
        <f>IF(COUNTIF('Top5'!I:I, G294) &gt; 0, "Yes", "No")</f>
        <v>No</v>
      </c>
      <c r="G294" t="str">
        <f t="shared" si="14"/>
        <v>13-01-2025 to 19-01-2025</v>
      </c>
    </row>
    <row r="295" spans="1:7">
      <c r="A295" s="1">
        <v>45670</v>
      </c>
      <c r="B295" s="6">
        <v>1.3888888888888888E-2</v>
      </c>
      <c r="C295" t="s">
        <v>23</v>
      </c>
      <c r="D295" s="7">
        <f t="shared" si="12"/>
        <v>45670.013888888891</v>
      </c>
      <c r="E295" t="str">
        <f t="shared" si="13"/>
        <v>13-01-2025 to 19-01-2025</v>
      </c>
      <c r="F295" t="str">
        <f>IF(COUNTIF('Top5'!I:I, G295) &gt; 0, "Yes", "No")</f>
        <v>No</v>
      </c>
      <c r="G295" t="str">
        <f t="shared" si="14"/>
        <v>13-01-2025 to 19-01-2025</v>
      </c>
    </row>
    <row r="296" spans="1:7">
      <c r="A296" s="1">
        <v>45670</v>
      </c>
      <c r="B296" s="6">
        <v>1.8749999999999999E-2</v>
      </c>
      <c r="C296" t="s">
        <v>23</v>
      </c>
      <c r="D296" s="7">
        <f t="shared" si="12"/>
        <v>45670.018750000003</v>
      </c>
      <c r="E296" t="str">
        <f t="shared" si="13"/>
        <v>13-01-2025 to 19-01-2025</v>
      </c>
      <c r="F296" t="str">
        <f>IF(COUNTIF('Top5'!I:I, G296) &gt; 0, "Yes", "No")</f>
        <v>No</v>
      </c>
      <c r="G296" t="str">
        <f t="shared" si="14"/>
        <v>13-01-2025 to 19-01-2025</v>
      </c>
    </row>
    <row r="297" spans="1:7">
      <c r="A297" s="1">
        <v>45670</v>
      </c>
      <c r="B297" s="6">
        <v>2.2222222222222223E-2</v>
      </c>
      <c r="C297" t="s">
        <v>23</v>
      </c>
      <c r="D297" s="7">
        <f t="shared" si="12"/>
        <v>45670.022222222222</v>
      </c>
      <c r="E297" t="str">
        <f t="shared" si="13"/>
        <v>13-01-2025 to 19-01-2025</v>
      </c>
      <c r="F297" t="str">
        <f>IF(COUNTIF('Top5'!I:I, G297) &gt; 0, "Yes", "No")</f>
        <v>No</v>
      </c>
      <c r="G297" t="str">
        <f t="shared" si="14"/>
        <v>13-01-2025 to 19-01-2025</v>
      </c>
    </row>
    <row r="298" spans="1:7">
      <c r="A298" s="1">
        <v>45670</v>
      </c>
      <c r="B298" s="6">
        <v>2.6388888888888889E-2</v>
      </c>
      <c r="C298" t="s">
        <v>23</v>
      </c>
      <c r="D298" s="7">
        <f t="shared" si="12"/>
        <v>45670.026388888888</v>
      </c>
      <c r="E298" t="str">
        <f t="shared" si="13"/>
        <v>13-01-2025 to 19-01-2025</v>
      </c>
      <c r="F298" t="str">
        <f>IF(COUNTIF('Top5'!I:I, G298) &gt; 0, "Yes", "No")</f>
        <v>No</v>
      </c>
      <c r="G298" t="str">
        <f t="shared" si="14"/>
        <v>13-01-2025 to 19-01-2025</v>
      </c>
    </row>
    <row r="299" spans="1:7">
      <c r="A299" s="1">
        <v>45670</v>
      </c>
      <c r="B299" s="6">
        <v>2.8472222222222222E-2</v>
      </c>
      <c r="C299" t="s">
        <v>23</v>
      </c>
      <c r="D299" s="7">
        <f t="shared" si="12"/>
        <v>45670.02847222222</v>
      </c>
      <c r="E299" t="str">
        <f t="shared" si="13"/>
        <v>13-01-2025 to 19-01-2025</v>
      </c>
      <c r="F299" t="str">
        <f>IF(COUNTIF('Top5'!I:I, G299) &gt; 0, "Yes", "No")</f>
        <v>No</v>
      </c>
      <c r="G299" t="str">
        <f t="shared" si="14"/>
        <v>13-01-2025 to 19-01-2025</v>
      </c>
    </row>
    <row r="300" spans="1:7">
      <c r="A300" s="1">
        <v>45670</v>
      </c>
      <c r="B300" s="6">
        <v>0.53541666666666665</v>
      </c>
      <c r="C300" t="s">
        <v>22</v>
      </c>
      <c r="D300" s="7">
        <f t="shared" si="12"/>
        <v>45670.535416666666</v>
      </c>
      <c r="E300" t="str">
        <f t="shared" si="13"/>
        <v>13-01-2025 to 19-01-2025</v>
      </c>
      <c r="F300" t="str">
        <f>IF(COUNTIF('Top5'!I:I, G300) &gt; 0, "Yes", "No")</f>
        <v>No</v>
      </c>
      <c r="G300" t="str">
        <f t="shared" si="14"/>
        <v>13-01-2025 to 19-01-2025</v>
      </c>
    </row>
    <row r="301" spans="1:7">
      <c r="A301" s="1">
        <v>45670</v>
      </c>
      <c r="B301" s="6">
        <v>0.53541666666666665</v>
      </c>
      <c r="C301" t="s">
        <v>22</v>
      </c>
      <c r="D301" s="7">
        <f t="shared" si="12"/>
        <v>45670.535416666666</v>
      </c>
      <c r="E301" t="str">
        <f t="shared" si="13"/>
        <v>13-01-2025 to 19-01-2025</v>
      </c>
      <c r="F301" t="str">
        <f>IF(COUNTIF('Top5'!I:I, G301) &gt; 0, "Yes", "No")</f>
        <v>No</v>
      </c>
      <c r="G301" t="str">
        <f t="shared" si="14"/>
        <v>13-01-2025 to 19-01-2025</v>
      </c>
    </row>
    <row r="302" spans="1:7">
      <c r="A302" s="1">
        <v>45670</v>
      </c>
      <c r="B302" s="6">
        <v>0.55138888888888893</v>
      </c>
      <c r="C302" t="s">
        <v>22</v>
      </c>
      <c r="D302" s="7">
        <f t="shared" si="12"/>
        <v>45670.551388888889</v>
      </c>
      <c r="E302" t="str">
        <f t="shared" si="13"/>
        <v>13-01-2025 to 19-01-2025</v>
      </c>
      <c r="F302" t="str">
        <f>IF(COUNTIF('Top5'!I:I, G302) &gt; 0, "Yes", "No")</f>
        <v>No</v>
      </c>
      <c r="G302" t="str">
        <f t="shared" si="14"/>
        <v>13-01-2025 to 19-01-2025</v>
      </c>
    </row>
    <row r="303" spans="1:7">
      <c r="A303" s="1">
        <v>45670</v>
      </c>
      <c r="B303" s="6">
        <v>0.55277777777777781</v>
      </c>
      <c r="C303" t="s">
        <v>22</v>
      </c>
      <c r="D303" s="7">
        <f t="shared" si="12"/>
        <v>45670.552777777775</v>
      </c>
      <c r="E303" t="str">
        <f t="shared" si="13"/>
        <v>13-01-2025 to 19-01-2025</v>
      </c>
      <c r="F303" t="str">
        <f>IF(COUNTIF('Top5'!I:I, G303) &gt; 0, "Yes", "No")</f>
        <v>No</v>
      </c>
      <c r="G303" t="str">
        <f t="shared" si="14"/>
        <v>13-01-2025 to 19-01-2025</v>
      </c>
    </row>
    <row r="304" spans="1:7">
      <c r="A304" s="1">
        <v>45670</v>
      </c>
      <c r="B304" s="6">
        <v>0.7006944444444444</v>
      </c>
      <c r="C304" t="s">
        <v>22</v>
      </c>
      <c r="D304" s="7">
        <f t="shared" si="12"/>
        <v>45670.700694444444</v>
      </c>
      <c r="E304" t="str">
        <f t="shared" si="13"/>
        <v>13-01-2025 to 19-01-2025</v>
      </c>
      <c r="F304" t="str">
        <f>IF(COUNTIF('Top5'!I:I, G304) &gt; 0, "Yes", "No")</f>
        <v>No</v>
      </c>
      <c r="G304" t="str">
        <f t="shared" si="14"/>
        <v>13-01-2025 to 19-01-2025</v>
      </c>
    </row>
    <row r="305" spans="1:7">
      <c r="A305" s="1">
        <v>45670</v>
      </c>
      <c r="B305" s="6">
        <v>0.70972222222222225</v>
      </c>
      <c r="C305" t="s">
        <v>23</v>
      </c>
      <c r="D305" s="7">
        <f t="shared" si="12"/>
        <v>45670.709722222222</v>
      </c>
      <c r="E305" t="str">
        <f t="shared" si="13"/>
        <v>13-01-2025 to 19-01-2025</v>
      </c>
      <c r="F305" t="str">
        <f>IF(COUNTIF('Top5'!I:I, G305) &gt; 0, "Yes", "No")</f>
        <v>No</v>
      </c>
      <c r="G305" t="str">
        <f t="shared" si="14"/>
        <v>13-01-2025 to 19-01-2025</v>
      </c>
    </row>
    <row r="306" spans="1:7">
      <c r="A306" s="1">
        <v>45670</v>
      </c>
      <c r="B306" s="6">
        <v>0.80208333333333337</v>
      </c>
      <c r="C306" t="s">
        <v>23</v>
      </c>
      <c r="D306" s="7">
        <f t="shared" si="12"/>
        <v>45670.802083333336</v>
      </c>
      <c r="E306" t="str">
        <f t="shared" si="13"/>
        <v>13-01-2025 to 19-01-2025</v>
      </c>
      <c r="F306" t="str">
        <f>IF(COUNTIF('Top5'!I:I, G306) &gt; 0, "Yes", "No")</f>
        <v>No</v>
      </c>
      <c r="G306" t="str">
        <f t="shared" si="14"/>
        <v>13-01-2025 to 19-01-2025</v>
      </c>
    </row>
    <row r="307" spans="1:7">
      <c r="A307" s="1">
        <v>45671</v>
      </c>
      <c r="B307" s="6">
        <v>0.50277777777777777</v>
      </c>
      <c r="C307" t="s">
        <v>22</v>
      </c>
      <c r="D307" s="7">
        <f t="shared" si="12"/>
        <v>45671.50277777778</v>
      </c>
      <c r="E307" t="str">
        <f t="shared" si="13"/>
        <v>14-01-2025 to 20-01-2025</v>
      </c>
      <c r="F307" t="str">
        <f>IF(COUNTIF('Top5'!I:I, G307) &gt; 0, "Yes", "No")</f>
        <v>No</v>
      </c>
      <c r="G307" t="str">
        <f t="shared" si="14"/>
        <v>14-01-2025 to 20-01-2025</v>
      </c>
    </row>
    <row r="308" spans="1:7">
      <c r="A308" s="1">
        <v>45671</v>
      </c>
      <c r="B308" s="6">
        <v>0.50277777777777777</v>
      </c>
      <c r="C308" t="s">
        <v>22</v>
      </c>
      <c r="D308" s="7">
        <f t="shared" si="12"/>
        <v>45671.50277777778</v>
      </c>
      <c r="E308" t="str">
        <f t="shared" si="13"/>
        <v>14-01-2025 to 20-01-2025</v>
      </c>
      <c r="F308" t="str">
        <f>IF(COUNTIF('Top5'!I:I, G308) &gt; 0, "Yes", "No")</f>
        <v>No</v>
      </c>
      <c r="G308" t="str">
        <f t="shared" si="14"/>
        <v>14-01-2025 to 20-01-2025</v>
      </c>
    </row>
    <row r="309" spans="1:7">
      <c r="A309" s="1">
        <v>45671</v>
      </c>
      <c r="B309" s="6">
        <v>0.50277777777777777</v>
      </c>
      <c r="C309" t="s">
        <v>22</v>
      </c>
      <c r="D309" s="7">
        <f t="shared" si="12"/>
        <v>45671.50277777778</v>
      </c>
      <c r="E309" t="str">
        <f t="shared" si="13"/>
        <v>14-01-2025 to 20-01-2025</v>
      </c>
      <c r="F309" t="str">
        <f>IF(COUNTIF('Top5'!I:I, G309) &gt; 0, "Yes", "No")</f>
        <v>No</v>
      </c>
      <c r="G309" t="str">
        <f t="shared" si="14"/>
        <v>14-01-2025 to 20-01-2025</v>
      </c>
    </row>
    <row r="310" spans="1:7">
      <c r="A310" s="1">
        <v>45671</v>
      </c>
      <c r="B310" s="6">
        <v>0.50277777777777777</v>
      </c>
      <c r="C310" t="s">
        <v>22</v>
      </c>
      <c r="D310" s="7">
        <f t="shared" si="12"/>
        <v>45671.50277777778</v>
      </c>
      <c r="E310" t="str">
        <f t="shared" si="13"/>
        <v>14-01-2025 to 20-01-2025</v>
      </c>
      <c r="F310" t="str">
        <f>IF(COUNTIF('Top5'!I:I, G310) &gt; 0, "Yes", "No")</f>
        <v>No</v>
      </c>
      <c r="G310" t="str">
        <f t="shared" si="14"/>
        <v>14-01-2025 to 20-01-2025</v>
      </c>
    </row>
    <row r="311" spans="1:7">
      <c r="A311" s="1">
        <v>45671</v>
      </c>
      <c r="B311" s="6">
        <v>0.53680555555555554</v>
      </c>
      <c r="C311" t="s">
        <v>22</v>
      </c>
      <c r="D311" s="7">
        <f t="shared" si="12"/>
        <v>45671.536805555559</v>
      </c>
      <c r="E311" t="str">
        <f t="shared" si="13"/>
        <v>14-01-2025 to 20-01-2025</v>
      </c>
      <c r="F311" t="str">
        <f>IF(COUNTIF('Top5'!I:I, G311) &gt; 0, "Yes", "No")</f>
        <v>No</v>
      </c>
      <c r="G311" t="str">
        <f t="shared" si="14"/>
        <v>14-01-2025 to 20-01-2025</v>
      </c>
    </row>
    <row r="312" spans="1:7">
      <c r="A312" s="1">
        <v>45671</v>
      </c>
      <c r="B312" s="6">
        <v>0.53749999999999998</v>
      </c>
      <c r="C312" t="s">
        <v>22</v>
      </c>
      <c r="D312" s="7">
        <f t="shared" si="12"/>
        <v>45671.537499999999</v>
      </c>
      <c r="E312" t="str">
        <f t="shared" si="13"/>
        <v>14-01-2025 to 20-01-2025</v>
      </c>
      <c r="F312" t="str">
        <f>IF(COUNTIF('Top5'!I:I, G312) &gt; 0, "Yes", "No")</f>
        <v>No</v>
      </c>
      <c r="G312" t="str">
        <f t="shared" si="14"/>
        <v>14-01-2025 to 20-01-2025</v>
      </c>
    </row>
    <row r="313" spans="1:7">
      <c r="A313" s="1">
        <v>45671</v>
      </c>
      <c r="B313" s="6">
        <v>0.62569444444444444</v>
      </c>
      <c r="C313" t="s">
        <v>22</v>
      </c>
      <c r="D313" s="7">
        <f t="shared" si="12"/>
        <v>45671.625694444447</v>
      </c>
      <c r="E313" t="str">
        <f t="shared" si="13"/>
        <v>14-01-2025 to 20-01-2025</v>
      </c>
      <c r="F313" t="str">
        <f>IF(COUNTIF('Top5'!I:I, G313) &gt; 0, "Yes", "No")</f>
        <v>No</v>
      </c>
      <c r="G313" t="str">
        <f t="shared" si="14"/>
        <v>14-01-2025 to 20-01-2025</v>
      </c>
    </row>
    <row r="314" spans="1:7">
      <c r="A314" s="1">
        <v>45671</v>
      </c>
      <c r="B314" s="6">
        <v>0.9868055555555556</v>
      </c>
      <c r="C314" t="s">
        <v>23</v>
      </c>
      <c r="D314" s="7">
        <f t="shared" si="12"/>
        <v>45671.986805555556</v>
      </c>
      <c r="E314" t="str">
        <f t="shared" si="13"/>
        <v>14-01-2025 to 20-01-2025</v>
      </c>
      <c r="F314" t="str">
        <f>IF(COUNTIF('Top5'!I:I, G314) &gt; 0, "Yes", "No")</f>
        <v>No</v>
      </c>
      <c r="G314" t="str">
        <f t="shared" si="14"/>
        <v>14-01-2025 to 20-01-2025</v>
      </c>
    </row>
    <row r="315" spans="1:7">
      <c r="A315" s="1">
        <v>45671</v>
      </c>
      <c r="B315" s="6">
        <v>0.98750000000000004</v>
      </c>
      <c r="C315" t="s">
        <v>23</v>
      </c>
      <c r="D315" s="7">
        <f t="shared" si="12"/>
        <v>45671.987500000003</v>
      </c>
      <c r="E315" t="str">
        <f t="shared" si="13"/>
        <v>14-01-2025 to 20-01-2025</v>
      </c>
      <c r="F315" t="str">
        <f>IF(COUNTIF('Top5'!I:I, G315) &gt; 0, "Yes", "No")</f>
        <v>No</v>
      </c>
      <c r="G315" t="str">
        <f t="shared" si="14"/>
        <v>14-01-2025 to 20-01-2025</v>
      </c>
    </row>
    <row r="316" spans="1:7">
      <c r="A316" s="1">
        <v>45672</v>
      </c>
      <c r="B316" s="6">
        <v>3.472222222222222E-3</v>
      </c>
      <c r="C316" t="s">
        <v>23</v>
      </c>
      <c r="D316" s="7">
        <f t="shared" si="12"/>
        <v>45672.003472222219</v>
      </c>
      <c r="E316" t="str">
        <f t="shared" si="13"/>
        <v>15-01-2025 to 21-01-2025</v>
      </c>
      <c r="F316" t="str">
        <f>IF(COUNTIF('Top5'!I:I, G316) &gt; 0, "Yes", "No")</f>
        <v>No</v>
      </c>
      <c r="G316" t="str">
        <f t="shared" si="14"/>
        <v>15-01-2025 to 21-01-2025</v>
      </c>
    </row>
    <row r="317" spans="1:7">
      <c r="A317" s="1">
        <v>45672</v>
      </c>
      <c r="B317" s="6">
        <v>6.2500000000000003E-3</v>
      </c>
      <c r="C317" t="s">
        <v>23</v>
      </c>
      <c r="D317" s="7">
        <f t="shared" si="12"/>
        <v>45672.006249999999</v>
      </c>
      <c r="E317" t="str">
        <f t="shared" si="13"/>
        <v>15-01-2025 to 21-01-2025</v>
      </c>
      <c r="F317" t="str">
        <f>IF(COUNTIF('Top5'!I:I, G317) &gt; 0, "Yes", "No")</f>
        <v>No</v>
      </c>
      <c r="G317" t="str">
        <f t="shared" si="14"/>
        <v>15-01-2025 to 21-01-2025</v>
      </c>
    </row>
    <row r="318" spans="1:7">
      <c r="A318" s="1">
        <v>45672</v>
      </c>
      <c r="B318" s="6">
        <v>1.8749999999999999E-2</v>
      </c>
      <c r="C318" t="s">
        <v>23</v>
      </c>
      <c r="D318" s="7">
        <f t="shared" si="12"/>
        <v>45672.018750000003</v>
      </c>
      <c r="E318" t="str">
        <f t="shared" si="13"/>
        <v>15-01-2025 to 21-01-2025</v>
      </c>
      <c r="F318" t="str">
        <f>IF(COUNTIF('Top5'!I:I, G318) &gt; 0, "Yes", "No")</f>
        <v>No</v>
      </c>
      <c r="G318" t="str">
        <f t="shared" si="14"/>
        <v>15-01-2025 to 21-01-2025</v>
      </c>
    </row>
    <row r="319" spans="1:7">
      <c r="A319" s="1">
        <v>45672</v>
      </c>
      <c r="B319" s="6">
        <v>1.8749999999999999E-2</v>
      </c>
      <c r="C319" t="s">
        <v>23</v>
      </c>
      <c r="D319" s="7">
        <f t="shared" si="12"/>
        <v>45672.018750000003</v>
      </c>
      <c r="E319" t="str">
        <f t="shared" si="13"/>
        <v>15-01-2025 to 21-01-2025</v>
      </c>
      <c r="F319" t="str">
        <f>IF(COUNTIF('Top5'!I:I, G319) &gt; 0, "Yes", "No")</f>
        <v>No</v>
      </c>
      <c r="G319" t="str">
        <f t="shared" si="14"/>
        <v>15-01-2025 to 21-01-2025</v>
      </c>
    </row>
    <row r="320" spans="1:7">
      <c r="A320" s="1">
        <v>45672</v>
      </c>
      <c r="B320" s="6">
        <v>1.8749999999999999E-2</v>
      </c>
      <c r="C320" t="s">
        <v>23</v>
      </c>
      <c r="D320" s="7">
        <f t="shared" si="12"/>
        <v>45672.018750000003</v>
      </c>
      <c r="E320" t="str">
        <f t="shared" si="13"/>
        <v>15-01-2025 to 21-01-2025</v>
      </c>
      <c r="F320" t="str">
        <f>IF(COUNTIF('Top5'!I:I, G320) &gt; 0, "Yes", "No")</f>
        <v>No</v>
      </c>
      <c r="G320" t="str">
        <f t="shared" si="14"/>
        <v>15-01-2025 to 21-01-2025</v>
      </c>
    </row>
    <row r="321" spans="1:7">
      <c r="A321" s="1">
        <v>45672</v>
      </c>
      <c r="B321" s="6">
        <v>1.8749999999999999E-2</v>
      </c>
      <c r="C321" t="s">
        <v>23</v>
      </c>
      <c r="D321" s="7">
        <f t="shared" si="12"/>
        <v>45672.018750000003</v>
      </c>
      <c r="E321" t="str">
        <f t="shared" si="13"/>
        <v>15-01-2025 to 21-01-2025</v>
      </c>
      <c r="F321" t="str">
        <f>IF(COUNTIF('Top5'!I:I, G321) &gt; 0, "Yes", "No")</f>
        <v>No</v>
      </c>
      <c r="G321" t="str">
        <f t="shared" si="14"/>
        <v>15-01-2025 to 21-01-2025</v>
      </c>
    </row>
    <row r="322" spans="1:7">
      <c r="A322" s="1">
        <v>45672</v>
      </c>
      <c r="B322" s="6">
        <v>1.8749999999999999E-2</v>
      </c>
      <c r="C322" t="s">
        <v>23</v>
      </c>
      <c r="D322" s="7">
        <f t="shared" si="12"/>
        <v>45672.018750000003</v>
      </c>
      <c r="E322" t="str">
        <f t="shared" si="13"/>
        <v>15-01-2025 to 21-01-2025</v>
      </c>
      <c r="F322" t="str">
        <f>IF(COUNTIF('Top5'!I:I, G322) &gt; 0, "Yes", "No")</f>
        <v>No</v>
      </c>
      <c r="G322" t="str">
        <f t="shared" si="14"/>
        <v>15-01-2025 to 21-01-2025</v>
      </c>
    </row>
    <row r="323" spans="1:7">
      <c r="A323" s="1">
        <v>45672</v>
      </c>
      <c r="B323" s="6">
        <v>1.8749999999999999E-2</v>
      </c>
      <c r="C323" t="s">
        <v>23</v>
      </c>
      <c r="D323" s="7">
        <f t="shared" ref="D323:D386" si="15">VALUE(A323) + VALUE(B323)</f>
        <v>45672.018750000003</v>
      </c>
      <c r="E323" t="str">
        <f t="shared" ref="E323:E386" si="16">TEXT(D323, "dd-mm-yyyy") &amp; " to " &amp; TEXT(D323+6, "dd-mm-yyyy")</f>
        <v>15-01-2025 to 21-01-2025</v>
      </c>
      <c r="F323" t="str">
        <f>IF(COUNTIF('Top5'!I:I, G323) &gt; 0, "Yes", "No")</f>
        <v>No</v>
      </c>
      <c r="G323" t="str">
        <f t="shared" ref="G323:G386" si="17">TRIM(E323)</f>
        <v>15-01-2025 to 21-01-2025</v>
      </c>
    </row>
    <row r="324" spans="1:7">
      <c r="A324" s="1">
        <v>45672</v>
      </c>
      <c r="B324" s="6">
        <v>1.8749999999999999E-2</v>
      </c>
      <c r="C324" t="s">
        <v>23</v>
      </c>
      <c r="D324" s="7">
        <f t="shared" si="15"/>
        <v>45672.018750000003</v>
      </c>
      <c r="E324" t="str">
        <f t="shared" si="16"/>
        <v>15-01-2025 to 21-01-2025</v>
      </c>
      <c r="F324" t="str">
        <f>IF(COUNTIF('Top5'!I:I, G324) &gt; 0, "Yes", "No")</f>
        <v>No</v>
      </c>
      <c r="G324" t="str">
        <f t="shared" si="17"/>
        <v>15-01-2025 to 21-01-2025</v>
      </c>
    </row>
    <row r="325" spans="1:7">
      <c r="A325" s="1">
        <v>45672</v>
      </c>
      <c r="B325" s="6">
        <v>1.8749999999999999E-2</v>
      </c>
      <c r="C325" t="s">
        <v>23</v>
      </c>
      <c r="D325" s="7">
        <f t="shared" si="15"/>
        <v>45672.018750000003</v>
      </c>
      <c r="E325" t="str">
        <f t="shared" si="16"/>
        <v>15-01-2025 to 21-01-2025</v>
      </c>
      <c r="F325" t="str">
        <f>IF(COUNTIF('Top5'!I:I, G325) &gt; 0, "Yes", "No")</f>
        <v>No</v>
      </c>
      <c r="G325" t="str">
        <f t="shared" si="17"/>
        <v>15-01-2025 to 21-01-2025</v>
      </c>
    </row>
    <row r="326" spans="1:7">
      <c r="A326" s="1">
        <v>45672</v>
      </c>
      <c r="B326" s="6">
        <v>1.8749999999999999E-2</v>
      </c>
      <c r="C326" t="s">
        <v>23</v>
      </c>
      <c r="D326" s="7">
        <f t="shared" si="15"/>
        <v>45672.018750000003</v>
      </c>
      <c r="E326" t="str">
        <f t="shared" si="16"/>
        <v>15-01-2025 to 21-01-2025</v>
      </c>
      <c r="F326" t="str">
        <f>IF(COUNTIF('Top5'!I:I, G326) &gt; 0, "Yes", "No")</f>
        <v>No</v>
      </c>
      <c r="G326" t="str">
        <f t="shared" si="17"/>
        <v>15-01-2025 to 21-01-2025</v>
      </c>
    </row>
    <row r="327" spans="1:7">
      <c r="A327" s="1">
        <v>45672</v>
      </c>
      <c r="B327" s="6">
        <v>0.51458333333333328</v>
      </c>
      <c r="C327" t="s">
        <v>22</v>
      </c>
      <c r="D327" s="7">
        <f t="shared" si="15"/>
        <v>45672.51458333333</v>
      </c>
      <c r="E327" t="str">
        <f t="shared" si="16"/>
        <v>15-01-2025 to 21-01-2025</v>
      </c>
      <c r="F327" t="str">
        <f>IF(COUNTIF('Top5'!I:I, G327) &gt; 0, "Yes", "No")</f>
        <v>No</v>
      </c>
      <c r="G327" t="str">
        <f t="shared" si="17"/>
        <v>15-01-2025 to 21-01-2025</v>
      </c>
    </row>
    <row r="328" spans="1:7">
      <c r="A328" s="1">
        <v>45672</v>
      </c>
      <c r="B328" s="6">
        <v>0.52569444444444446</v>
      </c>
      <c r="C328" t="s">
        <v>22</v>
      </c>
      <c r="D328" s="7">
        <f t="shared" si="15"/>
        <v>45672.525694444441</v>
      </c>
      <c r="E328" t="str">
        <f t="shared" si="16"/>
        <v>15-01-2025 to 21-01-2025</v>
      </c>
      <c r="F328" t="str">
        <f>IF(COUNTIF('Top5'!I:I, G328) &gt; 0, "Yes", "No")</f>
        <v>No</v>
      </c>
      <c r="G328" t="str">
        <f t="shared" si="17"/>
        <v>15-01-2025 to 21-01-2025</v>
      </c>
    </row>
    <row r="329" spans="1:7">
      <c r="A329" s="1">
        <v>45672</v>
      </c>
      <c r="B329" s="6">
        <v>0.93055555555555558</v>
      </c>
      <c r="C329" t="s">
        <v>23</v>
      </c>
      <c r="D329" s="7">
        <f t="shared" si="15"/>
        <v>45672.930555555555</v>
      </c>
      <c r="E329" t="str">
        <f t="shared" si="16"/>
        <v>15-01-2025 to 21-01-2025</v>
      </c>
      <c r="F329" t="str">
        <f>IF(COUNTIF('Top5'!I:I, G329) &gt; 0, "Yes", "No")</f>
        <v>No</v>
      </c>
      <c r="G329" t="str">
        <f t="shared" si="17"/>
        <v>15-01-2025 to 21-01-2025</v>
      </c>
    </row>
    <row r="330" spans="1:7">
      <c r="A330" s="1">
        <v>45672</v>
      </c>
      <c r="B330" s="6">
        <v>0.93055555555555558</v>
      </c>
      <c r="C330" t="s">
        <v>23</v>
      </c>
      <c r="D330" s="7">
        <f t="shared" si="15"/>
        <v>45672.930555555555</v>
      </c>
      <c r="E330" t="str">
        <f t="shared" si="16"/>
        <v>15-01-2025 to 21-01-2025</v>
      </c>
      <c r="F330" t="str">
        <f>IF(COUNTIF('Top5'!I:I, G330) &gt; 0, "Yes", "No")</f>
        <v>No</v>
      </c>
      <c r="G330" t="str">
        <f t="shared" si="17"/>
        <v>15-01-2025 to 21-01-2025</v>
      </c>
    </row>
    <row r="331" spans="1:7">
      <c r="A331" s="1">
        <v>45672</v>
      </c>
      <c r="B331" s="6">
        <v>0.93194444444444446</v>
      </c>
      <c r="C331" t="s">
        <v>23</v>
      </c>
      <c r="D331" s="7">
        <f t="shared" si="15"/>
        <v>45672.931944444441</v>
      </c>
      <c r="E331" t="str">
        <f t="shared" si="16"/>
        <v>15-01-2025 to 21-01-2025</v>
      </c>
      <c r="F331" t="str">
        <f>IF(COUNTIF('Top5'!I:I, G331) &gt; 0, "Yes", "No")</f>
        <v>No</v>
      </c>
      <c r="G331" t="str">
        <f t="shared" si="17"/>
        <v>15-01-2025 to 21-01-2025</v>
      </c>
    </row>
    <row r="332" spans="1:7">
      <c r="A332" s="1">
        <v>45672</v>
      </c>
      <c r="B332" s="6">
        <v>0.93263888888888891</v>
      </c>
      <c r="C332" t="s">
        <v>23</v>
      </c>
      <c r="D332" s="7">
        <f t="shared" si="15"/>
        <v>45672.932638888888</v>
      </c>
      <c r="E332" t="str">
        <f t="shared" si="16"/>
        <v>15-01-2025 to 21-01-2025</v>
      </c>
      <c r="F332" t="str">
        <f>IF(COUNTIF('Top5'!I:I, G332) &gt; 0, "Yes", "No")</f>
        <v>No</v>
      </c>
      <c r="G332" t="str">
        <f t="shared" si="17"/>
        <v>15-01-2025 to 21-01-2025</v>
      </c>
    </row>
    <row r="333" spans="1:7">
      <c r="A333" s="1">
        <v>45673</v>
      </c>
      <c r="B333" s="6">
        <v>0.57361111111111107</v>
      </c>
      <c r="C333" t="s">
        <v>22</v>
      </c>
      <c r="D333" s="7">
        <f t="shared" si="15"/>
        <v>45673.573611111111</v>
      </c>
      <c r="E333" t="str">
        <f t="shared" si="16"/>
        <v>16-01-2025 to 22-01-2025</v>
      </c>
      <c r="F333" t="str">
        <f>IF(COUNTIF('Top5'!I:I, G333) &gt; 0, "Yes", "No")</f>
        <v>No</v>
      </c>
      <c r="G333" t="str">
        <f t="shared" si="17"/>
        <v>16-01-2025 to 22-01-2025</v>
      </c>
    </row>
    <row r="334" spans="1:7">
      <c r="A334" s="1">
        <v>45673</v>
      </c>
      <c r="B334" s="6">
        <v>0.72222222222222221</v>
      </c>
      <c r="C334" t="s">
        <v>23</v>
      </c>
      <c r="D334" s="7">
        <f t="shared" si="15"/>
        <v>45673.722222222219</v>
      </c>
      <c r="E334" t="str">
        <f t="shared" si="16"/>
        <v>16-01-2025 to 22-01-2025</v>
      </c>
      <c r="F334" t="str">
        <f>IF(COUNTIF('Top5'!I:I, G334) &gt; 0, "Yes", "No")</f>
        <v>No</v>
      </c>
      <c r="G334" t="str">
        <f t="shared" si="17"/>
        <v>16-01-2025 to 22-01-2025</v>
      </c>
    </row>
    <row r="335" spans="1:7">
      <c r="A335" s="1">
        <v>45673</v>
      </c>
      <c r="B335" s="6">
        <v>0.72222222222222221</v>
      </c>
      <c r="C335" t="s">
        <v>23</v>
      </c>
      <c r="D335" s="7">
        <f t="shared" si="15"/>
        <v>45673.722222222219</v>
      </c>
      <c r="E335" t="str">
        <f t="shared" si="16"/>
        <v>16-01-2025 to 22-01-2025</v>
      </c>
      <c r="F335" t="str">
        <f>IF(COUNTIF('Top5'!I:I, G335) &gt; 0, "Yes", "No")</f>
        <v>No</v>
      </c>
      <c r="G335" t="str">
        <f t="shared" si="17"/>
        <v>16-01-2025 to 22-01-2025</v>
      </c>
    </row>
    <row r="336" spans="1:7">
      <c r="A336" s="1">
        <v>45673</v>
      </c>
      <c r="B336" s="6">
        <v>0.8</v>
      </c>
      <c r="C336" t="s">
        <v>23</v>
      </c>
      <c r="D336" s="7">
        <f t="shared" si="15"/>
        <v>45673.8</v>
      </c>
      <c r="E336" t="str">
        <f t="shared" si="16"/>
        <v>16-01-2025 to 22-01-2025</v>
      </c>
      <c r="F336" t="str">
        <f>IF(COUNTIF('Top5'!I:I, G336) &gt; 0, "Yes", "No")</f>
        <v>No</v>
      </c>
      <c r="G336" t="str">
        <f t="shared" si="17"/>
        <v>16-01-2025 to 22-01-2025</v>
      </c>
    </row>
    <row r="337" spans="1:7">
      <c r="A337" s="1">
        <v>45674</v>
      </c>
      <c r="B337" s="6">
        <v>0.78541666666666665</v>
      </c>
      <c r="C337" t="s">
        <v>23</v>
      </c>
      <c r="D337" s="7">
        <f t="shared" si="15"/>
        <v>45674.785416666666</v>
      </c>
      <c r="E337" t="str">
        <f t="shared" si="16"/>
        <v>17-01-2025 to 23-01-2025</v>
      </c>
      <c r="F337" t="str">
        <f>IF(COUNTIF('Top5'!I:I, G337) &gt; 0, "Yes", "No")</f>
        <v>No</v>
      </c>
      <c r="G337" t="str">
        <f t="shared" si="17"/>
        <v>17-01-2025 to 23-01-2025</v>
      </c>
    </row>
    <row r="338" spans="1:7">
      <c r="A338" s="1">
        <v>45674</v>
      </c>
      <c r="B338" s="6">
        <v>0.92500000000000004</v>
      </c>
      <c r="C338" t="s">
        <v>23</v>
      </c>
      <c r="D338" s="7">
        <f t="shared" si="15"/>
        <v>45674.925000000003</v>
      </c>
      <c r="E338" t="str">
        <f t="shared" si="16"/>
        <v>17-01-2025 to 23-01-2025</v>
      </c>
      <c r="F338" t="str">
        <f>IF(COUNTIF('Top5'!I:I, G338) &gt; 0, "Yes", "No")</f>
        <v>No</v>
      </c>
      <c r="G338" t="str">
        <f t="shared" si="17"/>
        <v>17-01-2025 to 23-01-2025</v>
      </c>
    </row>
    <row r="339" spans="1:7">
      <c r="A339" s="1">
        <v>45675</v>
      </c>
      <c r="B339" s="6">
        <v>0.5756944444444444</v>
      </c>
      <c r="C339" t="s">
        <v>22</v>
      </c>
      <c r="D339" s="7">
        <f t="shared" si="15"/>
        <v>45675.575694444444</v>
      </c>
      <c r="E339" t="str">
        <f t="shared" si="16"/>
        <v>18-01-2025 to 24-01-2025</v>
      </c>
      <c r="F339" t="str">
        <f>IF(COUNTIF('Top5'!I:I, G339) &gt; 0, "Yes", "No")</f>
        <v>No</v>
      </c>
      <c r="G339" t="str">
        <f t="shared" si="17"/>
        <v>18-01-2025 to 24-01-2025</v>
      </c>
    </row>
    <row r="340" spans="1:7">
      <c r="A340" s="1">
        <v>45675</v>
      </c>
      <c r="B340" s="6">
        <v>0.5756944444444444</v>
      </c>
      <c r="C340" t="s">
        <v>22</v>
      </c>
      <c r="D340" s="7">
        <f t="shared" si="15"/>
        <v>45675.575694444444</v>
      </c>
      <c r="E340" t="str">
        <f t="shared" si="16"/>
        <v>18-01-2025 to 24-01-2025</v>
      </c>
      <c r="F340" t="str">
        <f>IF(COUNTIF('Top5'!I:I, G340) &gt; 0, "Yes", "No")</f>
        <v>No</v>
      </c>
      <c r="G340" t="str">
        <f t="shared" si="17"/>
        <v>18-01-2025 to 24-01-2025</v>
      </c>
    </row>
    <row r="341" spans="1:7">
      <c r="A341" s="1">
        <v>45675</v>
      </c>
      <c r="B341" s="6">
        <v>0.57777777777777772</v>
      </c>
      <c r="C341" t="s">
        <v>22</v>
      </c>
      <c r="D341" s="7">
        <f t="shared" si="15"/>
        <v>45675.577777777777</v>
      </c>
      <c r="E341" t="str">
        <f t="shared" si="16"/>
        <v>18-01-2025 to 24-01-2025</v>
      </c>
      <c r="F341" t="str">
        <f>IF(COUNTIF('Top5'!I:I, G341) &gt; 0, "Yes", "No")</f>
        <v>No</v>
      </c>
      <c r="G341" t="str">
        <f t="shared" si="17"/>
        <v>18-01-2025 to 24-01-2025</v>
      </c>
    </row>
    <row r="342" spans="1:7">
      <c r="A342" s="1">
        <v>45675</v>
      </c>
      <c r="B342" s="6">
        <v>0.77152777777777781</v>
      </c>
      <c r="C342" t="s">
        <v>23</v>
      </c>
      <c r="D342" s="7">
        <f t="shared" si="15"/>
        <v>45675.771527777775</v>
      </c>
      <c r="E342" t="str">
        <f t="shared" si="16"/>
        <v>18-01-2025 to 24-01-2025</v>
      </c>
      <c r="F342" t="str">
        <f>IF(COUNTIF('Top5'!I:I, G342) &gt; 0, "Yes", "No")</f>
        <v>No</v>
      </c>
      <c r="G342" t="str">
        <f t="shared" si="17"/>
        <v>18-01-2025 to 24-01-2025</v>
      </c>
    </row>
    <row r="343" spans="1:7">
      <c r="A343" s="1">
        <v>45675</v>
      </c>
      <c r="B343" s="6">
        <v>0.84097222222222223</v>
      </c>
      <c r="C343" t="s">
        <v>23</v>
      </c>
      <c r="D343" s="7">
        <f t="shared" si="15"/>
        <v>45675.84097222222</v>
      </c>
      <c r="E343" t="str">
        <f t="shared" si="16"/>
        <v>18-01-2025 to 24-01-2025</v>
      </c>
      <c r="F343" t="str">
        <f>IF(COUNTIF('Top5'!I:I, G343) &gt; 0, "Yes", "No")</f>
        <v>No</v>
      </c>
      <c r="G343" t="str">
        <f t="shared" si="17"/>
        <v>18-01-2025 to 24-01-2025</v>
      </c>
    </row>
    <row r="344" spans="1:7">
      <c r="A344" s="1">
        <v>45675</v>
      </c>
      <c r="B344" s="6">
        <v>0.84583333333333333</v>
      </c>
      <c r="C344" t="s">
        <v>23</v>
      </c>
      <c r="D344" s="7">
        <f t="shared" si="15"/>
        <v>45675.845833333333</v>
      </c>
      <c r="E344" t="str">
        <f t="shared" si="16"/>
        <v>18-01-2025 to 24-01-2025</v>
      </c>
      <c r="F344" t="str">
        <f>IF(COUNTIF('Top5'!I:I, G344) &gt; 0, "Yes", "No")</f>
        <v>No</v>
      </c>
      <c r="G344" t="str">
        <f t="shared" si="17"/>
        <v>18-01-2025 to 24-01-2025</v>
      </c>
    </row>
    <row r="345" spans="1:7">
      <c r="A345" s="1">
        <v>45675</v>
      </c>
      <c r="B345" s="6">
        <v>0.84791666666666665</v>
      </c>
      <c r="C345" t="s">
        <v>23</v>
      </c>
      <c r="D345" s="7">
        <f t="shared" si="15"/>
        <v>45675.847916666666</v>
      </c>
      <c r="E345" t="str">
        <f t="shared" si="16"/>
        <v>18-01-2025 to 24-01-2025</v>
      </c>
      <c r="F345" t="str">
        <f>IF(COUNTIF('Top5'!I:I, G345) &gt; 0, "Yes", "No")</f>
        <v>No</v>
      </c>
      <c r="G345" t="str">
        <f t="shared" si="17"/>
        <v>18-01-2025 to 24-01-2025</v>
      </c>
    </row>
    <row r="346" spans="1:7">
      <c r="A346" s="1">
        <v>45675</v>
      </c>
      <c r="B346" s="6">
        <v>0.84861111111111109</v>
      </c>
      <c r="C346" t="s">
        <v>23</v>
      </c>
      <c r="D346" s="7">
        <f t="shared" si="15"/>
        <v>45675.848611111112</v>
      </c>
      <c r="E346" t="str">
        <f t="shared" si="16"/>
        <v>18-01-2025 to 24-01-2025</v>
      </c>
      <c r="F346" t="str">
        <f>IF(COUNTIF('Top5'!I:I, G346) &gt; 0, "Yes", "No")</f>
        <v>No</v>
      </c>
      <c r="G346" t="str">
        <f t="shared" si="17"/>
        <v>18-01-2025 to 24-01-2025</v>
      </c>
    </row>
    <row r="347" spans="1:7">
      <c r="A347" s="1">
        <v>45675</v>
      </c>
      <c r="B347" s="6">
        <v>0.93819444444444444</v>
      </c>
      <c r="C347" t="s">
        <v>23</v>
      </c>
      <c r="D347" s="7">
        <f t="shared" si="15"/>
        <v>45675.938194444447</v>
      </c>
      <c r="E347" t="str">
        <f t="shared" si="16"/>
        <v>18-01-2025 to 24-01-2025</v>
      </c>
      <c r="F347" t="str">
        <f>IF(COUNTIF('Top5'!I:I, G347) &gt; 0, "Yes", "No")</f>
        <v>No</v>
      </c>
      <c r="G347" t="str">
        <f t="shared" si="17"/>
        <v>18-01-2025 to 24-01-2025</v>
      </c>
    </row>
    <row r="348" spans="1:7">
      <c r="A348" s="1">
        <v>45676</v>
      </c>
      <c r="B348" s="6">
        <v>1.0416666666666666E-2</v>
      </c>
      <c r="C348" t="s">
        <v>23</v>
      </c>
      <c r="D348" s="7">
        <f t="shared" si="15"/>
        <v>45676.010416666664</v>
      </c>
      <c r="E348" t="str">
        <f t="shared" si="16"/>
        <v>19-01-2025 to 25-01-2025</v>
      </c>
      <c r="F348" t="str">
        <f>IF(COUNTIF('Top5'!I:I, G348) &gt; 0, "Yes", "No")</f>
        <v>No</v>
      </c>
      <c r="G348" t="str">
        <f t="shared" si="17"/>
        <v>19-01-2025 to 25-01-2025</v>
      </c>
    </row>
    <row r="349" spans="1:7">
      <c r="A349" s="1">
        <v>45676</v>
      </c>
      <c r="B349" s="6">
        <v>1.0416666666666666E-2</v>
      </c>
      <c r="C349" t="s">
        <v>23</v>
      </c>
      <c r="D349" s="7">
        <f t="shared" si="15"/>
        <v>45676.010416666664</v>
      </c>
      <c r="E349" t="str">
        <f t="shared" si="16"/>
        <v>19-01-2025 to 25-01-2025</v>
      </c>
      <c r="F349" t="str">
        <f>IF(COUNTIF('Top5'!I:I, G349) &gt; 0, "Yes", "No")</f>
        <v>No</v>
      </c>
      <c r="G349" t="str">
        <f t="shared" si="17"/>
        <v>19-01-2025 to 25-01-2025</v>
      </c>
    </row>
    <row r="350" spans="1:7">
      <c r="A350" s="1">
        <v>45676</v>
      </c>
      <c r="B350" s="6">
        <v>1.0416666666666666E-2</v>
      </c>
      <c r="C350" t="s">
        <v>23</v>
      </c>
      <c r="D350" s="7">
        <f t="shared" si="15"/>
        <v>45676.010416666664</v>
      </c>
      <c r="E350" t="str">
        <f t="shared" si="16"/>
        <v>19-01-2025 to 25-01-2025</v>
      </c>
      <c r="F350" t="str">
        <f>IF(COUNTIF('Top5'!I:I, G350) &gt; 0, "Yes", "No")</f>
        <v>No</v>
      </c>
      <c r="G350" t="str">
        <f t="shared" si="17"/>
        <v>19-01-2025 to 25-01-2025</v>
      </c>
    </row>
    <row r="351" spans="1:7">
      <c r="A351" s="1">
        <v>45676</v>
      </c>
      <c r="B351" s="6">
        <v>1.0416666666666666E-2</v>
      </c>
      <c r="C351" t="s">
        <v>23</v>
      </c>
      <c r="D351" s="7">
        <f t="shared" si="15"/>
        <v>45676.010416666664</v>
      </c>
      <c r="E351" t="str">
        <f t="shared" si="16"/>
        <v>19-01-2025 to 25-01-2025</v>
      </c>
      <c r="F351" t="str">
        <f>IF(COUNTIF('Top5'!I:I, G351) &gt; 0, "Yes", "No")</f>
        <v>No</v>
      </c>
      <c r="G351" t="str">
        <f t="shared" si="17"/>
        <v>19-01-2025 to 25-01-2025</v>
      </c>
    </row>
    <row r="352" spans="1:7">
      <c r="A352" s="1">
        <v>45676</v>
      </c>
      <c r="B352" s="6">
        <v>1.3888888888888888E-2</v>
      </c>
      <c r="C352" t="s">
        <v>23</v>
      </c>
      <c r="D352" s="7">
        <f t="shared" si="15"/>
        <v>45676.013888888891</v>
      </c>
      <c r="E352" t="str">
        <f t="shared" si="16"/>
        <v>19-01-2025 to 25-01-2025</v>
      </c>
      <c r="F352" t="str">
        <f>IF(COUNTIF('Top5'!I:I, G352) &gt; 0, "Yes", "No")</f>
        <v>No</v>
      </c>
      <c r="G352" t="str">
        <f t="shared" si="17"/>
        <v>19-01-2025 to 25-01-2025</v>
      </c>
    </row>
    <row r="353" spans="1:7">
      <c r="A353" s="1">
        <v>45676</v>
      </c>
      <c r="B353" s="6">
        <v>1.5277777777777777E-2</v>
      </c>
      <c r="C353" t="s">
        <v>23</v>
      </c>
      <c r="D353" s="7">
        <f t="shared" si="15"/>
        <v>45676.015277777777</v>
      </c>
      <c r="E353" t="str">
        <f t="shared" si="16"/>
        <v>19-01-2025 to 25-01-2025</v>
      </c>
      <c r="F353" t="str">
        <f>IF(COUNTIF('Top5'!I:I, G353) &gt; 0, "Yes", "No")</f>
        <v>No</v>
      </c>
      <c r="G353" t="str">
        <f t="shared" si="17"/>
        <v>19-01-2025 to 25-01-2025</v>
      </c>
    </row>
    <row r="354" spans="1:7">
      <c r="A354" s="1">
        <v>45676</v>
      </c>
      <c r="B354" s="6">
        <v>0.67083333333333328</v>
      </c>
      <c r="C354" t="s">
        <v>22</v>
      </c>
      <c r="D354" s="7">
        <f t="shared" si="15"/>
        <v>45676.67083333333</v>
      </c>
      <c r="E354" t="str">
        <f t="shared" si="16"/>
        <v>19-01-2025 to 25-01-2025</v>
      </c>
      <c r="F354" t="str">
        <f>IF(COUNTIF('Top5'!I:I, G354) &gt; 0, "Yes", "No")</f>
        <v>No</v>
      </c>
      <c r="G354" t="str">
        <f t="shared" si="17"/>
        <v>19-01-2025 to 25-01-2025</v>
      </c>
    </row>
    <row r="355" spans="1:7">
      <c r="A355" s="1">
        <v>45676</v>
      </c>
      <c r="B355" s="6">
        <v>0.75277777777777777</v>
      </c>
      <c r="C355" t="s">
        <v>23</v>
      </c>
      <c r="D355" s="7">
        <f t="shared" si="15"/>
        <v>45676.75277777778</v>
      </c>
      <c r="E355" t="str">
        <f t="shared" si="16"/>
        <v>19-01-2025 to 25-01-2025</v>
      </c>
      <c r="F355" t="str">
        <f>IF(COUNTIF('Top5'!I:I, G355) &gt; 0, "Yes", "No")</f>
        <v>No</v>
      </c>
      <c r="G355" t="str">
        <f t="shared" si="17"/>
        <v>19-01-2025 to 25-01-2025</v>
      </c>
    </row>
    <row r="356" spans="1:7">
      <c r="A356" s="1">
        <v>45678</v>
      </c>
      <c r="B356" s="6">
        <v>0.48958333333333331</v>
      </c>
      <c r="C356" t="s">
        <v>22</v>
      </c>
      <c r="D356" s="7">
        <f t="shared" si="15"/>
        <v>45678.489583333336</v>
      </c>
      <c r="E356" t="str">
        <f t="shared" si="16"/>
        <v>21-01-2025 to 27-01-2025</v>
      </c>
      <c r="F356" t="str">
        <f>IF(COUNTIF('Top5'!I:I, G356) &gt; 0, "Yes", "No")</f>
        <v>No</v>
      </c>
      <c r="G356" t="str">
        <f t="shared" si="17"/>
        <v>21-01-2025 to 27-01-2025</v>
      </c>
    </row>
    <row r="357" spans="1:7">
      <c r="A357" s="1">
        <v>45681</v>
      </c>
      <c r="B357" s="6">
        <v>0.77013888888888893</v>
      </c>
      <c r="C357" t="s">
        <v>23</v>
      </c>
      <c r="D357" s="7">
        <f t="shared" si="15"/>
        <v>45681.770138888889</v>
      </c>
      <c r="E357" t="str">
        <f t="shared" si="16"/>
        <v>24-01-2025 to 30-01-2025</v>
      </c>
      <c r="F357" t="str">
        <f>IF(COUNTIF('Top5'!I:I, G357) &gt; 0, "Yes", "No")</f>
        <v>No</v>
      </c>
      <c r="G357" t="str">
        <f t="shared" si="17"/>
        <v>24-01-2025 to 30-01-2025</v>
      </c>
    </row>
    <row r="358" spans="1:7">
      <c r="A358" s="1">
        <v>45683</v>
      </c>
      <c r="B358" s="6">
        <v>0.46388888888888891</v>
      </c>
      <c r="C358" t="s">
        <v>22</v>
      </c>
      <c r="D358" s="7">
        <f t="shared" si="15"/>
        <v>45683.463888888888</v>
      </c>
      <c r="E358" t="str">
        <f t="shared" si="16"/>
        <v>26-01-2025 to 01-02-2025</v>
      </c>
      <c r="F358" t="str">
        <f>IF(COUNTIF('Top5'!I:I, G358) &gt; 0, "Yes", "No")</f>
        <v>No</v>
      </c>
      <c r="G358" t="str">
        <f t="shared" si="17"/>
        <v>26-01-2025 to 01-02-2025</v>
      </c>
    </row>
    <row r="359" spans="1:7">
      <c r="A359" s="1">
        <v>45683</v>
      </c>
      <c r="B359" s="6">
        <v>0.46875</v>
      </c>
      <c r="C359" t="s">
        <v>22</v>
      </c>
      <c r="D359" s="7">
        <f t="shared" si="15"/>
        <v>45683.46875</v>
      </c>
      <c r="E359" t="str">
        <f t="shared" si="16"/>
        <v>26-01-2025 to 01-02-2025</v>
      </c>
      <c r="F359" t="str">
        <f>IF(COUNTIF('Top5'!I:I, G359) &gt; 0, "Yes", "No")</f>
        <v>No</v>
      </c>
      <c r="G359" t="str">
        <f t="shared" si="17"/>
        <v>26-01-2025 to 01-02-2025</v>
      </c>
    </row>
    <row r="360" spans="1:7">
      <c r="A360" s="1">
        <v>45683</v>
      </c>
      <c r="B360" s="6">
        <v>0.98541666666666672</v>
      </c>
      <c r="C360" t="s">
        <v>23</v>
      </c>
      <c r="D360" s="7">
        <f t="shared" si="15"/>
        <v>45683.98541666667</v>
      </c>
      <c r="E360" t="str">
        <f t="shared" si="16"/>
        <v>26-01-2025 to 01-02-2025</v>
      </c>
      <c r="F360" t="str">
        <f>IF(COUNTIF('Top5'!I:I, G360) &gt; 0, "Yes", "No")</f>
        <v>No</v>
      </c>
      <c r="G360" t="str">
        <f t="shared" si="17"/>
        <v>26-01-2025 to 01-02-2025</v>
      </c>
    </row>
    <row r="361" spans="1:7">
      <c r="A361" s="1">
        <v>45683</v>
      </c>
      <c r="B361" s="6">
        <v>0.98611111111111116</v>
      </c>
      <c r="C361" t="s">
        <v>23</v>
      </c>
      <c r="D361" s="7">
        <f t="shared" si="15"/>
        <v>45683.986111111109</v>
      </c>
      <c r="E361" t="str">
        <f t="shared" si="16"/>
        <v>26-01-2025 to 01-02-2025</v>
      </c>
      <c r="F361" t="str">
        <f>IF(COUNTIF('Top5'!I:I, G361) &gt; 0, "Yes", "No")</f>
        <v>No</v>
      </c>
      <c r="G361" t="str">
        <f t="shared" si="17"/>
        <v>26-01-2025 to 01-02-2025</v>
      </c>
    </row>
    <row r="362" spans="1:7">
      <c r="A362" s="1">
        <v>45684</v>
      </c>
      <c r="B362" s="6">
        <v>2.0833333333333333E-3</v>
      </c>
      <c r="C362" t="s">
        <v>23</v>
      </c>
      <c r="D362" s="7">
        <f t="shared" si="15"/>
        <v>45684.002083333333</v>
      </c>
      <c r="E362" t="str">
        <f t="shared" si="16"/>
        <v>27-01-2025 to 02-02-2025</v>
      </c>
      <c r="F362" t="str">
        <f>IF(COUNTIF('Top5'!I:I, G362) &gt; 0, "Yes", "No")</f>
        <v>No</v>
      </c>
      <c r="G362" t="str">
        <f t="shared" si="17"/>
        <v>27-01-2025 to 02-02-2025</v>
      </c>
    </row>
    <row r="363" spans="1:7">
      <c r="A363" s="1">
        <v>45684</v>
      </c>
      <c r="B363" s="6">
        <v>2.7777777777777779E-3</v>
      </c>
      <c r="C363" t="s">
        <v>23</v>
      </c>
      <c r="D363" s="7">
        <f t="shared" si="15"/>
        <v>45684.00277777778</v>
      </c>
      <c r="E363" t="str">
        <f t="shared" si="16"/>
        <v>27-01-2025 to 02-02-2025</v>
      </c>
      <c r="F363" t="str">
        <f>IF(COUNTIF('Top5'!I:I, G363) &gt; 0, "Yes", "No")</f>
        <v>No</v>
      </c>
      <c r="G363" t="str">
        <f t="shared" si="17"/>
        <v>27-01-2025 to 02-02-2025</v>
      </c>
    </row>
    <row r="364" spans="1:7">
      <c r="A364" s="1">
        <v>45685</v>
      </c>
      <c r="B364" s="6">
        <v>0.53263888888888888</v>
      </c>
      <c r="C364" t="s">
        <v>22</v>
      </c>
      <c r="D364" s="7">
        <f t="shared" si="15"/>
        <v>45685.532638888886</v>
      </c>
      <c r="E364" t="str">
        <f t="shared" si="16"/>
        <v>28-01-2025 to 03-02-2025</v>
      </c>
      <c r="F364" t="str">
        <f>IF(COUNTIF('Top5'!I:I, G364) &gt; 0, "Yes", "No")</f>
        <v>No</v>
      </c>
      <c r="G364" t="str">
        <f t="shared" si="17"/>
        <v>28-01-2025 to 03-02-2025</v>
      </c>
    </row>
    <row r="365" spans="1:7">
      <c r="A365" s="1">
        <v>45686</v>
      </c>
      <c r="B365" s="6">
        <v>7.6388888888888886E-3</v>
      </c>
      <c r="C365" t="s">
        <v>23</v>
      </c>
      <c r="D365" s="7">
        <f t="shared" si="15"/>
        <v>45686.007638888892</v>
      </c>
      <c r="E365" t="str">
        <f t="shared" si="16"/>
        <v>29-01-2025 to 04-02-2025</v>
      </c>
      <c r="F365" t="str">
        <f>IF(COUNTIF('Top5'!I:I, G365) &gt; 0, "Yes", "No")</f>
        <v>No</v>
      </c>
      <c r="G365" t="str">
        <f t="shared" si="17"/>
        <v>29-01-2025 to 04-02-2025</v>
      </c>
    </row>
    <row r="366" spans="1:7">
      <c r="A366" s="1">
        <v>45686</v>
      </c>
      <c r="B366" s="6">
        <v>7.6388888888888886E-3</v>
      </c>
      <c r="C366" t="s">
        <v>23</v>
      </c>
      <c r="D366" s="7">
        <f t="shared" si="15"/>
        <v>45686.007638888892</v>
      </c>
      <c r="E366" t="str">
        <f t="shared" si="16"/>
        <v>29-01-2025 to 04-02-2025</v>
      </c>
      <c r="F366" t="str">
        <f>IF(COUNTIF('Top5'!I:I, G366) &gt; 0, "Yes", "No")</f>
        <v>No</v>
      </c>
      <c r="G366" t="str">
        <f t="shared" si="17"/>
        <v>29-01-2025 to 04-02-2025</v>
      </c>
    </row>
    <row r="367" spans="1:7">
      <c r="A367" s="1">
        <v>45686</v>
      </c>
      <c r="B367" s="6">
        <v>7.6388888888888886E-3</v>
      </c>
      <c r="C367" t="s">
        <v>23</v>
      </c>
      <c r="D367" s="7">
        <f t="shared" si="15"/>
        <v>45686.007638888892</v>
      </c>
      <c r="E367" t="str">
        <f t="shared" si="16"/>
        <v>29-01-2025 to 04-02-2025</v>
      </c>
      <c r="F367" t="str">
        <f>IF(COUNTIF('Top5'!I:I, G367) &gt; 0, "Yes", "No")</f>
        <v>No</v>
      </c>
      <c r="G367" t="str">
        <f t="shared" si="17"/>
        <v>29-01-2025 to 04-02-2025</v>
      </c>
    </row>
    <row r="368" spans="1:7">
      <c r="A368" s="1">
        <v>45686</v>
      </c>
      <c r="B368" s="6">
        <v>7.6388888888888886E-3</v>
      </c>
      <c r="C368" t="s">
        <v>23</v>
      </c>
      <c r="D368" s="7">
        <f t="shared" si="15"/>
        <v>45686.007638888892</v>
      </c>
      <c r="E368" t="str">
        <f t="shared" si="16"/>
        <v>29-01-2025 to 04-02-2025</v>
      </c>
      <c r="F368" t="str">
        <f>IF(COUNTIF('Top5'!I:I, G368) &gt; 0, "Yes", "No")</f>
        <v>No</v>
      </c>
      <c r="G368" t="str">
        <f t="shared" si="17"/>
        <v>29-01-2025 to 04-02-2025</v>
      </c>
    </row>
    <row r="369" spans="1:7">
      <c r="A369" s="1">
        <v>45686</v>
      </c>
      <c r="B369" s="6">
        <v>9.0277777777777769E-3</v>
      </c>
      <c r="C369" t="s">
        <v>23</v>
      </c>
      <c r="D369" s="7">
        <f t="shared" si="15"/>
        <v>45686.009027777778</v>
      </c>
      <c r="E369" t="str">
        <f t="shared" si="16"/>
        <v>29-01-2025 to 04-02-2025</v>
      </c>
      <c r="F369" t="str">
        <f>IF(COUNTIF('Top5'!I:I, G369) &gt; 0, "Yes", "No")</f>
        <v>No</v>
      </c>
      <c r="G369" t="str">
        <f t="shared" si="17"/>
        <v>29-01-2025 to 04-02-2025</v>
      </c>
    </row>
    <row r="370" spans="1:7">
      <c r="A370" s="1">
        <v>45686</v>
      </c>
      <c r="B370" s="6">
        <v>9.0277777777777769E-3</v>
      </c>
      <c r="C370" t="s">
        <v>23</v>
      </c>
      <c r="D370" s="7">
        <f t="shared" si="15"/>
        <v>45686.009027777778</v>
      </c>
      <c r="E370" t="str">
        <f t="shared" si="16"/>
        <v>29-01-2025 to 04-02-2025</v>
      </c>
      <c r="F370" t="str">
        <f>IF(COUNTIF('Top5'!I:I, G370) &gt; 0, "Yes", "No")</f>
        <v>No</v>
      </c>
      <c r="G370" t="str">
        <f t="shared" si="17"/>
        <v>29-01-2025 to 04-02-2025</v>
      </c>
    </row>
    <row r="371" spans="1:7">
      <c r="A371" s="1">
        <v>45686</v>
      </c>
      <c r="B371" s="6">
        <v>0.79583333333333328</v>
      </c>
      <c r="C371" t="s">
        <v>23</v>
      </c>
      <c r="D371" s="7">
        <f t="shared" si="15"/>
        <v>45686.79583333333</v>
      </c>
      <c r="E371" t="str">
        <f t="shared" si="16"/>
        <v>29-01-2025 to 04-02-2025</v>
      </c>
      <c r="F371" t="str">
        <f>IF(COUNTIF('Top5'!I:I, G371) &gt; 0, "Yes", "No")</f>
        <v>No</v>
      </c>
      <c r="G371" t="str">
        <f t="shared" si="17"/>
        <v>29-01-2025 to 04-02-2025</v>
      </c>
    </row>
    <row r="372" spans="1:7">
      <c r="A372" s="1">
        <v>45687</v>
      </c>
      <c r="B372" s="6">
        <v>0.65486111111111112</v>
      </c>
      <c r="C372" t="s">
        <v>22</v>
      </c>
      <c r="D372" s="7">
        <f t="shared" si="15"/>
        <v>45687.654861111114</v>
      </c>
      <c r="E372" t="str">
        <f t="shared" si="16"/>
        <v>30-01-2025 to 05-02-2025</v>
      </c>
      <c r="F372" t="str">
        <f>IF(COUNTIF('Top5'!I:I, G372) &gt; 0, "Yes", "No")</f>
        <v>No</v>
      </c>
      <c r="G372" t="str">
        <f t="shared" si="17"/>
        <v>30-01-2025 to 05-02-2025</v>
      </c>
    </row>
    <row r="373" spans="1:7">
      <c r="A373" s="1">
        <v>45687</v>
      </c>
      <c r="B373" s="6">
        <v>0.65486111111111112</v>
      </c>
      <c r="C373" t="s">
        <v>22</v>
      </c>
      <c r="D373" s="7">
        <f t="shared" si="15"/>
        <v>45687.654861111114</v>
      </c>
      <c r="E373" t="str">
        <f t="shared" si="16"/>
        <v>30-01-2025 to 05-02-2025</v>
      </c>
      <c r="F373" t="str">
        <f>IF(COUNTIF('Top5'!I:I, G373) &gt; 0, "Yes", "No")</f>
        <v>No</v>
      </c>
      <c r="G373" t="str">
        <f t="shared" si="17"/>
        <v>30-01-2025 to 05-02-2025</v>
      </c>
    </row>
    <row r="374" spans="1:7">
      <c r="A374" s="1">
        <v>45687</v>
      </c>
      <c r="B374" s="6">
        <v>0.65555555555555556</v>
      </c>
      <c r="C374" t="s">
        <v>22</v>
      </c>
      <c r="D374" s="7">
        <f t="shared" si="15"/>
        <v>45687.655555555553</v>
      </c>
      <c r="E374" t="str">
        <f t="shared" si="16"/>
        <v>30-01-2025 to 05-02-2025</v>
      </c>
      <c r="F374" t="str">
        <f>IF(COUNTIF('Top5'!I:I, G374) &gt; 0, "Yes", "No")</f>
        <v>No</v>
      </c>
      <c r="G374" t="str">
        <f t="shared" si="17"/>
        <v>30-01-2025 to 05-02-2025</v>
      </c>
    </row>
    <row r="375" spans="1:7">
      <c r="A375" s="1">
        <v>45687</v>
      </c>
      <c r="B375" s="6">
        <v>0.68472222222222223</v>
      </c>
      <c r="C375" t="s">
        <v>22</v>
      </c>
      <c r="D375" s="7">
        <f t="shared" si="15"/>
        <v>45687.68472222222</v>
      </c>
      <c r="E375" t="str">
        <f t="shared" si="16"/>
        <v>30-01-2025 to 05-02-2025</v>
      </c>
      <c r="F375" t="str">
        <f>IF(COUNTIF('Top5'!I:I, G375) &gt; 0, "Yes", "No")</f>
        <v>No</v>
      </c>
      <c r="G375" t="str">
        <f t="shared" si="17"/>
        <v>30-01-2025 to 05-02-2025</v>
      </c>
    </row>
    <row r="376" spans="1:7">
      <c r="A376" s="1">
        <v>45687</v>
      </c>
      <c r="B376" s="6">
        <v>0.92222222222222228</v>
      </c>
      <c r="C376" t="s">
        <v>23</v>
      </c>
      <c r="D376" s="7">
        <f t="shared" si="15"/>
        <v>45687.922222222223</v>
      </c>
      <c r="E376" t="str">
        <f t="shared" si="16"/>
        <v>30-01-2025 to 05-02-2025</v>
      </c>
      <c r="F376" t="str">
        <f>IF(COUNTIF('Top5'!I:I, G376) &gt; 0, "Yes", "No")</f>
        <v>No</v>
      </c>
      <c r="G376" t="str">
        <f t="shared" si="17"/>
        <v>30-01-2025 to 05-02-2025</v>
      </c>
    </row>
    <row r="377" spans="1:7">
      <c r="A377" s="1">
        <v>45688</v>
      </c>
      <c r="B377" s="6">
        <v>0.58611111111111114</v>
      </c>
      <c r="C377" t="s">
        <v>22</v>
      </c>
      <c r="D377" s="7">
        <f t="shared" si="15"/>
        <v>45688.586111111108</v>
      </c>
      <c r="E377" t="str">
        <f t="shared" si="16"/>
        <v>31-01-2025 to 06-02-2025</v>
      </c>
      <c r="F377" t="str">
        <f>IF(COUNTIF('Top5'!I:I, G377) &gt; 0, "Yes", "No")</f>
        <v>No</v>
      </c>
      <c r="G377" t="str">
        <f t="shared" si="17"/>
        <v>31-01-2025 to 06-02-2025</v>
      </c>
    </row>
    <row r="378" spans="1:7">
      <c r="A378" s="1">
        <v>45688</v>
      </c>
      <c r="B378" s="6">
        <v>0.61250000000000004</v>
      </c>
      <c r="C378" t="s">
        <v>22</v>
      </c>
      <c r="D378" s="7">
        <f t="shared" si="15"/>
        <v>45688.612500000003</v>
      </c>
      <c r="E378" t="str">
        <f t="shared" si="16"/>
        <v>31-01-2025 to 06-02-2025</v>
      </c>
      <c r="F378" t="str">
        <f>IF(COUNTIF('Top5'!I:I, G378) &gt; 0, "Yes", "No")</f>
        <v>No</v>
      </c>
      <c r="G378" t="str">
        <f t="shared" si="17"/>
        <v>31-01-2025 to 06-02-2025</v>
      </c>
    </row>
    <row r="379" spans="1:7">
      <c r="A379" s="1">
        <v>45689</v>
      </c>
      <c r="B379" s="6">
        <v>0.36249999999999999</v>
      </c>
      <c r="C379" t="s">
        <v>22</v>
      </c>
      <c r="D379" s="7">
        <f t="shared" si="15"/>
        <v>45689.362500000003</v>
      </c>
      <c r="E379" t="str">
        <f t="shared" si="16"/>
        <v>01-02-2025 to 07-02-2025</v>
      </c>
      <c r="F379" t="str">
        <f>IF(COUNTIF('Top5'!I:I, G379) &gt; 0, "Yes", "No")</f>
        <v>No</v>
      </c>
      <c r="G379" t="str">
        <f t="shared" si="17"/>
        <v>01-02-2025 to 07-02-2025</v>
      </c>
    </row>
    <row r="380" spans="1:7">
      <c r="A380" s="1">
        <v>45689</v>
      </c>
      <c r="B380" s="6">
        <v>0.36249999999999999</v>
      </c>
      <c r="C380" t="s">
        <v>22</v>
      </c>
      <c r="D380" s="7">
        <f t="shared" si="15"/>
        <v>45689.362500000003</v>
      </c>
      <c r="E380" t="str">
        <f t="shared" si="16"/>
        <v>01-02-2025 to 07-02-2025</v>
      </c>
      <c r="F380" t="str">
        <f>IF(COUNTIF('Top5'!I:I, G380) &gt; 0, "Yes", "No")</f>
        <v>No</v>
      </c>
      <c r="G380" t="str">
        <f t="shared" si="17"/>
        <v>01-02-2025 to 07-02-2025</v>
      </c>
    </row>
    <row r="381" spans="1:7">
      <c r="A381" s="1">
        <v>45689</v>
      </c>
      <c r="B381" s="6">
        <v>0.40416666666666667</v>
      </c>
      <c r="C381" t="s">
        <v>22</v>
      </c>
      <c r="D381" s="7">
        <f t="shared" si="15"/>
        <v>45689.404166666667</v>
      </c>
      <c r="E381" t="str">
        <f t="shared" si="16"/>
        <v>01-02-2025 to 07-02-2025</v>
      </c>
      <c r="F381" t="str">
        <f>IF(COUNTIF('Top5'!I:I, G381) &gt; 0, "Yes", "No")</f>
        <v>No</v>
      </c>
      <c r="G381" t="str">
        <f t="shared" si="17"/>
        <v>01-02-2025 to 07-02-2025</v>
      </c>
    </row>
    <row r="382" spans="1:7">
      <c r="A382" s="1">
        <v>45689</v>
      </c>
      <c r="B382" s="6">
        <v>0.44583333333333336</v>
      </c>
      <c r="C382" t="s">
        <v>22</v>
      </c>
      <c r="D382" s="7">
        <f t="shared" si="15"/>
        <v>45689.445833333331</v>
      </c>
      <c r="E382" t="str">
        <f t="shared" si="16"/>
        <v>01-02-2025 to 07-02-2025</v>
      </c>
      <c r="F382" t="str">
        <f>IF(COUNTIF('Top5'!I:I, G382) &gt; 0, "Yes", "No")</f>
        <v>No</v>
      </c>
      <c r="G382" t="str">
        <f t="shared" si="17"/>
        <v>01-02-2025 to 07-02-2025</v>
      </c>
    </row>
    <row r="383" spans="1:7">
      <c r="A383" s="1">
        <v>45689</v>
      </c>
      <c r="B383" s="6">
        <v>0.44583333333333336</v>
      </c>
      <c r="C383" t="s">
        <v>22</v>
      </c>
      <c r="D383" s="7">
        <f t="shared" si="15"/>
        <v>45689.445833333331</v>
      </c>
      <c r="E383" t="str">
        <f t="shared" si="16"/>
        <v>01-02-2025 to 07-02-2025</v>
      </c>
      <c r="F383" t="str">
        <f>IF(COUNTIF('Top5'!I:I, G383) &gt; 0, "Yes", "No")</f>
        <v>No</v>
      </c>
      <c r="G383" t="str">
        <f t="shared" si="17"/>
        <v>01-02-2025 to 07-02-2025</v>
      </c>
    </row>
    <row r="384" spans="1:7">
      <c r="A384" s="1">
        <v>45689</v>
      </c>
      <c r="B384" s="6">
        <v>0.4513888888888889</v>
      </c>
      <c r="C384" t="s">
        <v>22</v>
      </c>
      <c r="D384" s="7">
        <f t="shared" si="15"/>
        <v>45689.451388888891</v>
      </c>
      <c r="E384" t="str">
        <f t="shared" si="16"/>
        <v>01-02-2025 to 07-02-2025</v>
      </c>
      <c r="F384" t="str">
        <f>IF(COUNTIF('Top5'!I:I, G384) &gt; 0, "Yes", "No")</f>
        <v>No</v>
      </c>
      <c r="G384" t="str">
        <f t="shared" si="17"/>
        <v>01-02-2025 to 07-02-2025</v>
      </c>
    </row>
    <row r="385" spans="1:7">
      <c r="A385" s="1">
        <v>45689</v>
      </c>
      <c r="B385" s="6">
        <v>0.64027777777777772</v>
      </c>
      <c r="C385" t="s">
        <v>22</v>
      </c>
      <c r="D385" s="7">
        <f t="shared" si="15"/>
        <v>45689.640277777777</v>
      </c>
      <c r="E385" t="str">
        <f t="shared" si="16"/>
        <v>01-02-2025 to 07-02-2025</v>
      </c>
      <c r="F385" t="str">
        <f>IF(COUNTIF('Top5'!I:I, G385) &gt; 0, "Yes", "No")</f>
        <v>No</v>
      </c>
      <c r="G385" t="str">
        <f t="shared" si="17"/>
        <v>01-02-2025 to 07-02-2025</v>
      </c>
    </row>
    <row r="386" spans="1:7">
      <c r="A386" s="1">
        <v>45690</v>
      </c>
      <c r="B386" s="6">
        <v>0.39791666666666664</v>
      </c>
      <c r="C386" t="s">
        <v>22</v>
      </c>
      <c r="D386" s="7">
        <f t="shared" si="15"/>
        <v>45690.397916666669</v>
      </c>
      <c r="E386" t="str">
        <f t="shared" si="16"/>
        <v>02-02-2025 to 08-02-2025</v>
      </c>
      <c r="F386" t="str">
        <f>IF(COUNTIF('Top5'!I:I, G386) &gt; 0, "Yes", "No")</f>
        <v>No</v>
      </c>
      <c r="G386" t="str">
        <f t="shared" si="17"/>
        <v>02-02-2025 to 08-02-2025</v>
      </c>
    </row>
    <row r="387" spans="1:7">
      <c r="A387" s="1">
        <v>45690</v>
      </c>
      <c r="B387" s="6">
        <v>0.4</v>
      </c>
      <c r="C387" t="s">
        <v>22</v>
      </c>
      <c r="D387" s="7">
        <f t="shared" ref="D387:D450" si="18">VALUE(A387) + VALUE(B387)</f>
        <v>45690.400000000001</v>
      </c>
      <c r="E387" t="str">
        <f t="shared" ref="E387:E450" si="19">TEXT(D387, "dd-mm-yyyy") &amp; " to " &amp; TEXT(D387+6, "dd-mm-yyyy")</f>
        <v>02-02-2025 to 08-02-2025</v>
      </c>
      <c r="F387" t="str">
        <f>IF(COUNTIF('Top5'!I:I, G387) &gt; 0, "Yes", "No")</f>
        <v>No</v>
      </c>
      <c r="G387" t="str">
        <f t="shared" ref="G387:G450" si="20">TRIM(E387)</f>
        <v>02-02-2025 to 08-02-2025</v>
      </c>
    </row>
    <row r="388" spans="1:7">
      <c r="A388" s="1">
        <v>45690</v>
      </c>
      <c r="B388" s="6">
        <v>0.4</v>
      </c>
      <c r="C388" t="s">
        <v>22</v>
      </c>
      <c r="D388" s="7">
        <f t="shared" si="18"/>
        <v>45690.400000000001</v>
      </c>
      <c r="E388" t="str">
        <f t="shared" si="19"/>
        <v>02-02-2025 to 08-02-2025</v>
      </c>
      <c r="F388" t="str">
        <f>IF(COUNTIF('Top5'!I:I, G388) &gt; 0, "Yes", "No")</f>
        <v>No</v>
      </c>
      <c r="G388" t="str">
        <f t="shared" si="20"/>
        <v>02-02-2025 to 08-02-2025</v>
      </c>
    </row>
    <row r="389" spans="1:7">
      <c r="A389" s="1">
        <v>45690</v>
      </c>
      <c r="B389" s="6">
        <v>0.40972222222222221</v>
      </c>
      <c r="C389" t="s">
        <v>22</v>
      </c>
      <c r="D389" s="7">
        <f t="shared" si="18"/>
        <v>45690.409722222219</v>
      </c>
      <c r="E389" t="str">
        <f t="shared" si="19"/>
        <v>02-02-2025 to 08-02-2025</v>
      </c>
      <c r="F389" t="str">
        <f>IF(COUNTIF('Top5'!I:I, G389) &gt; 0, "Yes", "No")</f>
        <v>No</v>
      </c>
      <c r="G389" t="str">
        <f t="shared" si="20"/>
        <v>02-02-2025 to 08-02-2025</v>
      </c>
    </row>
    <row r="390" spans="1:7">
      <c r="A390" s="1">
        <v>45692</v>
      </c>
      <c r="B390" s="6">
        <v>0.49652777777777779</v>
      </c>
      <c r="C390" t="s">
        <v>22</v>
      </c>
      <c r="D390" s="7">
        <f t="shared" si="18"/>
        <v>45692.496527777781</v>
      </c>
      <c r="E390" t="str">
        <f t="shared" si="19"/>
        <v>04-02-2025 to 10-02-2025</v>
      </c>
      <c r="F390" t="str">
        <f>IF(COUNTIF('Top5'!I:I, G390) &gt; 0, "Yes", "No")</f>
        <v>No</v>
      </c>
      <c r="G390" t="str">
        <f t="shared" si="20"/>
        <v>04-02-2025 to 10-02-2025</v>
      </c>
    </row>
    <row r="391" spans="1:7">
      <c r="A391" s="1">
        <v>45692</v>
      </c>
      <c r="B391" s="6">
        <v>0.97986111111111107</v>
      </c>
      <c r="C391" t="s">
        <v>23</v>
      </c>
      <c r="D391" s="7">
        <f t="shared" si="18"/>
        <v>45692.979861111111</v>
      </c>
      <c r="E391" t="str">
        <f t="shared" si="19"/>
        <v>04-02-2025 to 10-02-2025</v>
      </c>
      <c r="F391" t="str">
        <f>IF(COUNTIF('Top5'!I:I, G391) &gt; 0, "Yes", "No")</f>
        <v>No</v>
      </c>
      <c r="G391" t="str">
        <f t="shared" si="20"/>
        <v>04-02-2025 to 10-02-2025</v>
      </c>
    </row>
    <row r="392" spans="1:7">
      <c r="A392" s="1">
        <v>45693</v>
      </c>
      <c r="B392" s="6">
        <v>2.7777777777777779E-3</v>
      </c>
      <c r="C392" t="s">
        <v>23</v>
      </c>
      <c r="D392" s="7">
        <f t="shared" si="18"/>
        <v>45693.00277777778</v>
      </c>
      <c r="E392" t="str">
        <f t="shared" si="19"/>
        <v>05-02-2025 to 11-02-2025</v>
      </c>
      <c r="F392" t="str">
        <f>IF(COUNTIF('Top5'!I:I, G392) &gt; 0, "Yes", "No")</f>
        <v>No</v>
      </c>
      <c r="G392" t="str">
        <f t="shared" si="20"/>
        <v>05-02-2025 to 11-02-2025</v>
      </c>
    </row>
    <row r="393" spans="1:7">
      <c r="A393" s="1">
        <v>45693</v>
      </c>
      <c r="B393" s="6">
        <v>0.39791666666666664</v>
      </c>
      <c r="C393" t="s">
        <v>22</v>
      </c>
      <c r="D393" s="7">
        <f t="shared" si="18"/>
        <v>45693.397916666669</v>
      </c>
      <c r="E393" t="str">
        <f t="shared" si="19"/>
        <v>05-02-2025 to 11-02-2025</v>
      </c>
      <c r="F393" t="str">
        <f>IF(COUNTIF('Top5'!I:I, G393) &gt; 0, "Yes", "No")</f>
        <v>No</v>
      </c>
      <c r="G393" t="str">
        <f t="shared" si="20"/>
        <v>05-02-2025 to 11-02-2025</v>
      </c>
    </row>
    <row r="394" spans="1:7">
      <c r="A394" s="1">
        <v>45693</v>
      </c>
      <c r="B394" s="6">
        <v>0.62430555555555556</v>
      </c>
      <c r="C394" t="s">
        <v>22</v>
      </c>
      <c r="D394" s="7">
        <f t="shared" si="18"/>
        <v>45693.624305555553</v>
      </c>
      <c r="E394" t="str">
        <f t="shared" si="19"/>
        <v>05-02-2025 to 11-02-2025</v>
      </c>
      <c r="F394" t="str">
        <f>IF(COUNTIF('Top5'!I:I, G394) &gt; 0, "Yes", "No")</f>
        <v>No</v>
      </c>
      <c r="G394" t="str">
        <f t="shared" si="20"/>
        <v>05-02-2025 to 11-02-2025</v>
      </c>
    </row>
    <row r="395" spans="1:7">
      <c r="A395" s="1">
        <v>45694</v>
      </c>
      <c r="B395" s="6">
        <v>0.42986111111111114</v>
      </c>
      <c r="C395" t="s">
        <v>22</v>
      </c>
      <c r="D395" s="7">
        <f t="shared" si="18"/>
        <v>45694.429861111108</v>
      </c>
      <c r="E395" t="str">
        <f t="shared" si="19"/>
        <v>06-02-2025 to 12-02-2025</v>
      </c>
      <c r="F395" t="str">
        <f>IF(COUNTIF('Top5'!I:I, G395) &gt; 0, "Yes", "No")</f>
        <v>No</v>
      </c>
      <c r="G395" t="str">
        <f t="shared" si="20"/>
        <v>06-02-2025 to 12-02-2025</v>
      </c>
    </row>
    <row r="396" spans="1:7">
      <c r="A396" s="1">
        <v>45694</v>
      </c>
      <c r="B396" s="6">
        <v>0.86597222222222225</v>
      </c>
      <c r="C396" t="s">
        <v>23</v>
      </c>
      <c r="D396" s="7">
        <f t="shared" si="18"/>
        <v>45694.865972222222</v>
      </c>
      <c r="E396" t="str">
        <f t="shared" si="19"/>
        <v>06-02-2025 to 12-02-2025</v>
      </c>
      <c r="F396" t="str">
        <f>IF(COUNTIF('Top5'!I:I, G396) &gt; 0, "Yes", "No")</f>
        <v>No</v>
      </c>
      <c r="G396" t="str">
        <f t="shared" si="20"/>
        <v>06-02-2025 to 12-02-2025</v>
      </c>
    </row>
    <row r="397" spans="1:7">
      <c r="A397" s="1">
        <v>45694</v>
      </c>
      <c r="B397" s="6">
        <v>0.88958333333333328</v>
      </c>
      <c r="C397" t="s">
        <v>23</v>
      </c>
      <c r="D397" s="7">
        <f t="shared" si="18"/>
        <v>45694.88958333333</v>
      </c>
      <c r="E397" t="str">
        <f t="shared" si="19"/>
        <v>06-02-2025 to 12-02-2025</v>
      </c>
      <c r="F397" t="str">
        <f>IF(COUNTIF('Top5'!I:I, G397) &gt; 0, "Yes", "No")</f>
        <v>No</v>
      </c>
      <c r="G397" t="str">
        <f t="shared" si="20"/>
        <v>06-02-2025 to 12-02-2025</v>
      </c>
    </row>
    <row r="398" spans="1:7">
      <c r="A398" s="1">
        <v>45694</v>
      </c>
      <c r="B398" s="6">
        <v>0.89027777777777772</v>
      </c>
      <c r="C398" t="s">
        <v>23</v>
      </c>
      <c r="D398" s="7">
        <f t="shared" si="18"/>
        <v>45694.890277777777</v>
      </c>
      <c r="E398" t="str">
        <f t="shared" si="19"/>
        <v>06-02-2025 to 12-02-2025</v>
      </c>
      <c r="F398" t="str">
        <f>IF(COUNTIF('Top5'!I:I, G398) &gt; 0, "Yes", "No")</f>
        <v>No</v>
      </c>
      <c r="G398" t="str">
        <f t="shared" si="20"/>
        <v>06-02-2025 to 12-02-2025</v>
      </c>
    </row>
    <row r="399" spans="1:7">
      <c r="A399" s="1">
        <v>45694</v>
      </c>
      <c r="B399" s="6">
        <v>0.95</v>
      </c>
      <c r="C399" t="s">
        <v>23</v>
      </c>
      <c r="D399" s="7">
        <f t="shared" si="18"/>
        <v>45694.95</v>
      </c>
      <c r="E399" t="str">
        <f t="shared" si="19"/>
        <v>06-02-2025 to 12-02-2025</v>
      </c>
      <c r="F399" t="str">
        <f>IF(COUNTIF('Top5'!I:I, G399) &gt; 0, "Yes", "No")</f>
        <v>No</v>
      </c>
      <c r="G399" t="str">
        <f t="shared" si="20"/>
        <v>06-02-2025 to 12-02-2025</v>
      </c>
    </row>
    <row r="400" spans="1:7">
      <c r="A400" s="1">
        <v>45695</v>
      </c>
      <c r="B400" s="6">
        <v>0.44027777777777777</v>
      </c>
      <c r="C400" t="s">
        <v>22</v>
      </c>
      <c r="D400" s="7">
        <f t="shared" si="18"/>
        <v>45695.44027777778</v>
      </c>
      <c r="E400" t="str">
        <f t="shared" si="19"/>
        <v>07-02-2025 to 13-02-2025</v>
      </c>
      <c r="F400" t="str">
        <f>IF(COUNTIF('Top5'!I:I, G400) &gt; 0, "Yes", "No")</f>
        <v>No</v>
      </c>
      <c r="G400" t="str">
        <f t="shared" si="20"/>
        <v>07-02-2025 to 13-02-2025</v>
      </c>
    </row>
    <row r="401" spans="1:7">
      <c r="A401" s="1">
        <v>45695</v>
      </c>
      <c r="B401" s="6">
        <v>0.60902777777777772</v>
      </c>
      <c r="C401" t="s">
        <v>22</v>
      </c>
      <c r="D401" s="7">
        <f t="shared" si="18"/>
        <v>45695.609027777777</v>
      </c>
      <c r="E401" t="str">
        <f t="shared" si="19"/>
        <v>07-02-2025 to 13-02-2025</v>
      </c>
      <c r="F401" t="str">
        <f>IF(COUNTIF('Top5'!I:I, G401) &gt; 0, "Yes", "No")</f>
        <v>No</v>
      </c>
      <c r="G401" t="str">
        <f t="shared" si="20"/>
        <v>07-02-2025 to 13-02-2025</v>
      </c>
    </row>
    <row r="402" spans="1:7">
      <c r="A402" s="1">
        <v>45695</v>
      </c>
      <c r="B402" s="6">
        <v>0.83819444444444446</v>
      </c>
      <c r="C402" t="s">
        <v>23</v>
      </c>
      <c r="D402" s="7">
        <f t="shared" si="18"/>
        <v>45695.838194444441</v>
      </c>
      <c r="E402" t="str">
        <f t="shared" si="19"/>
        <v>07-02-2025 to 13-02-2025</v>
      </c>
      <c r="F402" t="str">
        <f>IF(COUNTIF('Top5'!I:I, G402) &gt; 0, "Yes", "No")</f>
        <v>No</v>
      </c>
      <c r="G402" t="str">
        <f t="shared" si="20"/>
        <v>07-02-2025 to 13-02-2025</v>
      </c>
    </row>
    <row r="403" spans="1:7">
      <c r="A403" s="1">
        <v>45695</v>
      </c>
      <c r="B403" s="6">
        <v>0.94930555555555551</v>
      </c>
      <c r="C403" t="s">
        <v>23</v>
      </c>
      <c r="D403" s="7">
        <f t="shared" si="18"/>
        <v>45695.949305555558</v>
      </c>
      <c r="E403" t="str">
        <f t="shared" si="19"/>
        <v>07-02-2025 to 13-02-2025</v>
      </c>
      <c r="F403" t="str">
        <f>IF(COUNTIF('Top5'!I:I, G403) &gt; 0, "Yes", "No")</f>
        <v>No</v>
      </c>
      <c r="G403" t="str">
        <f t="shared" si="20"/>
        <v>07-02-2025 to 13-02-2025</v>
      </c>
    </row>
    <row r="404" spans="1:7">
      <c r="A404" s="1">
        <v>45695</v>
      </c>
      <c r="B404" s="6">
        <v>0.9506944444444444</v>
      </c>
      <c r="C404" t="s">
        <v>23</v>
      </c>
      <c r="D404" s="7">
        <f t="shared" si="18"/>
        <v>45695.950694444444</v>
      </c>
      <c r="E404" t="str">
        <f t="shared" si="19"/>
        <v>07-02-2025 to 13-02-2025</v>
      </c>
      <c r="F404" t="str">
        <f>IF(COUNTIF('Top5'!I:I, G404) &gt; 0, "Yes", "No")</f>
        <v>No</v>
      </c>
      <c r="G404" t="str">
        <f t="shared" si="20"/>
        <v>07-02-2025 to 13-02-2025</v>
      </c>
    </row>
    <row r="405" spans="1:7">
      <c r="A405" s="1">
        <v>45695</v>
      </c>
      <c r="B405" s="6">
        <v>0.95486111111111116</v>
      </c>
      <c r="C405" t="s">
        <v>23</v>
      </c>
      <c r="D405" s="7">
        <f t="shared" si="18"/>
        <v>45695.954861111109</v>
      </c>
      <c r="E405" t="str">
        <f t="shared" si="19"/>
        <v>07-02-2025 to 13-02-2025</v>
      </c>
      <c r="F405" t="str">
        <f>IF(COUNTIF('Top5'!I:I, G405) &gt; 0, "Yes", "No")</f>
        <v>No</v>
      </c>
      <c r="G405" t="str">
        <f t="shared" si="20"/>
        <v>07-02-2025 to 13-02-2025</v>
      </c>
    </row>
    <row r="406" spans="1:7">
      <c r="A406" s="1">
        <v>45695</v>
      </c>
      <c r="B406" s="6">
        <v>0.98541666666666672</v>
      </c>
      <c r="C406" t="s">
        <v>23</v>
      </c>
      <c r="D406" s="7">
        <f t="shared" si="18"/>
        <v>45695.98541666667</v>
      </c>
      <c r="E406" t="str">
        <f t="shared" si="19"/>
        <v>07-02-2025 to 13-02-2025</v>
      </c>
      <c r="F406" t="str">
        <f>IF(COUNTIF('Top5'!I:I, G406) &gt; 0, "Yes", "No")</f>
        <v>No</v>
      </c>
      <c r="G406" t="str">
        <f t="shared" si="20"/>
        <v>07-02-2025 to 13-02-2025</v>
      </c>
    </row>
    <row r="407" spans="1:7">
      <c r="A407" s="1">
        <v>45696</v>
      </c>
      <c r="B407" s="6">
        <v>0.97013888888888888</v>
      </c>
      <c r="C407" t="s">
        <v>23</v>
      </c>
      <c r="D407" s="7">
        <f t="shared" si="18"/>
        <v>45696.970138888886</v>
      </c>
      <c r="E407" t="str">
        <f t="shared" si="19"/>
        <v>08-02-2025 to 14-02-2025</v>
      </c>
      <c r="F407" t="str">
        <f>IF(COUNTIF('Top5'!I:I, G407) &gt; 0, "Yes", "No")</f>
        <v>No</v>
      </c>
      <c r="G407" t="str">
        <f t="shared" si="20"/>
        <v>08-02-2025 to 14-02-2025</v>
      </c>
    </row>
    <row r="408" spans="1:7">
      <c r="A408" s="1">
        <v>45696</v>
      </c>
      <c r="B408" s="6">
        <v>0.9770833333333333</v>
      </c>
      <c r="C408" t="s">
        <v>23</v>
      </c>
      <c r="D408" s="7">
        <f t="shared" si="18"/>
        <v>45696.977083333331</v>
      </c>
      <c r="E408" t="str">
        <f t="shared" si="19"/>
        <v>08-02-2025 to 14-02-2025</v>
      </c>
      <c r="F408" t="str">
        <f>IF(COUNTIF('Top5'!I:I, G408) &gt; 0, "Yes", "No")</f>
        <v>No</v>
      </c>
      <c r="G408" t="str">
        <f t="shared" si="20"/>
        <v>08-02-2025 to 14-02-2025</v>
      </c>
    </row>
    <row r="409" spans="1:7">
      <c r="A409" s="1">
        <v>45697</v>
      </c>
      <c r="B409" s="6">
        <v>5.5555555555555558E-3</v>
      </c>
      <c r="C409" t="s">
        <v>23</v>
      </c>
      <c r="D409" s="7">
        <f t="shared" si="18"/>
        <v>45697.005555555559</v>
      </c>
      <c r="E409" t="str">
        <f t="shared" si="19"/>
        <v>09-02-2025 to 15-02-2025</v>
      </c>
      <c r="F409" t="str">
        <f>IF(COUNTIF('Top5'!I:I, G409) &gt; 0, "Yes", "No")</f>
        <v>No</v>
      </c>
      <c r="G409" t="str">
        <f t="shared" si="20"/>
        <v>09-02-2025 to 15-02-2025</v>
      </c>
    </row>
    <row r="410" spans="1:7">
      <c r="A410" s="1">
        <v>45697</v>
      </c>
      <c r="B410" s="6">
        <v>1.0416666666666666E-2</v>
      </c>
      <c r="C410" t="s">
        <v>23</v>
      </c>
      <c r="D410" s="7">
        <f t="shared" si="18"/>
        <v>45697.010416666664</v>
      </c>
      <c r="E410" t="str">
        <f t="shared" si="19"/>
        <v>09-02-2025 to 15-02-2025</v>
      </c>
      <c r="F410" t="str">
        <f>IF(COUNTIF('Top5'!I:I, G410) &gt; 0, "Yes", "No")</f>
        <v>No</v>
      </c>
      <c r="G410" t="str">
        <f t="shared" si="20"/>
        <v>09-02-2025 to 15-02-2025</v>
      </c>
    </row>
    <row r="411" spans="1:7">
      <c r="A411" s="1">
        <v>45697</v>
      </c>
      <c r="B411" s="6">
        <v>1.1111111111111112E-2</v>
      </c>
      <c r="C411" t="s">
        <v>23</v>
      </c>
      <c r="D411" s="7">
        <f t="shared" si="18"/>
        <v>45697.011111111111</v>
      </c>
      <c r="E411" t="str">
        <f t="shared" si="19"/>
        <v>09-02-2025 to 15-02-2025</v>
      </c>
      <c r="F411" t="str">
        <f>IF(COUNTIF('Top5'!I:I, G411) &gt; 0, "Yes", "No")</f>
        <v>No</v>
      </c>
      <c r="G411" t="str">
        <f t="shared" si="20"/>
        <v>09-02-2025 to 15-02-2025</v>
      </c>
    </row>
    <row r="412" spans="1:7">
      <c r="A412" s="1">
        <v>45697</v>
      </c>
      <c r="B412" s="6">
        <v>1.1111111111111112E-2</v>
      </c>
      <c r="C412" t="s">
        <v>23</v>
      </c>
      <c r="D412" s="7">
        <f t="shared" si="18"/>
        <v>45697.011111111111</v>
      </c>
      <c r="E412" t="str">
        <f t="shared" si="19"/>
        <v>09-02-2025 to 15-02-2025</v>
      </c>
      <c r="F412" t="str">
        <f>IF(COUNTIF('Top5'!I:I, G412) &gt; 0, "Yes", "No")</f>
        <v>No</v>
      </c>
      <c r="G412" t="str">
        <f t="shared" si="20"/>
        <v>09-02-2025 to 15-02-2025</v>
      </c>
    </row>
    <row r="413" spans="1:7">
      <c r="A413" s="1">
        <v>45697</v>
      </c>
      <c r="B413" s="6">
        <v>1.5277777777777777E-2</v>
      </c>
      <c r="C413" t="s">
        <v>23</v>
      </c>
      <c r="D413" s="7">
        <f t="shared" si="18"/>
        <v>45697.015277777777</v>
      </c>
      <c r="E413" t="str">
        <f t="shared" si="19"/>
        <v>09-02-2025 to 15-02-2025</v>
      </c>
      <c r="F413" t="str">
        <f>IF(COUNTIF('Top5'!I:I, G413) &gt; 0, "Yes", "No")</f>
        <v>No</v>
      </c>
      <c r="G413" t="str">
        <f t="shared" si="20"/>
        <v>09-02-2025 to 15-02-2025</v>
      </c>
    </row>
    <row r="414" spans="1:7">
      <c r="A414" s="1">
        <v>45697</v>
      </c>
      <c r="B414" s="6">
        <v>0.63888888888888884</v>
      </c>
      <c r="C414" t="s">
        <v>22</v>
      </c>
      <c r="D414" s="7">
        <f t="shared" si="18"/>
        <v>45697.638888888891</v>
      </c>
      <c r="E414" t="str">
        <f t="shared" si="19"/>
        <v>09-02-2025 to 15-02-2025</v>
      </c>
      <c r="F414" t="str">
        <f>IF(COUNTIF('Top5'!I:I, G414) &gt; 0, "Yes", "No")</f>
        <v>No</v>
      </c>
      <c r="G414" t="str">
        <f t="shared" si="20"/>
        <v>09-02-2025 to 15-02-2025</v>
      </c>
    </row>
    <row r="415" spans="1:7">
      <c r="A415" s="1">
        <v>45697</v>
      </c>
      <c r="B415" s="6">
        <v>0.95625000000000004</v>
      </c>
      <c r="C415" t="s">
        <v>23</v>
      </c>
      <c r="D415" s="7">
        <f t="shared" si="18"/>
        <v>45697.956250000003</v>
      </c>
      <c r="E415" t="str">
        <f t="shared" si="19"/>
        <v>09-02-2025 to 15-02-2025</v>
      </c>
      <c r="F415" t="str">
        <f>IF(COUNTIF('Top5'!I:I, G415) &gt; 0, "Yes", "No")</f>
        <v>No</v>
      </c>
      <c r="G415" t="str">
        <f t="shared" si="20"/>
        <v>09-02-2025 to 15-02-2025</v>
      </c>
    </row>
    <row r="416" spans="1:7">
      <c r="A416" s="1">
        <v>45698</v>
      </c>
      <c r="B416" s="6">
        <v>0.89097222222222228</v>
      </c>
      <c r="C416" t="s">
        <v>23</v>
      </c>
      <c r="D416" s="7">
        <f t="shared" si="18"/>
        <v>45698.890972222223</v>
      </c>
      <c r="E416" t="str">
        <f t="shared" si="19"/>
        <v>10-02-2025 to 16-02-2025</v>
      </c>
      <c r="F416" t="str">
        <f>IF(COUNTIF('Top5'!I:I, G416) &gt; 0, "Yes", "No")</f>
        <v>No</v>
      </c>
      <c r="G416" t="str">
        <f t="shared" si="20"/>
        <v>10-02-2025 to 16-02-2025</v>
      </c>
    </row>
    <row r="417" spans="1:7">
      <c r="A417" s="1">
        <v>45699</v>
      </c>
      <c r="B417" s="6">
        <v>0.50624999999999998</v>
      </c>
      <c r="C417" t="s">
        <v>22</v>
      </c>
      <c r="D417" s="7">
        <f t="shared" si="18"/>
        <v>45699.506249999999</v>
      </c>
      <c r="E417" t="str">
        <f t="shared" si="19"/>
        <v>11-02-2025 to 17-02-2025</v>
      </c>
      <c r="F417" t="str">
        <f>IF(COUNTIF('Top5'!I:I, G417) &gt; 0, "Yes", "No")</f>
        <v>No</v>
      </c>
      <c r="G417" t="str">
        <f t="shared" si="20"/>
        <v>11-02-2025 to 17-02-2025</v>
      </c>
    </row>
    <row r="418" spans="1:7">
      <c r="A418" s="1">
        <v>45700</v>
      </c>
      <c r="B418" s="6">
        <v>1.6666666666666666E-2</v>
      </c>
      <c r="C418" t="s">
        <v>23</v>
      </c>
      <c r="D418" s="7">
        <f t="shared" si="18"/>
        <v>45700.01666666667</v>
      </c>
      <c r="E418" t="str">
        <f t="shared" si="19"/>
        <v>12-02-2025 to 18-02-2025</v>
      </c>
      <c r="F418" t="str">
        <f>IF(COUNTIF('Top5'!I:I, G418) &gt; 0, "Yes", "No")</f>
        <v>No</v>
      </c>
      <c r="G418" t="str">
        <f t="shared" si="20"/>
        <v>12-02-2025 to 18-02-2025</v>
      </c>
    </row>
    <row r="419" spans="1:7">
      <c r="A419" s="1">
        <v>45700</v>
      </c>
      <c r="B419" s="6">
        <v>1.9444444444444445E-2</v>
      </c>
      <c r="C419" t="s">
        <v>23</v>
      </c>
      <c r="D419" s="7">
        <f t="shared" si="18"/>
        <v>45700.019444444442</v>
      </c>
      <c r="E419" t="str">
        <f t="shared" si="19"/>
        <v>12-02-2025 to 18-02-2025</v>
      </c>
      <c r="F419" t="str">
        <f>IF(COUNTIF('Top5'!I:I, G419) &gt; 0, "Yes", "No")</f>
        <v>No</v>
      </c>
      <c r="G419" t="str">
        <f t="shared" si="20"/>
        <v>12-02-2025 to 18-02-2025</v>
      </c>
    </row>
    <row r="420" spans="1:7">
      <c r="A420" s="1">
        <v>45700</v>
      </c>
      <c r="B420" s="6">
        <v>0.50138888888888888</v>
      </c>
      <c r="C420" t="s">
        <v>22</v>
      </c>
      <c r="D420" s="7">
        <f t="shared" si="18"/>
        <v>45700.501388888886</v>
      </c>
      <c r="E420" t="str">
        <f t="shared" si="19"/>
        <v>12-02-2025 to 18-02-2025</v>
      </c>
      <c r="F420" t="str">
        <f>IF(COUNTIF('Top5'!I:I, G420) &gt; 0, "Yes", "No")</f>
        <v>No</v>
      </c>
      <c r="G420" t="str">
        <f t="shared" si="20"/>
        <v>12-02-2025 to 18-02-2025</v>
      </c>
    </row>
    <row r="421" spans="1:7">
      <c r="A421" s="1">
        <v>45700</v>
      </c>
      <c r="B421" s="6">
        <v>0.52430555555555558</v>
      </c>
      <c r="C421" t="s">
        <v>22</v>
      </c>
      <c r="D421" s="7">
        <f t="shared" si="18"/>
        <v>45700.524305555555</v>
      </c>
      <c r="E421" t="str">
        <f t="shared" si="19"/>
        <v>12-02-2025 to 18-02-2025</v>
      </c>
      <c r="F421" t="str">
        <f>IF(COUNTIF('Top5'!I:I, G421) &gt; 0, "Yes", "No")</f>
        <v>No</v>
      </c>
      <c r="G421" t="str">
        <f t="shared" si="20"/>
        <v>12-02-2025 to 18-02-2025</v>
      </c>
    </row>
    <row r="422" spans="1:7">
      <c r="A422" s="1">
        <v>45700</v>
      </c>
      <c r="B422" s="6">
        <v>0.54374999999999996</v>
      </c>
      <c r="C422" t="s">
        <v>22</v>
      </c>
      <c r="D422" s="7">
        <f t="shared" si="18"/>
        <v>45700.543749999997</v>
      </c>
      <c r="E422" t="str">
        <f t="shared" si="19"/>
        <v>12-02-2025 to 18-02-2025</v>
      </c>
      <c r="F422" t="str">
        <f>IF(COUNTIF('Top5'!I:I, G422) &gt; 0, "Yes", "No")</f>
        <v>No</v>
      </c>
      <c r="G422" t="str">
        <f t="shared" si="20"/>
        <v>12-02-2025 to 18-02-2025</v>
      </c>
    </row>
    <row r="423" spans="1:7">
      <c r="A423" s="1">
        <v>45700</v>
      </c>
      <c r="B423" s="6">
        <v>0.61527777777777781</v>
      </c>
      <c r="C423" t="s">
        <v>22</v>
      </c>
      <c r="D423" s="7">
        <f t="shared" si="18"/>
        <v>45700.615277777775</v>
      </c>
      <c r="E423" t="str">
        <f t="shared" si="19"/>
        <v>12-02-2025 to 18-02-2025</v>
      </c>
      <c r="F423" t="str">
        <f>IF(COUNTIF('Top5'!I:I, G423) &gt; 0, "Yes", "No")</f>
        <v>No</v>
      </c>
      <c r="G423" t="str">
        <f t="shared" si="20"/>
        <v>12-02-2025 to 18-02-2025</v>
      </c>
    </row>
    <row r="424" spans="1:7">
      <c r="A424" s="1">
        <v>45700</v>
      </c>
      <c r="B424" s="6">
        <v>0.9458333333333333</v>
      </c>
      <c r="C424" t="s">
        <v>23</v>
      </c>
      <c r="D424" s="7">
        <f t="shared" si="18"/>
        <v>45700.945833333331</v>
      </c>
      <c r="E424" t="str">
        <f t="shared" si="19"/>
        <v>12-02-2025 to 18-02-2025</v>
      </c>
      <c r="F424" t="str">
        <f>IF(COUNTIF('Top5'!I:I, G424) &gt; 0, "Yes", "No")</f>
        <v>No</v>
      </c>
      <c r="G424" t="str">
        <f t="shared" si="20"/>
        <v>12-02-2025 to 18-02-2025</v>
      </c>
    </row>
    <row r="425" spans="1:7">
      <c r="A425" s="1">
        <v>45700</v>
      </c>
      <c r="B425" s="6">
        <v>0.99236111111111114</v>
      </c>
      <c r="C425" t="s">
        <v>23</v>
      </c>
      <c r="D425" s="7">
        <f t="shared" si="18"/>
        <v>45700.992361111108</v>
      </c>
      <c r="E425" t="str">
        <f t="shared" si="19"/>
        <v>12-02-2025 to 18-02-2025</v>
      </c>
      <c r="F425" t="str">
        <f>IF(COUNTIF('Top5'!I:I, G425) &gt; 0, "Yes", "No")</f>
        <v>No</v>
      </c>
      <c r="G425" t="str">
        <f t="shared" si="20"/>
        <v>12-02-2025 to 18-02-2025</v>
      </c>
    </row>
    <row r="426" spans="1:7">
      <c r="A426" s="1">
        <v>45701</v>
      </c>
      <c r="B426" s="6">
        <v>0.42708333333333331</v>
      </c>
      <c r="C426" t="s">
        <v>22</v>
      </c>
      <c r="D426" s="7">
        <f t="shared" si="18"/>
        <v>45701.427083333336</v>
      </c>
      <c r="E426" t="str">
        <f t="shared" si="19"/>
        <v>13-02-2025 to 19-02-2025</v>
      </c>
      <c r="F426" t="str">
        <f>IF(COUNTIF('Top5'!I:I, G426) &gt; 0, "Yes", "No")</f>
        <v>No</v>
      </c>
      <c r="G426" t="str">
        <f t="shared" si="20"/>
        <v>13-02-2025 to 19-02-2025</v>
      </c>
    </row>
    <row r="427" spans="1:7">
      <c r="A427" s="1">
        <v>45701</v>
      </c>
      <c r="B427" s="6">
        <v>0.86041666666666672</v>
      </c>
      <c r="C427" t="s">
        <v>23</v>
      </c>
      <c r="D427" s="7">
        <f t="shared" si="18"/>
        <v>45701.86041666667</v>
      </c>
      <c r="E427" t="str">
        <f t="shared" si="19"/>
        <v>13-02-2025 to 19-02-2025</v>
      </c>
      <c r="F427" t="str">
        <f>IF(COUNTIF('Top5'!I:I, G427) &gt; 0, "Yes", "No")</f>
        <v>No</v>
      </c>
      <c r="G427" t="str">
        <f t="shared" si="20"/>
        <v>13-02-2025 to 19-02-2025</v>
      </c>
    </row>
    <row r="428" spans="1:7">
      <c r="A428" s="1">
        <v>45701</v>
      </c>
      <c r="B428" s="6">
        <v>0.86458333333333337</v>
      </c>
      <c r="C428" t="s">
        <v>23</v>
      </c>
      <c r="D428" s="7">
        <f t="shared" si="18"/>
        <v>45701.864583333336</v>
      </c>
      <c r="E428" t="str">
        <f t="shared" si="19"/>
        <v>13-02-2025 to 19-02-2025</v>
      </c>
      <c r="F428" t="str">
        <f>IF(COUNTIF('Top5'!I:I, G428) &gt; 0, "Yes", "No")</f>
        <v>No</v>
      </c>
      <c r="G428" t="str">
        <f t="shared" si="20"/>
        <v>13-02-2025 to 19-02-2025</v>
      </c>
    </row>
    <row r="429" spans="1:7">
      <c r="A429" s="1">
        <v>45701</v>
      </c>
      <c r="B429" s="6">
        <v>0.86458333333333337</v>
      </c>
      <c r="C429" t="s">
        <v>23</v>
      </c>
      <c r="D429" s="7">
        <f t="shared" si="18"/>
        <v>45701.864583333336</v>
      </c>
      <c r="E429" t="str">
        <f t="shared" si="19"/>
        <v>13-02-2025 to 19-02-2025</v>
      </c>
      <c r="F429" t="str">
        <f>IF(COUNTIF('Top5'!I:I, G429) &gt; 0, "Yes", "No")</f>
        <v>No</v>
      </c>
      <c r="G429" t="str">
        <f t="shared" si="20"/>
        <v>13-02-2025 to 19-02-2025</v>
      </c>
    </row>
    <row r="430" spans="1:7">
      <c r="A430" s="1">
        <v>45701</v>
      </c>
      <c r="B430" s="6">
        <v>0.88680555555555551</v>
      </c>
      <c r="C430" t="s">
        <v>23</v>
      </c>
      <c r="D430" s="7">
        <f t="shared" si="18"/>
        <v>45701.886805555558</v>
      </c>
      <c r="E430" t="str">
        <f t="shared" si="19"/>
        <v>13-02-2025 to 19-02-2025</v>
      </c>
      <c r="F430" t="str">
        <f>IF(COUNTIF('Top5'!I:I, G430) &gt; 0, "Yes", "No")</f>
        <v>No</v>
      </c>
      <c r="G430" t="str">
        <f t="shared" si="20"/>
        <v>13-02-2025 to 19-02-2025</v>
      </c>
    </row>
    <row r="431" spans="1:7">
      <c r="A431" s="1">
        <v>45702</v>
      </c>
      <c r="B431" s="6">
        <v>0.37847222222222221</v>
      </c>
      <c r="C431" t="s">
        <v>22</v>
      </c>
      <c r="D431" s="7">
        <f t="shared" si="18"/>
        <v>45702.378472222219</v>
      </c>
      <c r="E431" t="str">
        <f t="shared" si="19"/>
        <v>14-02-2025 to 20-02-2025</v>
      </c>
      <c r="F431" t="str">
        <f>IF(COUNTIF('Top5'!I:I, G431) &gt; 0, "Yes", "No")</f>
        <v>No</v>
      </c>
      <c r="G431" t="str">
        <f t="shared" si="20"/>
        <v>14-02-2025 to 20-02-2025</v>
      </c>
    </row>
    <row r="432" spans="1:7">
      <c r="A432" s="1">
        <v>45702</v>
      </c>
      <c r="B432" s="6">
        <v>0.38472222222222224</v>
      </c>
      <c r="C432" t="s">
        <v>22</v>
      </c>
      <c r="D432" s="7">
        <f t="shared" si="18"/>
        <v>45702.384722222225</v>
      </c>
      <c r="E432" t="str">
        <f t="shared" si="19"/>
        <v>14-02-2025 to 20-02-2025</v>
      </c>
      <c r="F432" t="str">
        <f>IF(COUNTIF('Top5'!I:I, G432) &gt; 0, "Yes", "No")</f>
        <v>No</v>
      </c>
      <c r="G432" t="str">
        <f t="shared" si="20"/>
        <v>14-02-2025 to 20-02-2025</v>
      </c>
    </row>
    <row r="433" spans="1:7">
      <c r="A433" s="1">
        <v>45702</v>
      </c>
      <c r="B433" s="6">
        <v>0.39444444444444443</v>
      </c>
      <c r="C433" t="s">
        <v>22</v>
      </c>
      <c r="D433" s="7">
        <f t="shared" si="18"/>
        <v>45702.394444444442</v>
      </c>
      <c r="E433" t="str">
        <f t="shared" si="19"/>
        <v>14-02-2025 to 20-02-2025</v>
      </c>
      <c r="F433" t="str">
        <f>IF(COUNTIF('Top5'!I:I, G433) &gt; 0, "Yes", "No")</f>
        <v>No</v>
      </c>
      <c r="G433" t="str">
        <f t="shared" si="20"/>
        <v>14-02-2025 to 20-02-2025</v>
      </c>
    </row>
    <row r="434" spans="1:7">
      <c r="A434" s="1">
        <v>45702</v>
      </c>
      <c r="B434" s="6">
        <v>0.40833333333333333</v>
      </c>
      <c r="C434" t="s">
        <v>22</v>
      </c>
      <c r="D434" s="7">
        <f t="shared" si="18"/>
        <v>45702.408333333333</v>
      </c>
      <c r="E434" t="str">
        <f t="shared" si="19"/>
        <v>14-02-2025 to 20-02-2025</v>
      </c>
      <c r="F434" t="str">
        <f>IF(COUNTIF('Top5'!I:I, G434) &gt; 0, "Yes", "No")</f>
        <v>No</v>
      </c>
      <c r="G434" t="str">
        <f t="shared" si="20"/>
        <v>14-02-2025 to 20-02-2025</v>
      </c>
    </row>
    <row r="435" spans="1:7">
      <c r="A435" s="1">
        <v>45703</v>
      </c>
      <c r="B435" s="6">
        <v>1.1111111111111112E-2</v>
      </c>
      <c r="C435" t="s">
        <v>23</v>
      </c>
      <c r="D435" s="7">
        <f t="shared" si="18"/>
        <v>45703.011111111111</v>
      </c>
      <c r="E435" t="str">
        <f t="shared" si="19"/>
        <v>15-02-2025 to 21-02-2025</v>
      </c>
      <c r="F435" t="str">
        <f>IF(COUNTIF('Top5'!I:I, G435) &gt; 0, "Yes", "No")</f>
        <v>No</v>
      </c>
      <c r="G435" t="str">
        <f t="shared" si="20"/>
        <v>15-02-2025 to 21-02-2025</v>
      </c>
    </row>
    <row r="436" spans="1:7">
      <c r="A436" s="1">
        <v>45703</v>
      </c>
      <c r="B436" s="6">
        <v>1.1111111111111112E-2</v>
      </c>
      <c r="C436" t="s">
        <v>23</v>
      </c>
      <c r="D436" s="7">
        <f t="shared" si="18"/>
        <v>45703.011111111111</v>
      </c>
      <c r="E436" t="str">
        <f t="shared" si="19"/>
        <v>15-02-2025 to 21-02-2025</v>
      </c>
      <c r="F436" t="str">
        <f>IF(COUNTIF('Top5'!I:I, G436) &gt; 0, "Yes", "No")</f>
        <v>No</v>
      </c>
      <c r="G436" t="str">
        <f t="shared" si="20"/>
        <v>15-02-2025 to 21-02-2025</v>
      </c>
    </row>
    <row r="437" spans="1:7">
      <c r="A437" s="1">
        <v>45703</v>
      </c>
      <c r="B437" s="6">
        <v>1.8055555555555554E-2</v>
      </c>
      <c r="C437" t="s">
        <v>23</v>
      </c>
      <c r="D437" s="7">
        <f t="shared" si="18"/>
        <v>45703.018055555556</v>
      </c>
      <c r="E437" t="str">
        <f t="shared" si="19"/>
        <v>15-02-2025 to 21-02-2025</v>
      </c>
      <c r="F437" t="str">
        <f>IF(COUNTIF('Top5'!I:I, G437) &gt; 0, "Yes", "No")</f>
        <v>No</v>
      </c>
      <c r="G437" t="str">
        <f t="shared" si="20"/>
        <v>15-02-2025 to 21-02-2025</v>
      </c>
    </row>
    <row r="438" spans="1:7">
      <c r="A438" s="1">
        <v>45703</v>
      </c>
      <c r="B438" s="6">
        <v>0.58472222222222225</v>
      </c>
      <c r="C438" t="s">
        <v>22</v>
      </c>
      <c r="D438" s="7">
        <f t="shared" si="18"/>
        <v>45703.584722222222</v>
      </c>
      <c r="E438" t="str">
        <f t="shared" si="19"/>
        <v>15-02-2025 to 21-02-2025</v>
      </c>
      <c r="F438" t="str">
        <f>IF(COUNTIF('Top5'!I:I, G438) &gt; 0, "Yes", "No")</f>
        <v>No</v>
      </c>
      <c r="G438" t="str">
        <f t="shared" si="20"/>
        <v>15-02-2025 to 21-02-2025</v>
      </c>
    </row>
    <row r="439" spans="1:7">
      <c r="A439" s="1">
        <v>45703</v>
      </c>
      <c r="B439" s="6">
        <v>0.59513888888888888</v>
      </c>
      <c r="C439" t="s">
        <v>22</v>
      </c>
      <c r="D439" s="7">
        <f t="shared" si="18"/>
        <v>45703.595138888886</v>
      </c>
      <c r="E439" t="str">
        <f t="shared" si="19"/>
        <v>15-02-2025 to 21-02-2025</v>
      </c>
      <c r="F439" t="str">
        <f>IF(COUNTIF('Top5'!I:I, G439) &gt; 0, "Yes", "No")</f>
        <v>No</v>
      </c>
      <c r="G439" t="str">
        <f t="shared" si="20"/>
        <v>15-02-2025 to 21-02-2025</v>
      </c>
    </row>
    <row r="440" spans="1:7">
      <c r="A440" s="1">
        <v>45703</v>
      </c>
      <c r="B440" s="6">
        <v>0.59583333333333333</v>
      </c>
      <c r="C440" t="s">
        <v>22</v>
      </c>
      <c r="D440" s="7">
        <f t="shared" si="18"/>
        <v>45703.595833333333</v>
      </c>
      <c r="E440" t="str">
        <f t="shared" si="19"/>
        <v>15-02-2025 to 21-02-2025</v>
      </c>
      <c r="F440" t="str">
        <f>IF(COUNTIF('Top5'!I:I, G440) &gt; 0, "Yes", "No")</f>
        <v>No</v>
      </c>
      <c r="G440" t="str">
        <f t="shared" si="20"/>
        <v>15-02-2025 to 21-02-2025</v>
      </c>
    </row>
    <row r="441" spans="1:7">
      <c r="A441" s="1">
        <v>45704</v>
      </c>
      <c r="B441" s="6">
        <v>0.71111111111111114</v>
      </c>
      <c r="C441" t="s">
        <v>23</v>
      </c>
      <c r="D441" s="7">
        <f t="shared" si="18"/>
        <v>45704.711111111108</v>
      </c>
      <c r="E441" t="str">
        <f t="shared" si="19"/>
        <v>16-02-2025 to 22-02-2025</v>
      </c>
      <c r="F441" t="str">
        <f>IF(COUNTIF('Top5'!I:I, G441) &gt; 0, "Yes", "No")</f>
        <v>No</v>
      </c>
      <c r="G441" t="str">
        <f t="shared" si="20"/>
        <v>16-02-2025 to 22-02-2025</v>
      </c>
    </row>
    <row r="442" spans="1:7">
      <c r="A442" s="1">
        <v>45704</v>
      </c>
      <c r="B442" s="6">
        <v>0.71250000000000002</v>
      </c>
      <c r="C442" t="s">
        <v>23</v>
      </c>
      <c r="D442" s="7">
        <f t="shared" si="18"/>
        <v>45704.712500000001</v>
      </c>
      <c r="E442" t="str">
        <f t="shared" si="19"/>
        <v>16-02-2025 to 22-02-2025</v>
      </c>
      <c r="F442" t="str">
        <f>IF(COUNTIF('Top5'!I:I, G442) &gt; 0, "Yes", "No")</f>
        <v>No</v>
      </c>
      <c r="G442" t="str">
        <f t="shared" si="20"/>
        <v>16-02-2025 to 22-02-2025</v>
      </c>
    </row>
    <row r="443" spans="1:7">
      <c r="A443" s="1">
        <v>45704</v>
      </c>
      <c r="B443" s="6">
        <v>0.71388888888888891</v>
      </c>
      <c r="C443" t="s">
        <v>23</v>
      </c>
      <c r="D443" s="7">
        <f t="shared" si="18"/>
        <v>45704.713888888888</v>
      </c>
      <c r="E443" t="str">
        <f t="shared" si="19"/>
        <v>16-02-2025 to 22-02-2025</v>
      </c>
      <c r="F443" t="str">
        <f>IF(COUNTIF('Top5'!I:I, G443) &gt; 0, "Yes", "No")</f>
        <v>No</v>
      </c>
      <c r="G443" t="str">
        <f t="shared" si="20"/>
        <v>16-02-2025 to 22-02-2025</v>
      </c>
    </row>
    <row r="444" spans="1:7">
      <c r="A444" s="1">
        <v>45704</v>
      </c>
      <c r="B444" s="6">
        <v>0.71805555555555556</v>
      </c>
      <c r="C444" t="s">
        <v>23</v>
      </c>
      <c r="D444" s="7">
        <f t="shared" si="18"/>
        <v>45704.718055555553</v>
      </c>
      <c r="E444" t="str">
        <f t="shared" si="19"/>
        <v>16-02-2025 to 22-02-2025</v>
      </c>
      <c r="F444" t="str">
        <f>IF(COUNTIF('Top5'!I:I, G444) &gt; 0, "Yes", "No")</f>
        <v>No</v>
      </c>
      <c r="G444" t="str">
        <f t="shared" si="20"/>
        <v>16-02-2025 to 22-02-2025</v>
      </c>
    </row>
    <row r="445" spans="1:7">
      <c r="A445" s="1">
        <v>45704</v>
      </c>
      <c r="B445" s="6">
        <v>0.72430555555555554</v>
      </c>
      <c r="C445" t="s">
        <v>23</v>
      </c>
      <c r="D445" s="7">
        <f t="shared" si="18"/>
        <v>45704.724305555559</v>
      </c>
      <c r="E445" t="str">
        <f t="shared" si="19"/>
        <v>16-02-2025 to 22-02-2025</v>
      </c>
      <c r="F445" t="str">
        <f>IF(COUNTIF('Top5'!I:I, G445) &gt; 0, "Yes", "No")</f>
        <v>No</v>
      </c>
      <c r="G445" t="str">
        <f t="shared" si="20"/>
        <v>16-02-2025 to 22-02-2025</v>
      </c>
    </row>
    <row r="446" spans="1:7">
      <c r="A446" s="1">
        <v>45704</v>
      </c>
      <c r="B446" s="6">
        <v>0.99791666666666667</v>
      </c>
      <c r="C446" t="s">
        <v>23</v>
      </c>
      <c r="D446" s="7">
        <f t="shared" si="18"/>
        <v>45704.997916666667</v>
      </c>
      <c r="E446" t="str">
        <f t="shared" si="19"/>
        <v>16-02-2025 to 22-02-2025</v>
      </c>
      <c r="F446" t="str">
        <f>IF(COUNTIF('Top5'!I:I, G446) &gt; 0, "Yes", "No")</f>
        <v>No</v>
      </c>
      <c r="G446" t="str">
        <f t="shared" si="20"/>
        <v>16-02-2025 to 22-02-2025</v>
      </c>
    </row>
    <row r="447" spans="1:7">
      <c r="A447" s="1">
        <v>45705</v>
      </c>
      <c r="B447" s="6">
        <v>3.472222222222222E-3</v>
      </c>
      <c r="C447" t="s">
        <v>23</v>
      </c>
      <c r="D447" s="7">
        <f t="shared" si="18"/>
        <v>45705.003472222219</v>
      </c>
      <c r="E447" t="str">
        <f t="shared" si="19"/>
        <v>17-02-2025 to 23-02-2025</v>
      </c>
      <c r="F447" t="str">
        <f>IF(COUNTIF('Top5'!I:I, G447) &gt; 0, "Yes", "No")</f>
        <v>No</v>
      </c>
      <c r="G447" t="str">
        <f t="shared" si="20"/>
        <v>17-02-2025 to 23-02-2025</v>
      </c>
    </row>
    <row r="448" spans="1:7">
      <c r="A448" s="1">
        <v>45705</v>
      </c>
      <c r="B448" s="6">
        <v>0.96805555555555556</v>
      </c>
      <c r="C448" t="s">
        <v>23</v>
      </c>
      <c r="D448" s="7">
        <f t="shared" si="18"/>
        <v>45705.968055555553</v>
      </c>
      <c r="E448" t="str">
        <f t="shared" si="19"/>
        <v>17-02-2025 to 23-02-2025</v>
      </c>
      <c r="F448" t="str">
        <f>IF(COUNTIF('Top5'!I:I, G448) &gt; 0, "Yes", "No")</f>
        <v>No</v>
      </c>
      <c r="G448" t="str">
        <f t="shared" si="20"/>
        <v>17-02-2025 to 23-02-2025</v>
      </c>
    </row>
    <row r="449" spans="1:7">
      <c r="A449" s="1">
        <v>45707</v>
      </c>
      <c r="B449" s="6">
        <v>0.42083333333333334</v>
      </c>
      <c r="C449" t="s">
        <v>22</v>
      </c>
      <c r="D449" s="7">
        <f t="shared" si="18"/>
        <v>45707.42083333333</v>
      </c>
      <c r="E449" t="str">
        <f t="shared" si="19"/>
        <v>19-02-2025 to 25-02-2025</v>
      </c>
      <c r="F449" t="str">
        <f>IF(COUNTIF('Top5'!I:I, G449) &gt; 0, "Yes", "No")</f>
        <v>No</v>
      </c>
      <c r="G449" t="str">
        <f t="shared" si="20"/>
        <v>19-02-2025 to 25-02-2025</v>
      </c>
    </row>
    <row r="450" spans="1:7">
      <c r="A450" s="1">
        <v>45707</v>
      </c>
      <c r="B450" s="6">
        <v>0.45069444444444445</v>
      </c>
      <c r="C450" t="s">
        <v>22</v>
      </c>
      <c r="D450" s="7">
        <f t="shared" si="18"/>
        <v>45707.450694444444</v>
      </c>
      <c r="E450" t="str">
        <f t="shared" si="19"/>
        <v>19-02-2025 to 25-02-2025</v>
      </c>
      <c r="F450" t="str">
        <f>IF(COUNTIF('Top5'!I:I, G450) &gt; 0, "Yes", "No")</f>
        <v>No</v>
      </c>
      <c r="G450" t="str">
        <f t="shared" si="20"/>
        <v>19-02-2025 to 25-02-2025</v>
      </c>
    </row>
    <row r="451" spans="1:7">
      <c r="A451" s="1">
        <v>45707</v>
      </c>
      <c r="B451" s="6">
        <v>0.66736111111111107</v>
      </c>
      <c r="C451" t="s">
        <v>22</v>
      </c>
      <c r="D451" s="7">
        <f t="shared" ref="D451:D514" si="21">VALUE(A451) + VALUE(B451)</f>
        <v>45707.667361111111</v>
      </c>
      <c r="E451" t="str">
        <f t="shared" ref="E451:E514" si="22">TEXT(D451, "dd-mm-yyyy") &amp; " to " &amp; TEXT(D451+6, "dd-mm-yyyy")</f>
        <v>19-02-2025 to 25-02-2025</v>
      </c>
      <c r="F451" t="str">
        <f>IF(COUNTIF('Top5'!I:I, G451) &gt; 0, "Yes", "No")</f>
        <v>No</v>
      </c>
      <c r="G451" t="str">
        <f t="shared" ref="G451:G514" si="23">TRIM(E451)</f>
        <v>19-02-2025 to 25-02-2025</v>
      </c>
    </row>
    <row r="452" spans="1:7">
      <c r="A452" s="1">
        <v>45707</v>
      </c>
      <c r="B452" s="6">
        <v>0.66736111111111107</v>
      </c>
      <c r="C452" t="s">
        <v>22</v>
      </c>
      <c r="D452" s="7">
        <f t="shared" si="21"/>
        <v>45707.667361111111</v>
      </c>
      <c r="E452" t="str">
        <f t="shared" si="22"/>
        <v>19-02-2025 to 25-02-2025</v>
      </c>
      <c r="F452" t="str">
        <f>IF(COUNTIF('Top5'!I:I, G452) &gt; 0, "Yes", "No")</f>
        <v>No</v>
      </c>
      <c r="G452" t="str">
        <f t="shared" si="23"/>
        <v>19-02-2025 to 25-02-2025</v>
      </c>
    </row>
    <row r="453" spans="1:7">
      <c r="A453" s="1">
        <v>45707</v>
      </c>
      <c r="B453" s="6">
        <v>0.78055555555555556</v>
      </c>
      <c r="C453" t="s">
        <v>23</v>
      </c>
      <c r="D453" s="7">
        <f t="shared" si="21"/>
        <v>45707.780555555553</v>
      </c>
      <c r="E453" t="str">
        <f t="shared" si="22"/>
        <v>19-02-2025 to 25-02-2025</v>
      </c>
      <c r="F453" t="str">
        <f>IF(COUNTIF('Top5'!I:I, G453) &gt; 0, "Yes", "No")</f>
        <v>No</v>
      </c>
      <c r="G453" t="str">
        <f t="shared" si="23"/>
        <v>19-02-2025 to 25-02-2025</v>
      </c>
    </row>
    <row r="454" spans="1:7">
      <c r="A454" s="1">
        <v>45708</v>
      </c>
      <c r="B454" s="6">
        <v>0.97847222222222219</v>
      </c>
      <c r="C454" t="s">
        <v>23</v>
      </c>
      <c r="D454" s="7">
        <f t="shared" si="21"/>
        <v>45708.978472222225</v>
      </c>
      <c r="E454" t="str">
        <f t="shared" si="22"/>
        <v>20-02-2025 to 26-02-2025</v>
      </c>
      <c r="F454" t="str">
        <f>IF(COUNTIF('Top5'!I:I, G454) &gt; 0, "Yes", "No")</f>
        <v>No</v>
      </c>
      <c r="G454" t="str">
        <f t="shared" si="23"/>
        <v>20-02-2025 to 26-02-2025</v>
      </c>
    </row>
    <row r="455" spans="1:7">
      <c r="A455" s="1">
        <v>45708</v>
      </c>
      <c r="B455" s="6">
        <v>0.9819444444444444</v>
      </c>
      <c r="C455" t="s">
        <v>23</v>
      </c>
      <c r="D455" s="7">
        <f t="shared" si="21"/>
        <v>45708.981944444444</v>
      </c>
      <c r="E455" t="str">
        <f t="shared" si="22"/>
        <v>20-02-2025 to 26-02-2025</v>
      </c>
      <c r="F455" t="str">
        <f>IF(COUNTIF('Top5'!I:I, G455) &gt; 0, "Yes", "No")</f>
        <v>No</v>
      </c>
      <c r="G455" t="str">
        <f t="shared" si="23"/>
        <v>20-02-2025 to 26-02-2025</v>
      </c>
    </row>
    <row r="456" spans="1:7">
      <c r="A456" s="1">
        <v>45709</v>
      </c>
      <c r="B456" s="6">
        <v>4.8611111111111112E-3</v>
      </c>
      <c r="C456" t="s">
        <v>23</v>
      </c>
      <c r="D456" s="7">
        <f t="shared" si="21"/>
        <v>45709.004861111112</v>
      </c>
      <c r="E456" t="str">
        <f t="shared" si="22"/>
        <v>21-02-2025 to 27-02-2025</v>
      </c>
      <c r="F456" t="str">
        <f>IF(COUNTIF('Top5'!I:I, G456) &gt; 0, "Yes", "No")</f>
        <v>No</v>
      </c>
      <c r="G456" t="str">
        <f t="shared" si="23"/>
        <v>21-02-2025 to 27-02-2025</v>
      </c>
    </row>
    <row r="457" spans="1:7">
      <c r="A457" s="1">
        <v>45709</v>
      </c>
      <c r="B457" s="6">
        <v>5.5555555555555558E-3</v>
      </c>
      <c r="C457" t="s">
        <v>23</v>
      </c>
      <c r="D457" s="7">
        <f t="shared" si="21"/>
        <v>45709.005555555559</v>
      </c>
      <c r="E457" t="str">
        <f t="shared" si="22"/>
        <v>21-02-2025 to 27-02-2025</v>
      </c>
      <c r="F457" t="str">
        <f>IF(COUNTIF('Top5'!I:I, G457) &gt; 0, "Yes", "No")</f>
        <v>No</v>
      </c>
      <c r="G457" t="str">
        <f t="shared" si="23"/>
        <v>21-02-2025 to 27-02-2025</v>
      </c>
    </row>
    <row r="458" spans="1:7">
      <c r="A458" s="1">
        <v>45709</v>
      </c>
      <c r="B458" s="6">
        <v>6.2500000000000003E-3</v>
      </c>
      <c r="C458" t="s">
        <v>23</v>
      </c>
      <c r="D458" s="7">
        <f t="shared" si="21"/>
        <v>45709.006249999999</v>
      </c>
      <c r="E458" t="str">
        <f t="shared" si="22"/>
        <v>21-02-2025 to 27-02-2025</v>
      </c>
      <c r="F458" t="str">
        <f>IF(COUNTIF('Top5'!I:I, G458) &gt; 0, "Yes", "No")</f>
        <v>No</v>
      </c>
      <c r="G458" t="str">
        <f t="shared" si="23"/>
        <v>21-02-2025 to 27-02-2025</v>
      </c>
    </row>
    <row r="459" spans="1:7">
      <c r="A459" s="1">
        <v>45709</v>
      </c>
      <c r="B459" s="6">
        <v>6.9444444444444441E-3</v>
      </c>
      <c r="C459" t="s">
        <v>23</v>
      </c>
      <c r="D459" s="7">
        <f t="shared" si="21"/>
        <v>45709.006944444445</v>
      </c>
      <c r="E459" t="str">
        <f t="shared" si="22"/>
        <v>21-02-2025 to 27-02-2025</v>
      </c>
      <c r="F459" t="str">
        <f>IF(COUNTIF('Top5'!I:I, G459) &gt; 0, "Yes", "No")</f>
        <v>No</v>
      </c>
      <c r="G459" t="str">
        <f t="shared" si="23"/>
        <v>21-02-2025 to 27-02-2025</v>
      </c>
    </row>
    <row r="460" spans="1:7">
      <c r="A460" s="1">
        <v>45709</v>
      </c>
      <c r="B460" s="6">
        <v>1.1805555555555555E-2</v>
      </c>
      <c r="C460" t="s">
        <v>23</v>
      </c>
      <c r="D460" s="7">
        <f t="shared" si="21"/>
        <v>45709.011805555558</v>
      </c>
      <c r="E460" t="str">
        <f t="shared" si="22"/>
        <v>21-02-2025 to 27-02-2025</v>
      </c>
      <c r="F460" t="str">
        <f>IF(COUNTIF('Top5'!I:I, G460) &gt; 0, "Yes", "No")</f>
        <v>No</v>
      </c>
      <c r="G460" t="str">
        <f t="shared" si="23"/>
        <v>21-02-2025 to 27-02-2025</v>
      </c>
    </row>
    <row r="461" spans="1:7">
      <c r="A461" s="1">
        <v>45709</v>
      </c>
      <c r="B461" s="6">
        <v>1.4583333333333334E-2</v>
      </c>
      <c r="C461" t="s">
        <v>23</v>
      </c>
      <c r="D461" s="7">
        <f t="shared" si="21"/>
        <v>45709.01458333333</v>
      </c>
      <c r="E461" t="str">
        <f t="shared" si="22"/>
        <v>21-02-2025 to 27-02-2025</v>
      </c>
      <c r="F461" t="str">
        <f>IF(COUNTIF('Top5'!I:I, G461) &gt; 0, "Yes", "No")</f>
        <v>No</v>
      </c>
      <c r="G461" t="str">
        <f t="shared" si="23"/>
        <v>21-02-2025 to 27-02-2025</v>
      </c>
    </row>
    <row r="462" spans="1:7">
      <c r="A462" s="1">
        <v>45709</v>
      </c>
      <c r="B462" s="6">
        <v>0.50069444444444444</v>
      </c>
      <c r="C462" t="s">
        <v>22</v>
      </c>
      <c r="D462" s="7">
        <f t="shared" si="21"/>
        <v>45709.500694444447</v>
      </c>
      <c r="E462" t="str">
        <f t="shared" si="22"/>
        <v>21-02-2025 to 27-02-2025</v>
      </c>
      <c r="F462" t="str">
        <f>IF(COUNTIF('Top5'!I:I, G462) &gt; 0, "Yes", "No")</f>
        <v>No</v>
      </c>
      <c r="G462" t="str">
        <f t="shared" si="23"/>
        <v>21-02-2025 to 27-02-2025</v>
      </c>
    </row>
    <row r="463" spans="1:7">
      <c r="A463" s="1">
        <v>45709</v>
      </c>
      <c r="B463" s="6">
        <v>0.50138888888888888</v>
      </c>
      <c r="C463" t="s">
        <v>22</v>
      </c>
      <c r="D463" s="7">
        <f t="shared" si="21"/>
        <v>45709.501388888886</v>
      </c>
      <c r="E463" t="str">
        <f t="shared" si="22"/>
        <v>21-02-2025 to 27-02-2025</v>
      </c>
      <c r="F463" t="str">
        <f>IF(COUNTIF('Top5'!I:I, G463) &gt; 0, "Yes", "No")</f>
        <v>No</v>
      </c>
      <c r="G463" t="str">
        <f t="shared" si="23"/>
        <v>21-02-2025 to 27-02-2025</v>
      </c>
    </row>
    <row r="464" spans="1:7">
      <c r="A464" s="1">
        <v>45709</v>
      </c>
      <c r="B464" s="6">
        <v>0.51041666666666663</v>
      </c>
      <c r="C464" t="s">
        <v>22</v>
      </c>
      <c r="D464" s="7">
        <f t="shared" si="21"/>
        <v>45709.510416666664</v>
      </c>
      <c r="E464" t="str">
        <f t="shared" si="22"/>
        <v>21-02-2025 to 27-02-2025</v>
      </c>
      <c r="F464" t="str">
        <f>IF(COUNTIF('Top5'!I:I, G464) &gt; 0, "Yes", "No")</f>
        <v>No</v>
      </c>
      <c r="G464" t="str">
        <f t="shared" si="23"/>
        <v>21-02-2025 to 27-02-2025</v>
      </c>
    </row>
    <row r="465" spans="1:7">
      <c r="A465" s="1">
        <v>45709</v>
      </c>
      <c r="B465" s="6">
        <v>0.60833333333333328</v>
      </c>
      <c r="C465" t="s">
        <v>22</v>
      </c>
      <c r="D465" s="7">
        <f t="shared" si="21"/>
        <v>45709.60833333333</v>
      </c>
      <c r="E465" t="str">
        <f t="shared" si="22"/>
        <v>21-02-2025 to 27-02-2025</v>
      </c>
      <c r="F465" t="str">
        <f>IF(COUNTIF('Top5'!I:I, G465) &gt; 0, "Yes", "No")</f>
        <v>No</v>
      </c>
      <c r="G465" t="str">
        <f t="shared" si="23"/>
        <v>21-02-2025 to 27-02-2025</v>
      </c>
    </row>
    <row r="466" spans="1:7">
      <c r="A466" s="1">
        <v>45710</v>
      </c>
      <c r="B466" s="6">
        <v>0.96944444444444444</v>
      </c>
      <c r="C466" t="s">
        <v>23</v>
      </c>
      <c r="D466" s="7">
        <f t="shared" si="21"/>
        <v>45710.969444444447</v>
      </c>
      <c r="E466" t="str">
        <f t="shared" si="22"/>
        <v>22-02-2025 to 28-02-2025</v>
      </c>
      <c r="F466" t="str">
        <f>IF(COUNTIF('Top5'!I:I, G466) &gt; 0, "Yes", "No")</f>
        <v>No</v>
      </c>
      <c r="G466" t="str">
        <f t="shared" si="23"/>
        <v>22-02-2025 to 28-02-2025</v>
      </c>
    </row>
    <row r="467" spans="1:7">
      <c r="A467" s="1">
        <v>45710</v>
      </c>
      <c r="B467" s="6">
        <v>0.97916666666666663</v>
      </c>
      <c r="C467" t="s">
        <v>23</v>
      </c>
      <c r="D467" s="7">
        <f t="shared" si="21"/>
        <v>45710.979166666664</v>
      </c>
      <c r="E467" t="str">
        <f t="shared" si="22"/>
        <v>22-02-2025 to 28-02-2025</v>
      </c>
      <c r="F467" t="str">
        <f>IF(COUNTIF('Top5'!I:I, G467) &gt; 0, "Yes", "No")</f>
        <v>No</v>
      </c>
      <c r="G467" t="str">
        <f t="shared" si="23"/>
        <v>22-02-2025 to 28-02-2025</v>
      </c>
    </row>
    <row r="468" spans="1:7">
      <c r="A468" s="1">
        <v>45711</v>
      </c>
      <c r="B468" s="6">
        <v>0.45</v>
      </c>
      <c r="C468" t="s">
        <v>22</v>
      </c>
      <c r="D468" s="7">
        <f t="shared" si="21"/>
        <v>45711.45</v>
      </c>
      <c r="E468" t="str">
        <f t="shared" si="22"/>
        <v>23-02-2025 to 01-03-2025</v>
      </c>
      <c r="F468" t="str">
        <f>IF(COUNTIF('Top5'!I:I, G468) &gt; 0, "Yes", "No")</f>
        <v>No</v>
      </c>
      <c r="G468" t="str">
        <f t="shared" si="23"/>
        <v>23-02-2025 to 01-03-2025</v>
      </c>
    </row>
    <row r="469" spans="1:7">
      <c r="A469" s="1">
        <v>45711</v>
      </c>
      <c r="B469" s="6">
        <v>0.47499999999999998</v>
      </c>
      <c r="C469" t="s">
        <v>22</v>
      </c>
      <c r="D469" s="7">
        <f t="shared" si="21"/>
        <v>45711.474999999999</v>
      </c>
      <c r="E469" t="str">
        <f t="shared" si="22"/>
        <v>23-02-2025 to 01-03-2025</v>
      </c>
      <c r="F469" t="str">
        <f>IF(COUNTIF('Top5'!I:I, G469) &gt; 0, "Yes", "No")</f>
        <v>No</v>
      </c>
      <c r="G469" t="str">
        <f t="shared" si="23"/>
        <v>23-02-2025 to 01-03-2025</v>
      </c>
    </row>
    <row r="470" spans="1:7">
      <c r="A470" s="1">
        <v>45711</v>
      </c>
      <c r="B470" s="6">
        <v>0.47638888888888886</v>
      </c>
      <c r="C470" t="s">
        <v>22</v>
      </c>
      <c r="D470" s="7">
        <f t="shared" si="21"/>
        <v>45711.476388888892</v>
      </c>
      <c r="E470" t="str">
        <f t="shared" si="22"/>
        <v>23-02-2025 to 01-03-2025</v>
      </c>
      <c r="F470" t="str">
        <f>IF(COUNTIF('Top5'!I:I, G470) &gt; 0, "Yes", "No")</f>
        <v>No</v>
      </c>
      <c r="G470" t="str">
        <f t="shared" si="23"/>
        <v>23-02-2025 to 01-03-2025</v>
      </c>
    </row>
    <row r="471" spans="1:7">
      <c r="A471" s="1">
        <v>45711</v>
      </c>
      <c r="B471" s="6">
        <v>0.8208333333333333</v>
      </c>
      <c r="C471" t="s">
        <v>23</v>
      </c>
      <c r="D471" s="7">
        <f t="shared" si="21"/>
        <v>45711.820833333331</v>
      </c>
      <c r="E471" t="str">
        <f t="shared" si="22"/>
        <v>23-02-2025 to 01-03-2025</v>
      </c>
      <c r="F471" t="str">
        <f>IF(COUNTIF('Top5'!I:I, G471) &gt; 0, "Yes", "No")</f>
        <v>No</v>
      </c>
      <c r="G471" t="str">
        <f t="shared" si="23"/>
        <v>23-02-2025 to 01-03-2025</v>
      </c>
    </row>
    <row r="472" spans="1:7">
      <c r="A472" s="1">
        <v>45711</v>
      </c>
      <c r="B472" s="6">
        <v>0.82152777777777775</v>
      </c>
      <c r="C472" t="s">
        <v>23</v>
      </c>
      <c r="D472" s="7">
        <f t="shared" si="21"/>
        <v>45711.821527777778</v>
      </c>
      <c r="E472" t="str">
        <f t="shared" si="22"/>
        <v>23-02-2025 to 01-03-2025</v>
      </c>
      <c r="F472" t="str">
        <f>IF(COUNTIF('Top5'!I:I, G472) &gt; 0, "Yes", "No")</f>
        <v>No</v>
      </c>
      <c r="G472" t="str">
        <f t="shared" si="23"/>
        <v>23-02-2025 to 01-03-2025</v>
      </c>
    </row>
    <row r="473" spans="1:7">
      <c r="A473" s="1">
        <v>45711</v>
      </c>
      <c r="B473" s="6">
        <v>0.84722222222222221</v>
      </c>
      <c r="C473" t="s">
        <v>23</v>
      </c>
      <c r="D473" s="7">
        <f t="shared" si="21"/>
        <v>45711.847222222219</v>
      </c>
      <c r="E473" t="str">
        <f t="shared" si="22"/>
        <v>23-02-2025 to 01-03-2025</v>
      </c>
      <c r="F473" t="str">
        <f>IF(COUNTIF('Top5'!I:I, G473) &gt; 0, "Yes", "No")</f>
        <v>No</v>
      </c>
      <c r="G473" t="str">
        <f t="shared" si="23"/>
        <v>23-02-2025 to 01-03-2025</v>
      </c>
    </row>
    <row r="474" spans="1:7">
      <c r="A474" s="1">
        <v>45711</v>
      </c>
      <c r="B474" s="6">
        <v>0.99444444444444446</v>
      </c>
      <c r="C474" t="s">
        <v>23</v>
      </c>
      <c r="D474" s="7">
        <f t="shared" si="21"/>
        <v>45711.994444444441</v>
      </c>
      <c r="E474" t="str">
        <f t="shared" si="22"/>
        <v>23-02-2025 to 01-03-2025</v>
      </c>
      <c r="F474" t="str">
        <f>IF(COUNTIF('Top5'!I:I, G474) &gt; 0, "Yes", "No")</f>
        <v>No</v>
      </c>
      <c r="G474" t="str">
        <f t="shared" si="23"/>
        <v>23-02-2025 to 01-03-2025</v>
      </c>
    </row>
    <row r="475" spans="1:7">
      <c r="A475" s="1">
        <v>45711</v>
      </c>
      <c r="B475" s="6">
        <v>0.99583333333333335</v>
      </c>
      <c r="C475" t="s">
        <v>23</v>
      </c>
      <c r="D475" s="7">
        <f t="shared" si="21"/>
        <v>45711.995833333334</v>
      </c>
      <c r="E475" t="str">
        <f t="shared" si="22"/>
        <v>23-02-2025 to 01-03-2025</v>
      </c>
      <c r="F475" t="str">
        <f>IF(COUNTIF('Top5'!I:I, G475) &gt; 0, "Yes", "No")</f>
        <v>No</v>
      </c>
      <c r="G475" t="str">
        <f t="shared" si="23"/>
        <v>23-02-2025 to 01-03-2025</v>
      </c>
    </row>
    <row r="476" spans="1:7">
      <c r="A476" s="1">
        <v>45712</v>
      </c>
      <c r="B476" s="6">
        <v>0.70347222222222228</v>
      </c>
      <c r="C476" t="s">
        <v>22</v>
      </c>
      <c r="D476" s="7">
        <f t="shared" si="21"/>
        <v>45712.703472222223</v>
      </c>
      <c r="E476" t="str">
        <f t="shared" si="22"/>
        <v>24-02-2025 to 02-03-2025</v>
      </c>
      <c r="F476" t="str">
        <f>IF(COUNTIF('Top5'!I:I, G476) &gt; 0, "Yes", "No")</f>
        <v>No</v>
      </c>
      <c r="G476" t="str">
        <f t="shared" si="23"/>
        <v>24-02-2025 to 02-03-2025</v>
      </c>
    </row>
    <row r="477" spans="1:7">
      <c r="A477" s="1">
        <v>45712</v>
      </c>
      <c r="B477" s="6">
        <v>0.7104166666666667</v>
      </c>
      <c r="C477" t="s">
        <v>23</v>
      </c>
      <c r="D477" s="7">
        <f t="shared" si="21"/>
        <v>45712.710416666669</v>
      </c>
      <c r="E477" t="str">
        <f t="shared" si="22"/>
        <v>24-02-2025 to 02-03-2025</v>
      </c>
      <c r="F477" t="str">
        <f>IF(COUNTIF('Top5'!I:I, G477) &gt; 0, "Yes", "No")</f>
        <v>No</v>
      </c>
      <c r="G477" t="str">
        <f t="shared" si="23"/>
        <v>24-02-2025 to 02-03-2025</v>
      </c>
    </row>
    <row r="478" spans="1:7">
      <c r="A478" s="1">
        <v>45712</v>
      </c>
      <c r="B478" s="6">
        <v>0.7104166666666667</v>
      </c>
      <c r="C478" t="s">
        <v>23</v>
      </c>
      <c r="D478" s="7">
        <f t="shared" si="21"/>
        <v>45712.710416666669</v>
      </c>
      <c r="E478" t="str">
        <f t="shared" si="22"/>
        <v>24-02-2025 to 02-03-2025</v>
      </c>
      <c r="F478" t="str">
        <f>IF(COUNTIF('Top5'!I:I, G478) &gt; 0, "Yes", "No")</f>
        <v>No</v>
      </c>
      <c r="G478" t="str">
        <f t="shared" si="23"/>
        <v>24-02-2025 to 02-03-2025</v>
      </c>
    </row>
    <row r="479" spans="1:7">
      <c r="A479" s="1">
        <v>45712</v>
      </c>
      <c r="B479" s="6">
        <v>0.73055555555555551</v>
      </c>
      <c r="C479" t="s">
        <v>23</v>
      </c>
      <c r="D479" s="7">
        <f t="shared" si="21"/>
        <v>45712.730555555558</v>
      </c>
      <c r="E479" t="str">
        <f t="shared" si="22"/>
        <v>24-02-2025 to 02-03-2025</v>
      </c>
      <c r="F479" t="str">
        <f>IF(COUNTIF('Top5'!I:I, G479) &gt; 0, "Yes", "No")</f>
        <v>No</v>
      </c>
      <c r="G479" t="str">
        <f t="shared" si="23"/>
        <v>24-02-2025 to 02-03-2025</v>
      </c>
    </row>
    <row r="480" spans="1:7">
      <c r="A480" s="1">
        <v>45713</v>
      </c>
      <c r="B480" s="6">
        <v>0.40625</v>
      </c>
      <c r="C480" t="s">
        <v>22</v>
      </c>
      <c r="D480" s="7">
        <f t="shared" si="21"/>
        <v>45713.40625</v>
      </c>
      <c r="E480" t="str">
        <f t="shared" si="22"/>
        <v>25-02-2025 to 03-03-2025</v>
      </c>
      <c r="F480" t="str">
        <f>IF(COUNTIF('Top5'!I:I, G480) &gt; 0, "Yes", "No")</f>
        <v>No</v>
      </c>
      <c r="G480" t="str">
        <f t="shared" si="23"/>
        <v>25-02-2025 to 03-03-2025</v>
      </c>
    </row>
    <row r="481" spans="1:7">
      <c r="A481" s="1">
        <v>45713</v>
      </c>
      <c r="B481" s="6">
        <v>0.41666666666666669</v>
      </c>
      <c r="C481" t="s">
        <v>22</v>
      </c>
      <c r="D481" s="7">
        <f t="shared" si="21"/>
        <v>45713.416666666664</v>
      </c>
      <c r="E481" t="str">
        <f t="shared" si="22"/>
        <v>25-02-2025 to 03-03-2025</v>
      </c>
      <c r="F481" t="str">
        <f>IF(COUNTIF('Top5'!I:I, G481) &gt; 0, "Yes", "No")</f>
        <v>No</v>
      </c>
      <c r="G481" t="str">
        <f t="shared" si="23"/>
        <v>25-02-2025 to 03-03-2025</v>
      </c>
    </row>
    <row r="482" spans="1:7">
      <c r="A482" s="1">
        <v>45713</v>
      </c>
      <c r="B482" s="6">
        <v>0.97777777777777775</v>
      </c>
      <c r="C482" t="s">
        <v>23</v>
      </c>
      <c r="D482" s="7">
        <f t="shared" si="21"/>
        <v>45713.977777777778</v>
      </c>
      <c r="E482" t="str">
        <f t="shared" si="22"/>
        <v>25-02-2025 to 03-03-2025</v>
      </c>
      <c r="F482" t="str">
        <f>IF(COUNTIF('Top5'!I:I, G482) &gt; 0, "Yes", "No")</f>
        <v>No</v>
      </c>
      <c r="G482" t="str">
        <f t="shared" si="23"/>
        <v>25-02-2025 to 03-03-2025</v>
      </c>
    </row>
    <row r="483" spans="1:7">
      <c r="A483" s="1">
        <v>45714</v>
      </c>
      <c r="B483" s="6">
        <v>0.44374999999999998</v>
      </c>
      <c r="C483" t="s">
        <v>22</v>
      </c>
      <c r="D483" s="7">
        <f t="shared" si="21"/>
        <v>45714.443749999999</v>
      </c>
      <c r="E483" t="str">
        <f t="shared" si="22"/>
        <v>26-02-2025 to 04-03-2025</v>
      </c>
      <c r="F483" t="str">
        <f>IF(COUNTIF('Top5'!I:I, G483) &gt; 0, "Yes", "No")</f>
        <v>No</v>
      </c>
      <c r="G483" t="str">
        <f t="shared" si="23"/>
        <v>26-02-2025 to 04-03-2025</v>
      </c>
    </row>
    <row r="484" spans="1:7">
      <c r="A484" s="1">
        <v>45714</v>
      </c>
      <c r="B484" s="6">
        <v>0.47569444444444442</v>
      </c>
      <c r="C484" t="s">
        <v>22</v>
      </c>
      <c r="D484" s="7">
        <f t="shared" si="21"/>
        <v>45714.475694444445</v>
      </c>
      <c r="E484" t="str">
        <f t="shared" si="22"/>
        <v>26-02-2025 to 04-03-2025</v>
      </c>
      <c r="F484" t="str">
        <f>IF(COUNTIF('Top5'!I:I, G484) &gt; 0, "Yes", "No")</f>
        <v>No</v>
      </c>
      <c r="G484" t="str">
        <f t="shared" si="23"/>
        <v>26-02-2025 to 04-03-2025</v>
      </c>
    </row>
    <row r="485" spans="1:7">
      <c r="A485" s="1">
        <v>45714</v>
      </c>
      <c r="B485" s="6">
        <v>0.47569444444444442</v>
      </c>
      <c r="C485" t="s">
        <v>22</v>
      </c>
      <c r="D485" s="7">
        <f t="shared" si="21"/>
        <v>45714.475694444445</v>
      </c>
      <c r="E485" t="str">
        <f t="shared" si="22"/>
        <v>26-02-2025 to 04-03-2025</v>
      </c>
      <c r="F485" t="str">
        <f>IF(COUNTIF('Top5'!I:I, G485) &gt; 0, "Yes", "No")</f>
        <v>No</v>
      </c>
      <c r="G485" t="str">
        <f t="shared" si="23"/>
        <v>26-02-2025 to 04-03-2025</v>
      </c>
    </row>
    <row r="486" spans="1:7">
      <c r="A486" s="1">
        <v>45714</v>
      </c>
      <c r="B486" s="6">
        <v>0.47638888888888886</v>
      </c>
      <c r="C486" t="s">
        <v>22</v>
      </c>
      <c r="D486" s="7">
        <f t="shared" si="21"/>
        <v>45714.476388888892</v>
      </c>
      <c r="E486" t="str">
        <f t="shared" si="22"/>
        <v>26-02-2025 to 04-03-2025</v>
      </c>
      <c r="F486" t="str">
        <f>IF(COUNTIF('Top5'!I:I, G486) &gt; 0, "Yes", "No")</f>
        <v>No</v>
      </c>
      <c r="G486" t="str">
        <f t="shared" si="23"/>
        <v>26-02-2025 to 04-03-2025</v>
      </c>
    </row>
    <row r="487" spans="1:7">
      <c r="A487" s="1">
        <v>45714</v>
      </c>
      <c r="B487" s="6">
        <v>0.48888888888888887</v>
      </c>
      <c r="C487" t="s">
        <v>22</v>
      </c>
      <c r="D487" s="7">
        <f t="shared" si="21"/>
        <v>45714.488888888889</v>
      </c>
      <c r="E487" t="str">
        <f t="shared" si="22"/>
        <v>26-02-2025 to 04-03-2025</v>
      </c>
      <c r="F487" t="str">
        <f>IF(COUNTIF('Top5'!I:I, G487) &gt; 0, "Yes", "No")</f>
        <v>No</v>
      </c>
      <c r="G487" t="str">
        <f t="shared" si="23"/>
        <v>26-02-2025 to 04-03-2025</v>
      </c>
    </row>
    <row r="488" spans="1:7">
      <c r="A488" s="1">
        <v>45714</v>
      </c>
      <c r="B488" s="6">
        <v>0.49305555555555558</v>
      </c>
      <c r="C488" t="s">
        <v>22</v>
      </c>
      <c r="D488" s="7">
        <f t="shared" si="21"/>
        <v>45714.493055555555</v>
      </c>
      <c r="E488" t="str">
        <f t="shared" si="22"/>
        <v>26-02-2025 to 04-03-2025</v>
      </c>
      <c r="F488" t="str">
        <f>IF(COUNTIF('Top5'!I:I, G488) &gt; 0, "Yes", "No")</f>
        <v>No</v>
      </c>
      <c r="G488" t="str">
        <f t="shared" si="23"/>
        <v>26-02-2025 to 04-03-2025</v>
      </c>
    </row>
    <row r="489" spans="1:7">
      <c r="A489" s="1">
        <v>45714</v>
      </c>
      <c r="B489" s="6">
        <v>0.49375000000000002</v>
      </c>
      <c r="C489" t="s">
        <v>22</v>
      </c>
      <c r="D489" s="7">
        <f t="shared" si="21"/>
        <v>45714.493750000001</v>
      </c>
      <c r="E489" t="str">
        <f t="shared" si="22"/>
        <v>26-02-2025 to 04-03-2025</v>
      </c>
      <c r="F489" t="str">
        <f>IF(COUNTIF('Top5'!I:I, G489) &gt; 0, "Yes", "No")</f>
        <v>No</v>
      </c>
      <c r="G489" t="str">
        <f t="shared" si="23"/>
        <v>26-02-2025 to 04-03-2025</v>
      </c>
    </row>
    <row r="490" spans="1:7">
      <c r="A490" s="1">
        <v>45714</v>
      </c>
      <c r="B490" s="6">
        <v>0.49375000000000002</v>
      </c>
      <c r="C490" t="s">
        <v>22</v>
      </c>
      <c r="D490" s="7">
        <f t="shared" si="21"/>
        <v>45714.493750000001</v>
      </c>
      <c r="E490" t="str">
        <f t="shared" si="22"/>
        <v>26-02-2025 to 04-03-2025</v>
      </c>
      <c r="F490" t="str">
        <f>IF(COUNTIF('Top5'!I:I, G490) &gt; 0, "Yes", "No")</f>
        <v>No</v>
      </c>
      <c r="G490" t="str">
        <f t="shared" si="23"/>
        <v>26-02-2025 to 04-03-2025</v>
      </c>
    </row>
    <row r="491" spans="1:7">
      <c r="A491" s="1">
        <v>45714</v>
      </c>
      <c r="B491" s="6">
        <v>0.85138888888888886</v>
      </c>
      <c r="C491" t="s">
        <v>23</v>
      </c>
      <c r="D491" s="7">
        <f t="shared" si="21"/>
        <v>45714.851388888892</v>
      </c>
      <c r="E491" t="str">
        <f t="shared" si="22"/>
        <v>26-02-2025 to 04-03-2025</v>
      </c>
      <c r="F491" t="str">
        <f>IF(COUNTIF('Top5'!I:I, G491) &gt; 0, "Yes", "No")</f>
        <v>No</v>
      </c>
      <c r="G491" t="str">
        <f t="shared" si="23"/>
        <v>26-02-2025 to 04-03-2025</v>
      </c>
    </row>
    <row r="492" spans="1:7">
      <c r="A492" s="1">
        <v>45715</v>
      </c>
      <c r="B492" s="6">
        <v>2.7777777777777779E-3</v>
      </c>
      <c r="C492" t="s">
        <v>23</v>
      </c>
      <c r="D492" s="7">
        <f t="shared" si="21"/>
        <v>45715.00277777778</v>
      </c>
      <c r="E492" t="str">
        <f t="shared" si="22"/>
        <v>27-02-2025 to 05-03-2025</v>
      </c>
      <c r="F492" t="str">
        <f>IF(COUNTIF('Top5'!I:I, G492) &gt; 0, "Yes", "No")</f>
        <v>No</v>
      </c>
      <c r="G492" t="str">
        <f t="shared" si="23"/>
        <v>27-02-2025 to 05-03-2025</v>
      </c>
    </row>
    <row r="493" spans="1:7">
      <c r="A493" s="1">
        <v>45715</v>
      </c>
      <c r="B493" s="6">
        <v>4.1666666666666666E-3</v>
      </c>
      <c r="C493" t="s">
        <v>23</v>
      </c>
      <c r="D493" s="7">
        <f t="shared" si="21"/>
        <v>45715.004166666666</v>
      </c>
      <c r="E493" t="str">
        <f t="shared" si="22"/>
        <v>27-02-2025 to 05-03-2025</v>
      </c>
      <c r="F493" t="str">
        <f>IF(COUNTIF('Top5'!I:I, G493) &gt; 0, "Yes", "No")</f>
        <v>No</v>
      </c>
      <c r="G493" t="str">
        <f t="shared" si="23"/>
        <v>27-02-2025 to 05-03-2025</v>
      </c>
    </row>
    <row r="494" spans="1:7">
      <c r="A494" s="1">
        <v>45715</v>
      </c>
      <c r="B494" s="6">
        <v>0.65972222222222221</v>
      </c>
      <c r="C494" t="s">
        <v>22</v>
      </c>
      <c r="D494" s="7">
        <f t="shared" si="21"/>
        <v>45715.659722222219</v>
      </c>
      <c r="E494" t="str">
        <f t="shared" si="22"/>
        <v>27-02-2025 to 05-03-2025</v>
      </c>
      <c r="F494" t="str">
        <f>IF(COUNTIF('Top5'!I:I, G494) &gt; 0, "Yes", "No")</f>
        <v>No</v>
      </c>
      <c r="G494" t="str">
        <f t="shared" si="23"/>
        <v>27-02-2025 to 05-03-2025</v>
      </c>
    </row>
    <row r="495" spans="1:7">
      <c r="A495" s="1">
        <v>45715</v>
      </c>
      <c r="B495" s="6">
        <v>0.79652777777777772</v>
      </c>
      <c r="C495" t="s">
        <v>23</v>
      </c>
      <c r="D495" s="7">
        <f t="shared" si="21"/>
        <v>45715.796527777777</v>
      </c>
      <c r="E495" t="str">
        <f t="shared" si="22"/>
        <v>27-02-2025 to 05-03-2025</v>
      </c>
      <c r="F495" t="str">
        <f>IF(COUNTIF('Top5'!I:I, G495) &gt; 0, "Yes", "No")</f>
        <v>No</v>
      </c>
      <c r="G495" t="str">
        <f t="shared" si="23"/>
        <v>27-02-2025 to 05-03-2025</v>
      </c>
    </row>
    <row r="496" spans="1:7">
      <c r="A496" s="1">
        <v>45715</v>
      </c>
      <c r="B496" s="6">
        <v>0.79652777777777772</v>
      </c>
      <c r="C496" t="s">
        <v>23</v>
      </c>
      <c r="D496" s="7">
        <f t="shared" si="21"/>
        <v>45715.796527777777</v>
      </c>
      <c r="E496" t="str">
        <f t="shared" si="22"/>
        <v>27-02-2025 to 05-03-2025</v>
      </c>
      <c r="F496" t="str">
        <f>IF(COUNTIF('Top5'!I:I, G496) &gt; 0, "Yes", "No")</f>
        <v>No</v>
      </c>
      <c r="G496" t="str">
        <f t="shared" si="23"/>
        <v>27-02-2025 to 05-03-2025</v>
      </c>
    </row>
    <row r="497" spans="1:7">
      <c r="A497" s="1">
        <v>45716</v>
      </c>
      <c r="B497" s="6">
        <v>0.7368055555555556</v>
      </c>
      <c r="C497" t="s">
        <v>23</v>
      </c>
      <c r="D497" s="7">
        <f t="shared" si="21"/>
        <v>45716.736805555556</v>
      </c>
      <c r="E497" t="str">
        <f t="shared" si="22"/>
        <v>28-02-2025 to 06-03-2025</v>
      </c>
      <c r="F497" t="str">
        <f>IF(COUNTIF('Top5'!I:I, G497) &gt; 0, "Yes", "No")</f>
        <v>No</v>
      </c>
      <c r="G497" t="str">
        <f t="shared" si="23"/>
        <v>28-02-2025 to 06-03-2025</v>
      </c>
    </row>
    <row r="498" spans="1:7">
      <c r="A498" s="1">
        <v>45716</v>
      </c>
      <c r="B498" s="6">
        <v>0.76111111111111107</v>
      </c>
      <c r="C498" t="s">
        <v>23</v>
      </c>
      <c r="D498" s="7">
        <f t="shared" si="21"/>
        <v>45716.761111111111</v>
      </c>
      <c r="E498" t="str">
        <f t="shared" si="22"/>
        <v>28-02-2025 to 06-03-2025</v>
      </c>
      <c r="F498" t="str">
        <f>IF(COUNTIF('Top5'!I:I, G498) &gt; 0, "Yes", "No")</f>
        <v>No</v>
      </c>
      <c r="G498" t="str">
        <f t="shared" si="23"/>
        <v>28-02-2025 to 06-03-2025</v>
      </c>
    </row>
    <row r="499" spans="1:7">
      <c r="A499" s="1">
        <v>45716</v>
      </c>
      <c r="B499" s="6">
        <v>0.91249999999999998</v>
      </c>
      <c r="C499" t="s">
        <v>23</v>
      </c>
      <c r="D499" s="7">
        <f t="shared" si="21"/>
        <v>45716.912499999999</v>
      </c>
      <c r="E499" t="str">
        <f t="shared" si="22"/>
        <v>28-02-2025 to 06-03-2025</v>
      </c>
      <c r="F499" t="str">
        <f>IF(COUNTIF('Top5'!I:I, G499) &gt; 0, "Yes", "No")</f>
        <v>No</v>
      </c>
      <c r="G499" t="str">
        <f t="shared" si="23"/>
        <v>28-02-2025 to 06-03-2025</v>
      </c>
    </row>
    <row r="500" spans="1:7">
      <c r="A500" s="1">
        <v>45716</v>
      </c>
      <c r="B500" s="6">
        <v>0.91597222222222219</v>
      </c>
      <c r="C500" t="s">
        <v>23</v>
      </c>
      <c r="D500" s="7">
        <f t="shared" si="21"/>
        <v>45716.915972222225</v>
      </c>
      <c r="E500" t="str">
        <f t="shared" si="22"/>
        <v>28-02-2025 to 06-03-2025</v>
      </c>
      <c r="F500" t="str">
        <f>IF(COUNTIF('Top5'!I:I, G500) &gt; 0, "Yes", "No")</f>
        <v>No</v>
      </c>
      <c r="G500" t="str">
        <f t="shared" si="23"/>
        <v>28-02-2025 to 06-03-2025</v>
      </c>
    </row>
    <row r="501" spans="1:7">
      <c r="A501" s="1">
        <v>45716</v>
      </c>
      <c r="B501" s="6">
        <v>0.94722222222222219</v>
      </c>
      <c r="C501" t="s">
        <v>23</v>
      </c>
      <c r="D501" s="7">
        <f t="shared" si="21"/>
        <v>45716.947222222225</v>
      </c>
      <c r="E501" t="str">
        <f t="shared" si="22"/>
        <v>28-02-2025 to 06-03-2025</v>
      </c>
      <c r="F501" t="str">
        <f>IF(COUNTIF('Top5'!I:I, G501) &gt; 0, "Yes", "No")</f>
        <v>No</v>
      </c>
      <c r="G501" t="str">
        <f t="shared" si="23"/>
        <v>28-02-2025 to 06-03-2025</v>
      </c>
    </row>
    <row r="502" spans="1:7">
      <c r="A502" s="1">
        <v>45717</v>
      </c>
      <c r="B502" s="6">
        <v>7.6388888888888886E-3</v>
      </c>
      <c r="C502" t="s">
        <v>23</v>
      </c>
      <c r="D502" s="7">
        <f t="shared" si="21"/>
        <v>45717.007638888892</v>
      </c>
      <c r="E502" t="str">
        <f t="shared" si="22"/>
        <v>01-03-2025 to 07-03-2025</v>
      </c>
      <c r="F502" t="str">
        <f>IF(COUNTIF('Top5'!I:I, G502) &gt; 0, "Yes", "No")</f>
        <v>No</v>
      </c>
      <c r="G502" t="str">
        <f t="shared" si="23"/>
        <v>01-03-2025 to 07-03-2025</v>
      </c>
    </row>
    <row r="503" spans="1:7">
      <c r="A503" s="1">
        <v>45717</v>
      </c>
      <c r="B503" s="6">
        <v>8.3333333333333332E-3</v>
      </c>
      <c r="C503" t="s">
        <v>23</v>
      </c>
      <c r="D503" s="7">
        <f t="shared" si="21"/>
        <v>45717.008333333331</v>
      </c>
      <c r="E503" t="str">
        <f t="shared" si="22"/>
        <v>01-03-2025 to 07-03-2025</v>
      </c>
      <c r="F503" t="str">
        <f>IF(COUNTIF('Top5'!I:I, G503) &gt; 0, "Yes", "No")</f>
        <v>No</v>
      </c>
      <c r="G503" t="str">
        <f t="shared" si="23"/>
        <v>01-03-2025 to 07-03-2025</v>
      </c>
    </row>
    <row r="504" spans="1:7">
      <c r="A504" s="1">
        <v>45717</v>
      </c>
      <c r="B504" s="6">
        <v>0.43888888888888888</v>
      </c>
      <c r="C504" t="s">
        <v>22</v>
      </c>
      <c r="D504" s="7">
        <f t="shared" si="21"/>
        <v>45717.438888888886</v>
      </c>
      <c r="E504" t="str">
        <f t="shared" si="22"/>
        <v>01-03-2025 to 07-03-2025</v>
      </c>
      <c r="F504" t="str">
        <f>IF(COUNTIF('Top5'!I:I, G504) &gt; 0, "Yes", "No")</f>
        <v>No</v>
      </c>
      <c r="G504" t="str">
        <f t="shared" si="23"/>
        <v>01-03-2025 to 07-03-2025</v>
      </c>
    </row>
    <row r="505" spans="1:7">
      <c r="A505" s="1">
        <v>45717</v>
      </c>
      <c r="B505" s="6">
        <v>0.97916666666666663</v>
      </c>
      <c r="C505" t="s">
        <v>23</v>
      </c>
      <c r="D505" s="7">
        <f t="shared" si="21"/>
        <v>45717.979166666664</v>
      </c>
      <c r="E505" t="str">
        <f t="shared" si="22"/>
        <v>01-03-2025 to 07-03-2025</v>
      </c>
      <c r="F505" t="str">
        <f>IF(COUNTIF('Top5'!I:I, G505) &gt; 0, "Yes", "No")</f>
        <v>No</v>
      </c>
      <c r="G505" t="str">
        <f t="shared" si="23"/>
        <v>01-03-2025 to 07-03-2025</v>
      </c>
    </row>
    <row r="506" spans="1:7">
      <c r="A506" s="1">
        <v>45717</v>
      </c>
      <c r="B506" s="6">
        <v>0.98263888888888884</v>
      </c>
      <c r="C506" t="s">
        <v>23</v>
      </c>
      <c r="D506" s="7">
        <f t="shared" si="21"/>
        <v>45717.982638888891</v>
      </c>
      <c r="E506" t="str">
        <f t="shared" si="22"/>
        <v>01-03-2025 to 07-03-2025</v>
      </c>
      <c r="F506" t="str">
        <f>IF(COUNTIF('Top5'!I:I, G506) &gt; 0, "Yes", "No")</f>
        <v>No</v>
      </c>
      <c r="G506" t="str">
        <f t="shared" si="23"/>
        <v>01-03-2025 to 07-03-2025</v>
      </c>
    </row>
    <row r="507" spans="1:7">
      <c r="A507" s="1">
        <v>45717</v>
      </c>
      <c r="B507" s="6">
        <v>0.99513888888888891</v>
      </c>
      <c r="C507" t="s">
        <v>23</v>
      </c>
      <c r="D507" s="7">
        <f t="shared" si="21"/>
        <v>45717.995138888888</v>
      </c>
      <c r="E507" t="str">
        <f t="shared" si="22"/>
        <v>01-03-2025 to 07-03-2025</v>
      </c>
      <c r="F507" t="str">
        <f>IF(COUNTIF('Top5'!I:I, G507) &gt; 0, "Yes", "No")</f>
        <v>No</v>
      </c>
      <c r="G507" t="str">
        <f t="shared" si="23"/>
        <v>01-03-2025 to 07-03-2025</v>
      </c>
    </row>
    <row r="508" spans="1:7">
      <c r="A508" s="1">
        <v>45718</v>
      </c>
      <c r="B508" s="6">
        <v>6.9444444444444441E-3</v>
      </c>
      <c r="C508" t="s">
        <v>23</v>
      </c>
      <c r="D508" s="7">
        <f t="shared" si="21"/>
        <v>45718.006944444445</v>
      </c>
      <c r="E508" t="str">
        <f t="shared" si="22"/>
        <v>02-03-2025 to 08-03-2025</v>
      </c>
      <c r="F508" t="str">
        <f>IF(COUNTIF('Top5'!I:I, G508) &gt; 0, "Yes", "No")</f>
        <v>No</v>
      </c>
      <c r="G508" t="str">
        <f t="shared" si="23"/>
        <v>02-03-2025 to 08-03-2025</v>
      </c>
    </row>
    <row r="509" spans="1:7">
      <c r="A509" s="1">
        <v>45718</v>
      </c>
      <c r="B509" s="6">
        <v>1.2500000000000001E-2</v>
      </c>
      <c r="C509" t="s">
        <v>23</v>
      </c>
      <c r="D509" s="7">
        <f t="shared" si="21"/>
        <v>45718.012499999997</v>
      </c>
      <c r="E509" t="str">
        <f t="shared" si="22"/>
        <v>02-03-2025 to 08-03-2025</v>
      </c>
      <c r="F509" t="str">
        <f>IF(COUNTIF('Top5'!I:I, G509) &gt; 0, "Yes", "No")</f>
        <v>No</v>
      </c>
      <c r="G509" t="str">
        <f t="shared" si="23"/>
        <v>02-03-2025 to 08-03-2025</v>
      </c>
    </row>
    <row r="510" spans="1:7">
      <c r="A510" s="1">
        <v>45718</v>
      </c>
      <c r="B510" s="6">
        <v>1.5972222222222221E-2</v>
      </c>
      <c r="C510" t="s">
        <v>23</v>
      </c>
      <c r="D510" s="7">
        <f t="shared" si="21"/>
        <v>45718.015972222223</v>
      </c>
      <c r="E510" t="str">
        <f t="shared" si="22"/>
        <v>02-03-2025 to 08-03-2025</v>
      </c>
      <c r="F510" t="str">
        <f>IF(COUNTIF('Top5'!I:I, G510) &gt; 0, "Yes", "No")</f>
        <v>No</v>
      </c>
      <c r="G510" t="str">
        <f t="shared" si="23"/>
        <v>02-03-2025 to 08-03-2025</v>
      </c>
    </row>
    <row r="511" spans="1:7">
      <c r="A511" s="1">
        <v>45718</v>
      </c>
      <c r="B511" s="6">
        <v>0.73402777777777772</v>
      </c>
      <c r="C511" t="s">
        <v>23</v>
      </c>
      <c r="D511" s="7">
        <f t="shared" si="21"/>
        <v>45718.734027777777</v>
      </c>
      <c r="E511" t="str">
        <f t="shared" si="22"/>
        <v>02-03-2025 to 08-03-2025</v>
      </c>
      <c r="F511" t="str">
        <f>IF(COUNTIF('Top5'!I:I, G511) &gt; 0, "Yes", "No")</f>
        <v>No</v>
      </c>
      <c r="G511" t="str">
        <f t="shared" si="23"/>
        <v>02-03-2025 to 08-03-2025</v>
      </c>
    </row>
    <row r="512" spans="1:7">
      <c r="A512" s="1">
        <v>45718</v>
      </c>
      <c r="B512" s="6">
        <v>0.83333333333333337</v>
      </c>
      <c r="C512" t="s">
        <v>23</v>
      </c>
      <c r="D512" s="7">
        <f t="shared" si="21"/>
        <v>45718.833333333336</v>
      </c>
      <c r="E512" t="str">
        <f t="shared" si="22"/>
        <v>02-03-2025 to 08-03-2025</v>
      </c>
      <c r="F512" t="str">
        <f>IF(COUNTIF('Top5'!I:I, G512) &gt; 0, "Yes", "No")</f>
        <v>No</v>
      </c>
      <c r="G512" t="str">
        <f t="shared" si="23"/>
        <v>02-03-2025 to 08-03-2025</v>
      </c>
    </row>
    <row r="513" spans="1:7">
      <c r="A513" s="1">
        <v>45719</v>
      </c>
      <c r="B513" s="6">
        <v>0.45277777777777778</v>
      </c>
      <c r="C513" t="s">
        <v>22</v>
      </c>
      <c r="D513" s="7">
        <f t="shared" si="21"/>
        <v>45719.452777777777</v>
      </c>
      <c r="E513" t="str">
        <f t="shared" si="22"/>
        <v>03-03-2025 to 09-03-2025</v>
      </c>
      <c r="F513" t="str">
        <f>IF(COUNTIF('Top5'!I:I, G513) &gt; 0, "Yes", "No")</f>
        <v>No</v>
      </c>
      <c r="G513" t="str">
        <f t="shared" si="23"/>
        <v>03-03-2025 to 09-03-2025</v>
      </c>
    </row>
    <row r="514" spans="1:7">
      <c r="A514" s="1">
        <v>45719</v>
      </c>
      <c r="B514" s="6">
        <v>0.65138888888888891</v>
      </c>
      <c r="C514" t="s">
        <v>22</v>
      </c>
      <c r="D514" s="7">
        <f t="shared" si="21"/>
        <v>45719.651388888888</v>
      </c>
      <c r="E514" t="str">
        <f t="shared" si="22"/>
        <v>03-03-2025 to 09-03-2025</v>
      </c>
      <c r="F514" t="str">
        <f>IF(COUNTIF('Top5'!I:I, G514) &gt; 0, "Yes", "No")</f>
        <v>No</v>
      </c>
      <c r="G514" t="str">
        <f t="shared" si="23"/>
        <v>03-03-2025 to 09-03-2025</v>
      </c>
    </row>
    <row r="515" spans="1:7">
      <c r="A515" s="1">
        <v>45719</v>
      </c>
      <c r="B515" s="6">
        <v>0.65208333333333335</v>
      </c>
      <c r="C515" t="s">
        <v>22</v>
      </c>
      <c r="D515" s="7">
        <f t="shared" ref="D515:D578" si="24">VALUE(A515) + VALUE(B515)</f>
        <v>45719.652083333334</v>
      </c>
      <c r="E515" t="str">
        <f t="shared" ref="E515:E578" si="25">TEXT(D515, "dd-mm-yyyy") &amp; " to " &amp; TEXT(D515+6, "dd-mm-yyyy")</f>
        <v>03-03-2025 to 09-03-2025</v>
      </c>
      <c r="F515" t="str">
        <f>IF(COUNTIF('Top5'!I:I, G515) &gt; 0, "Yes", "No")</f>
        <v>No</v>
      </c>
      <c r="G515" t="str">
        <f t="shared" ref="G515:G578" si="26">TRIM(E515)</f>
        <v>03-03-2025 to 09-03-2025</v>
      </c>
    </row>
    <row r="516" spans="1:7">
      <c r="A516" s="1">
        <v>45719</v>
      </c>
      <c r="B516" s="6">
        <v>0.65347222222222223</v>
      </c>
      <c r="C516" t="s">
        <v>22</v>
      </c>
      <c r="D516" s="7">
        <f t="shared" si="24"/>
        <v>45719.65347222222</v>
      </c>
      <c r="E516" t="str">
        <f t="shared" si="25"/>
        <v>03-03-2025 to 09-03-2025</v>
      </c>
      <c r="F516" t="str">
        <f>IF(COUNTIF('Top5'!I:I, G516) &gt; 0, "Yes", "No")</f>
        <v>No</v>
      </c>
      <c r="G516" t="str">
        <f t="shared" si="26"/>
        <v>03-03-2025 to 09-03-2025</v>
      </c>
    </row>
    <row r="517" spans="1:7">
      <c r="A517" s="1">
        <v>45719</v>
      </c>
      <c r="B517" s="6">
        <v>0.65486111111111112</v>
      </c>
      <c r="C517" t="s">
        <v>22</v>
      </c>
      <c r="D517" s="7">
        <f t="shared" si="24"/>
        <v>45719.654861111114</v>
      </c>
      <c r="E517" t="str">
        <f t="shared" si="25"/>
        <v>03-03-2025 to 09-03-2025</v>
      </c>
      <c r="F517" t="str">
        <f>IF(COUNTIF('Top5'!I:I, G517) &gt; 0, "Yes", "No")</f>
        <v>No</v>
      </c>
      <c r="G517" t="str">
        <f t="shared" si="26"/>
        <v>03-03-2025 to 09-03-2025</v>
      </c>
    </row>
    <row r="518" spans="1:7">
      <c r="A518" s="1">
        <v>45719</v>
      </c>
      <c r="B518" s="6">
        <v>0.75069444444444444</v>
      </c>
      <c r="C518" t="s">
        <v>23</v>
      </c>
      <c r="D518" s="7">
        <f t="shared" si="24"/>
        <v>45719.750694444447</v>
      </c>
      <c r="E518" t="str">
        <f t="shared" si="25"/>
        <v>03-03-2025 to 09-03-2025</v>
      </c>
      <c r="F518" t="str">
        <f>IF(COUNTIF('Top5'!I:I, G518) &gt; 0, "Yes", "No")</f>
        <v>No</v>
      </c>
      <c r="G518" t="str">
        <f t="shared" si="26"/>
        <v>03-03-2025 to 09-03-2025</v>
      </c>
    </row>
    <row r="519" spans="1:7">
      <c r="A519" s="1">
        <v>45719</v>
      </c>
      <c r="B519" s="6">
        <v>0.9291666666666667</v>
      </c>
      <c r="C519" t="s">
        <v>23</v>
      </c>
      <c r="D519" s="7">
        <f t="shared" si="24"/>
        <v>45719.929166666669</v>
      </c>
      <c r="E519" t="str">
        <f t="shared" si="25"/>
        <v>03-03-2025 to 09-03-2025</v>
      </c>
      <c r="F519" t="str">
        <f>IF(COUNTIF('Top5'!I:I, G519) &gt; 0, "Yes", "No")</f>
        <v>No</v>
      </c>
      <c r="G519" t="str">
        <f t="shared" si="26"/>
        <v>03-03-2025 to 09-03-2025</v>
      </c>
    </row>
    <row r="520" spans="1:7">
      <c r="A520" s="1">
        <v>45719</v>
      </c>
      <c r="B520" s="6">
        <v>0.99305555555555558</v>
      </c>
      <c r="C520" t="s">
        <v>23</v>
      </c>
      <c r="D520" s="7">
        <f t="shared" si="24"/>
        <v>45719.993055555555</v>
      </c>
      <c r="E520" t="str">
        <f t="shared" si="25"/>
        <v>03-03-2025 to 09-03-2025</v>
      </c>
      <c r="F520" t="str">
        <f>IF(COUNTIF('Top5'!I:I, G520) &gt; 0, "Yes", "No")</f>
        <v>No</v>
      </c>
      <c r="G520" t="str">
        <f t="shared" si="26"/>
        <v>03-03-2025 to 09-03-2025</v>
      </c>
    </row>
    <row r="521" spans="1:7">
      <c r="A521" s="1">
        <v>45719</v>
      </c>
      <c r="B521" s="6">
        <v>0.99930555555555556</v>
      </c>
      <c r="C521" t="s">
        <v>23</v>
      </c>
      <c r="D521" s="7">
        <f t="shared" si="24"/>
        <v>45719.999305555553</v>
      </c>
      <c r="E521" t="str">
        <f t="shared" si="25"/>
        <v>03-03-2025 to 09-03-2025</v>
      </c>
      <c r="F521" t="str">
        <f>IF(COUNTIF('Top5'!I:I, G521) &gt; 0, "Yes", "No")</f>
        <v>No</v>
      </c>
      <c r="G521" t="str">
        <f t="shared" si="26"/>
        <v>03-03-2025 to 09-03-2025</v>
      </c>
    </row>
    <row r="522" spans="1:7">
      <c r="A522" s="1">
        <v>45720</v>
      </c>
      <c r="B522" s="6">
        <v>6.9444444444444447E-4</v>
      </c>
      <c r="C522" t="s">
        <v>23</v>
      </c>
      <c r="D522" s="7">
        <f t="shared" si="24"/>
        <v>45720.000694444447</v>
      </c>
      <c r="E522" t="str">
        <f t="shared" si="25"/>
        <v>04-03-2025 to 10-03-2025</v>
      </c>
      <c r="F522" t="str">
        <f>IF(COUNTIF('Top5'!I:I, G522) &gt; 0, "Yes", "No")</f>
        <v>No</v>
      </c>
      <c r="G522" t="str">
        <f t="shared" si="26"/>
        <v>04-03-2025 to 10-03-2025</v>
      </c>
    </row>
    <row r="523" spans="1:7">
      <c r="A523" s="1">
        <v>45720</v>
      </c>
      <c r="B523" s="6">
        <v>0.74444444444444446</v>
      </c>
      <c r="C523" t="s">
        <v>23</v>
      </c>
      <c r="D523" s="7">
        <f t="shared" si="24"/>
        <v>45720.744444444441</v>
      </c>
      <c r="E523" t="str">
        <f t="shared" si="25"/>
        <v>04-03-2025 to 10-03-2025</v>
      </c>
      <c r="F523" t="str">
        <f>IF(COUNTIF('Top5'!I:I, G523) &gt; 0, "Yes", "No")</f>
        <v>No</v>
      </c>
      <c r="G523" t="str">
        <f t="shared" si="26"/>
        <v>04-03-2025 to 10-03-2025</v>
      </c>
    </row>
    <row r="524" spans="1:7">
      <c r="A524" s="1">
        <v>45721</v>
      </c>
      <c r="B524" s="6">
        <v>0</v>
      </c>
      <c r="C524" t="s">
        <v>23</v>
      </c>
      <c r="D524" s="7">
        <f t="shared" si="24"/>
        <v>45721</v>
      </c>
      <c r="E524" t="str">
        <f t="shared" si="25"/>
        <v>05-03-2025 to 11-03-2025</v>
      </c>
      <c r="F524" t="str">
        <f>IF(COUNTIF('Top5'!I:I, G524) &gt; 0, "Yes", "No")</f>
        <v>No</v>
      </c>
      <c r="G524" t="str">
        <f t="shared" si="26"/>
        <v>05-03-2025 to 11-03-2025</v>
      </c>
    </row>
    <row r="525" spans="1:7">
      <c r="A525" s="1">
        <v>45721</v>
      </c>
      <c r="B525" s="6">
        <v>6.9444444444444447E-4</v>
      </c>
      <c r="C525" t="s">
        <v>23</v>
      </c>
      <c r="D525" s="7">
        <f t="shared" si="24"/>
        <v>45721.000694444447</v>
      </c>
      <c r="E525" t="str">
        <f t="shared" si="25"/>
        <v>05-03-2025 to 11-03-2025</v>
      </c>
      <c r="F525" t="str">
        <f>IF(COUNTIF('Top5'!I:I, G525) &gt; 0, "Yes", "No")</f>
        <v>No</v>
      </c>
      <c r="G525" t="str">
        <f t="shared" si="26"/>
        <v>05-03-2025 to 11-03-2025</v>
      </c>
    </row>
    <row r="526" spans="1:7">
      <c r="A526" s="1">
        <v>45721</v>
      </c>
      <c r="B526" s="6">
        <v>4.1666666666666666E-3</v>
      </c>
      <c r="C526" t="s">
        <v>23</v>
      </c>
      <c r="D526" s="7">
        <f t="shared" si="24"/>
        <v>45721.004166666666</v>
      </c>
      <c r="E526" t="str">
        <f t="shared" si="25"/>
        <v>05-03-2025 to 11-03-2025</v>
      </c>
      <c r="F526" t="str">
        <f>IF(COUNTIF('Top5'!I:I, G526) &gt; 0, "Yes", "No")</f>
        <v>No</v>
      </c>
      <c r="G526" t="str">
        <f t="shared" si="26"/>
        <v>05-03-2025 to 11-03-2025</v>
      </c>
    </row>
    <row r="527" spans="1:7">
      <c r="A527" s="1">
        <v>45721</v>
      </c>
      <c r="B527" s="6">
        <v>0.31180555555555556</v>
      </c>
      <c r="C527" t="s">
        <v>22</v>
      </c>
      <c r="D527" s="7">
        <f t="shared" si="24"/>
        <v>45721.311805555553</v>
      </c>
      <c r="E527" t="str">
        <f t="shared" si="25"/>
        <v>05-03-2025 to 11-03-2025</v>
      </c>
      <c r="F527" t="str">
        <f>IF(COUNTIF('Top5'!I:I, G527) &gt; 0, "Yes", "No")</f>
        <v>No</v>
      </c>
      <c r="G527" t="str">
        <f t="shared" si="26"/>
        <v>05-03-2025 to 11-03-2025</v>
      </c>
    </row>
    <row r="528" spans="1:7">
      <c r="A528" s="1">
        <v>45721</v>
      </c>
      <c r="B528" s="6">
        <v>0.56111111111111112</v>
      </c>
      <c r="C528" t="s">
        <v>22</v>
      </c>
      <c r="D528" s="7">
        <f t="shared" si="24"/>
        <v>45721.561111111114</v>
      </c>
      <c r="E528" t="str">
        <f t="shared" si="25"/>
        <v>05-03-2025 to 11-03-2025</v>
      </c>
      <c r="F528" t="str">
        <f>IF(COUNTIF('Top5'!I:I, G528) &gt; 0, "Yes", "No")</f>
        <v>No</v>
      </c>
      <c r="G528" t="str">
        <f t="shared" si="26"/>
        <v>05-03-2025 to 11-03-2025</v>
      </c>
    </row>
    <row r="529" spans="1:7">
      <c r="A529" s="1">
        <v>45721</v>
      </c>
      <c r="B529" s="6">
        <v>0.5805555555555556</v>
      </c>
      <c r="C529" t="s">
        <v>22</v>
      </c>
      <c r="D529" s="7">
        <f t="shared" si="24"/>
        <v>45721.580555555556</v>
      </c>
      <c r="E529" t="str">
        <f t="shared" si="25"/>
        <v>05-03-2025 to 11-03-2025</v>
      </c>
      <c r="F529" t="str">
        <f>IF(COUNTIF('Top5'!I:I, G529) &gt; 0, "Yes", "No")</f>
        <v>No</v>
      </c>
      <c r="G529" t="str">
        <f t="shared" si="26"/>
        <v>05-03-2025 to 11-03-2025</v>
      </c>
    </row>
    <row r="530" spans="1:7">
      <c r="A530" s="1">
        <v>45721</v>
      </c>
      <c r="B530" s="6">
        <v>0.77083333333333337</v>
      </c>
      <c r="C530" t="s">
        <v>23</v>
      </c>
      <c r="D530" s="7">
        <f t="shared" si="24"/>
        <v>45721.770833333336</v>
      </c>
      <c r="E530" t="str">
        <f t="shared" si="25"/>
        <v>05-03-2025 to 11-03-2025</v>
      </c>
      <c r="F530" t="str">
        <f>IF(COUNTIF('Top5'!I:I, G530) &gt; 0, "Yes", "No")</f>
        <v>No</v>
      </c>
      <c r="G530" t="str">
        <f t="shared" si="26"/>
        <v>05-03-2025 to 11-03-2025</v>
      </c>
    </row>
    <row r="531" spans="1:7">
      <c r="A531" s="1">
        <v>45721</v>
      </c>
      <c r="B531" s="6">
        <v>0.86944444444444446</v>
      </c>
      <c r="C531" t="s">
        <v>23</v>
      </c>
      <c r="D531" s="7">
        <f t="shared" si="24"/>
        <v>45721.869444444441</v>
      </c>
      <c r="E531" t="str">
        <f t="shared" si="25"/>
        <v>05-03-2025 to 11-03-2025</v>
      </c>
      <c r="F531" t="str">
        <f>IF(COUNTIF('Top5'!I:I, G531) &gt; 0, "Yes", "No")</f>
        <v>No</v>
      </c>
      <c r="G531" t="str">
        <f t="shared" si="26"/>
        <v>05-03-2025 to 11-03-2025</v>
      </c>
    </row>
    <row r="532" spans="1:7">
      <c r="A532" s="1">
        <v>45721</v>
      </c>
      <c r="B532" s="6">
        <v>0.87013888888888891</v>
      </c>
      <c r="C532" t="s">
        <v>23</v>
      </c>
      <c r="D532" s="7">
        <f t="shared" si="24"/>
        <v>45721.870138888888</v>
      </c>
      <c r="E532" t="str">
        <f t="shared" si="25"/>
        <v>05-03-2025 to 11-03-2025</v>
      </c>
      <c r="F532" t="str">
        <f>IF(COUNTIF('Top5'!I:I, G532) &gt; 0, "Yes", "No")</f>
        <v>No</v>
      </c>
      <c r="G532" t="str">
        <f t="shared" si="26"/>
        <v>05-03-2025 to 11-03-2025</v>
      </c>
    </row>
    <row r="533" spans="1:7">
      <c r="A533" s="1">
        <v>45721</v>
      </c>
      <c r="B533" s="6">
        <v>0.875</v>
      </c>
      <c r="C533" t="s">
        <v>23</v>
      </c>
      <c r="D533" s="7">
        <f t="shared" si="24"/>
        <v>45721.875</v>
      </c>
      <c r="E533" t="str">
        <f t="shared" si="25"/>
        <v>05-03-2025 to 11-03-2025</v>
      </c>
      <c r="F533" t="str">
        <f>IF(COUNTIF('Top5'!I:I, G533) &gt; 0, "Yes", "No")</f>
        <v>No</v>
      </c>
      <c r="G533" t="str">
        <f t="shared" si="26"/>
        <v>05-03-2025 to 11-03-2025</v>
      </c>
    </row>
    <row r="534" spans="1:7">
      <c r="A534" s="1">
        <v>45721</v>
      </c>
      <c r="B534" s="6">
        <v>0.90486111111111112</v>
      </c>
      <c r="C534" t="s">
        <v>23</v>
      </c>
      <c r="D534" s="7">
        <f t="shared" si="24"/>
        <v>45721.904861111114</v>
      </c>
      <c r="E534" t="str">
        <f t="shared" si="25"/>
        <v>05-03-2025 to 11-03-2025</v>
      </c>
      <c r="F534" t="str">
        <f>IF(COUNTIF('Top5'!I:I, G534) &gt; 0, "Yes", "No")</f>
        <v>No</v>
      </c>
      <c r="G534" t="str">
        <f t="shared" si="26"/>
        <v>05-03-2025 to 11-03-2025</v>
      </c>
    </row>
    <row r="535" spans="1:7">
      <c r="A535" s="1">
        <v>45721</v>
      </c>
      <c r="B535" s="6">
        <v>0.91111111111111109</v>
      </c>
      <c r="C535" t="s">
        <v>23</v>
      </c>
      <c r="D535" s="7">
        <f t="shared" si="24"/>
        <v>45721.911111111112</v>
      </c>
      <c r="E535" t="str">
        <f t="shared" si="25"/>
        <v>05-03-2025 to 11-03-2025</v>
      </c>
      <c r="F535" t="str">
        <f>IF(COUNTIF('Top5'!I:I, G535) &gt; 0, "Yes", "No")</f>
        <v>No</v>
      </c>
      <c r="G535" t="str">
        <f t="shared" si="26"/>
        <v>05-03-2025 to 11-03-2025</v>
      </c>
    </row>
    <row r="536" spans="1:7">
      <c r="A536" s="1">
        <v>45721</v>
      </c>
      <c r="B536" s="6">
        <v>0.91319444444444442</v>
      </c>
      <c r="C536" t="s">
        <v>23</v>
      </c>
      <c r="D536" s="7">
        <f t="shared" si="24"/>
        <v>45721.913194444445</v>
      </c>
      <c r="E536" t="str">
        <f t="shared" si="25"/>
        <v>05-03-2025 to 11-03-2025</v>
      </c>
      <c r="F536" t="str">
        <f>IF(COUNTIF('Top5'!I:I, G536) &gt; 0, "Yes", "No")</f>
        <v>No</v>
      </c>
      <c r="G536" t="str">
        <f t="shared" si="26"/>
        <v>05-03-2025 to 11-03-2025</v>
      </c>
    </row>
    <row r="537" spans="1:7">
      <c r="A537" s="1">
        <v>45721</v>
      </c>
      <c r="B537" s="6">
        <v>0.92013888888888884</v>
      </c>
      <c r="C537" t="s">
        <v>23</v>
      </c>
      <c r="D537" s="7">
        <f t="shared" si="24"/>
        <v>45721.920138888891</v>
      </c>
      <c r="E537" t="str">
        <f t="shared" si="25"/>
        <v>05-03-2025 to 11-03-2025</v>
      </c>
      <c r="F537" t="str">
        <f>IF(COUNTIF('Top5'!I:I, G537) &gt; 0, "Yes", "No")</f>
        <v>No</v>
      </c>
      <c r="G537" t="str">
        <f t="shared" si="26"/>
        <v>05-03-2025 to 11-03-2025</v>
      </c>
    </row>
    <row r="538" spans="1:7">
      <c r="A538" s="1">
        <v>45721</v>
      </c>
      <c r="B538" s="6">
        <v>0.93680555555555556</v>
      </c>
      <c r="C538" t="s">
        <v>23</v>
      </c>
      <c r="D538" s="7">
        <f t="shared" si="24"/>
        <v>45721.936805555553</v>
      </c>
      <c r="E538" t="str">
        <f t="shared" si="25"/>
        <v>05-03-2025 to 11-03-2025</v>
      </c>
      <c r="F538" t="str">
        <f>IF(COUNTIF('Top5'!I:I, G538) &gt; 0, "Yes", "No")</f>
        <v>No</v>
      </c>
      <c r="G538" t="str">
        <f t="shared" si="26"/>
        <v>05-03-2025 to 11-03-2025</v>
      </c>
    </row>
    <row r="539" spans="1:7">
      <c r="A539" s="1">
        <v>45722</v>
      </c>
      <c r="B539" s="6">
        <v>4.1666666666666666E-3</v>
      </c>
      <c r="C539" t="s">
        <v>23</v>
      </c>
      <c r="D539" s="7">
        <f t="shared" si="24"/>
        <v>45722.004166666666</v>
      </c>
      <c r="E539" t="str">
        <f t="shared" si="25"/>
        <v>06-03-2025 to 12-03-2025</v>
      </c>
      <c r="F539" t="str">
        <f>IF(COUNTIF('Top5'!I:I, G539) &gt; 0, "Yes", "No")</f>
        <v>No</v>
      </c>
      <c r="G539" t="str">
        <f t="shared" si="26"/>
        <v>06-03-2025 to 12-03-2025</v>
      </c>
    </row>
    <row r="540" spans="1:7">
      <c r="A540" s="1">
        <v>45722</v>
      </c>
      <c r="B540" s="6">
        <v>6.2500000000000003E-3</v>
      </c>
      <c r="C540" t="s">
        <v>23</v>
      </c>
      <c r="D540" s="7">
        <f t="shared" si="24"/>
        <v>45722.006249999999</v>
      </c>
      <c r="E540" t="str">
        <f t="shared" si="25"/>
        <v>06-03-2025 to 12-03-2025</v>
      </c>
      <c r="F540" t="str">
        <f>IF(COUNTIF('Top5'!I:I, G540) &gt; 0, "Yes", "No")</f>
        <v>No</v>
      </c>
      <c r="G540" t="str">
        <f t="shared" si="26"/>
        <v>06-03-2025 to 12-03-2025</v>
      </c>
    </row>
    <row r="541" spans="1:7">
      <c r="A541" s="1">
        <v>45722</v>
      </c>
      <c r="B541" s="6">
        <v>6.2500000000000003E-3</v>
      </c>
      <c r="C541" t="s">
        <v>23</v>
      </c>
      <c r="D541" s="7">
        <f t="shared" si="24"/>
        <v>45722.006249999999</v>
      </c>
      <c r="E541" t="str">
        <f t="shared" si="25"/>
        <v>06-03-2025 to 12-03-2025</v>
      </c>
      <c r="F541" t="str">
        <f>IF(COUNTIF('Top5'!I:I, G541) &gt; 0, "Yes", "No")</f>
        <v>No</v>
      </c>
      <c r="G541" t="str">
        <f t="shared" si="26"/>
        <v>06-03-2025 to 12-03-2025</v>
      </c>
    </row>
    <row r="542" spans="1:7">
      <c r="A542" s="1">
        <v>45722</v>
      </c>
      <c r="B542" s="6">
        <v>7.6388888888888886E-3</v>
      </c>
      <c r="C542" t="s">
        <v>23</v>
      </c>
      <c r="D542" s="7">
        <f t="shared" si="24"/>
        <v>45722.007638888892</v>
      </c>
      <c r="E542" t="str">
        <f t="shared" si="25"/>
        <v>06-03-2025 to 12-03-2025</v>
      </c>
      <c r="F542" t="str">
        <f>IF(COUNTIF('Top5'!I:I, G542) &gt; 0, "Yes", "No")</f>
        <v>No</v>
      </c>
      <c r="G542" t="str">
        <f t="shared" si="26"/>
        <v>06-03-2025 to 12-03-2025</v>
      </c>
    </row>
    <row r="543" spans="1:7">
      <c r="A543" s="1">
        <v>45722</v>
      </c>
      <c r="B543" s="6">
        <v>7.6388888888888886E-3</v>
      </c>
      <c r="C543" t="s">
        <v>23</v>
      </c>
      <c r="D543" s="7">
        <f t="shared" si="24"/>
        <v>45722.007638888892</v>
      </c>
      <c r="E543" t="str">
        <f t="shared" si="25"/>
        <v>06-03-2025 to 12-03-2025</v>
      </c>
      <c r="F543" t="str">
        <f>IF(COUNTIF('Top5'!I:I, G543) &gt; 0, "Yes", "No")</f>
        <v>No</v>
      </c>
      <c r="G543" t="str">
        <f t="shared" si="26"/>
        <v>06-03-2025 to 12-03-2025</v>
      </c>
    </row>
    <row r="544" spans="1:7">
      <c r="A544" s="1">
        <v>45722</v>
      </c>
      <c r="B544" s="6">
        <v>9.0277777777777769E-3</v>
      </c>
      <c r="C544" t="s">
        <v>23</v>
      </c>
      <c r="D544" s="7">
        <f t="shared" si="24"/>
        <v>45722.009027777778</v>
      </c>
      <c r="E544" t="str">
        <f t="shared" si="25"/>
        <v>06-03-2025 to 12-03-2025</v>
      </c>
      <c r="F544" t="str">
        <f>IF(COUNTIF('Top5'!I:I, G544) &gt; 0, "Yes", "No")</f>
        <v>No</v>
      </c>
      <c r="G544" t="str">
        <f t="shared" si="26"/>
        <v>06-03-2025 to 12-03-2025</v>
      </c>
    </row>
    <row r="545" spans="1:7">
      <c r="A545" s="1">
        <v>45722</v>
      </c>
      <c r="B545" s="6">
        <v>1.7361111111111112E-2</v>
      </c>
      <c r="C545" t="s">
        <v>23</v>
      </c>
      <c r="D545" s="7">
        <f t="shared" si="24"/>
        <v>45722.017361111109</v>
      </c>
      <c r="E545" t="str">
        <f t="shared" si="25"/>
        <v>06-03-2025 to 12-03-2025</v>
      </c>
      <c r="F545" t="str">
        <f>IF(COUNTIF('Top5'!I:I, G545) &gt; 0, "Yes", "No")</f>
        <v>No</v>
      </c>
      <c r="G545" t="str">
        <f t="shared" si="26"/>
        <v>06-03-2025 to 12-03-2025</v>
      </c>
    </row>
    <row r="546" spans="1:7">
      <c r="A546" s="1">
        <v>45722</v>
      </c>
      <c r="B546" s="6">
        <v>1.7361111111111112E-2</v>
      </c>
      <c r="C546" t="s">
        <v>23</v>
      </c>
      <c r="D546" s="7">
        <f t="shared" si="24"/>
        <v>45722.017361111109</v>
      </c>
      <c r="E546" t="str">
        <f t="shared" si="25"/>
        <v>06-03-2025 to 12-03-2025</v>
      </c>
      <c r="F546" t="str">
        <f>IF(COUNTIF('Top5'!I:I, G546) &gt; 0, "Yes", "No")</f>
        <v>No</v>
      </c>
      <c r="G546" t="str">
        <f t="shared" si="26"/>
        <v>06-03-2025 to 12-03-2025</v>
      </c>
    </row>
    <row r="547" spans="1:7">
      <c r="A547" s="1">
        <v>45722</v>
      </c>
      <c r="B547" s="6">
        <v>1.8749999999999999E-2</v>
      </c>
      <c r="C547" t="s">
        <v>23</v>
      </c>
      <c r="D547" s="7">
        <f t="shared" si="24"/>
        <v>45722.018750000003</v>
      </c>
      <c r="E547" t="str">
        <f t="shared" si="25"/>
        <v>06-03-2025 to 12-03-2025</v>
      </c>
      <c r="F547" t="str">
        <f>IF(COUNTIF('Top5'!I:I, G547) &gt; 0, "Yes", "No")</f>
        <v>No</v>
      </c>
      <c r="G547" t="str">
        <f t="shared" si="26"/>
        <v>06-03-2025 to 12-03-2025</v>
      </c>
    </row>
    <row r="548" spans="1:7">
      <c r="A548" s="1">
        <v>45722</v>
      </c>
      <c r="B548" s="6">
        <v>0.40972222222222221</v>
      </c>
      <c r="C548" t="s">
        <v>22</v>
      </c>
      <c r="D548" s="7">
        <f t="shared" si="24"/>
        <v>45722.409722222219</v>
      </c>
      <c r="E548" t="str">
        <f t="shared" si="25"/>
        <v>06-03-2025 to 12-03-2025</v>
      </c>
      <c r="F548" t="str">
        <f>IF(COUNTIF('Top5'!I:I, G548) &gt; 0, "Yes", "No")</f>
        <v>No</v>
      </c>
      <c r="G548" t="str">
        <f t="shared" si="26"/>
        <v>06-03-2025 to 12-03-2025</v>
      </c>
    </row>
    <row r="549" spans="1:7">
      <c r="A549" s="1">
        <v>45722</v>
      </c>
      <c r="B549" s="6">
        <v>0.44027777777777777</v>
      </c>
      <c r="C549" t="s">
        <v>22</v>
      </c>
      <c r="D549" s="7">
        <f t="shared" si="24"/>
        <v>45722.44027777778</v>
      </c>
      <c r="E549" t="str">
        <f t="shared" si="25"/>
        <v>06-03-2025 to 12-03-2025</v>
      </c>
      <c r="F549" t="str">
        <f>IF(COUNTIF('Top5'!I:I, G549) &gt; 0, "Yes", "No")</f>
        <v>No</v>
      </c>
      <c r="G549" t="str">
        <f t="shared" si="26"/>
        <v>06-03-2025 to 12-03-2025</v>
      </c>
    </row>
    <row r="550" spans="1:7">
      <c r="A550" s="1">
        <v>45722</v>
      </c>
      <c r="B550" s="6">
        <v>0.46388888888888891</v>
      </c>
      <c r="C550" t="s">
        <v>22</v>
      </c>
      <c r="D550" s="7">
        <f t="shared" si="24"/>
        <v>45722.463888888888</v>
      </c>
      <c r="E550" t="str">
        <f t="shared" si="25"/>
        <v>06-03-2025 to 12-03-2025</v>
      </c>
      <c r="F550" t="str">
        <f>IF(COUNTIF('Top5'!I:I, G550) &gt; 0, "Yes", "No")</f>
        <v>No</v>
      </c>
      <c r="G550" t="str">
        <f t="shared" si="26"/>
        <v>06-03-2025 to 12-03-2025</v>
      </c>
    </row>
    <row r="551" spans="1:7">
      <c r="A551" s="1">
        <v>45722</v>
      </c>
      <c r="B551" s="6">
        <v>0.47986111111111113</v>
      </c>
      <c r="C551" t="s">
        <v>22</v>
      </c>
      <c r="D551" s="7">
        <f t="shared" si="24"/>
        <v>45722.479861111111</v>
      </c>
      <c r="E551" t="str">
        <f t="shared" si="25"/>
        <v>06-03-2025 to 12-03-2025</v>
      </c>
      <c r="F551" t="str">
        <f>IF(COUNTIF('Top5'!I:I, G551) &gt; 0, "Yes", "No")</f>
        <v>No</v>
      </c>
      <c r="G551" t="str">
        <f t="shared" si="26"/>
        <v>06-03-2025 to 12-03-2025</v>
      </c>
    </row>
    <row r="552" spans="1:7">
      <c r="A552" s="1">
        <v>45722</v>
      </c>
      <c r="B552" s="6">
        <v>0.4909722222222222</v>
      </c>
      <c r="C552" t="s">
        <v>22</v>
      </c>
      <c r="D552" s="7">
        <f t="shared" si="24"/>
        <v>45722.490972222222</v>
      </c>
      <c r="E552" t="str">
        <f t="shared" si="25"/>
        <v>06-03-2025 to 12-03-2025</v>
      </c>
      <c r="F552" t="str">
        <f>IF(COUNTIF('Top5'!I:I, G552) &gt; 0, "Yes", "No")</f>
        <v>No</v>
      </c>
      <c r="G552" t="str">
        <f t="shared" si="26"/>
        <v>06-03-2025 to 12-03-2025</v>
      </c>
    </row>
    <row r="553" spans="1:7">
      <c r="A553" s="1">
        <v>45722</v>
      </c>
      <c r="B553" s="6">
        <v>0.7583333333333333</v>
      </c>
      <c r="C553" t="s">
        <v>23</v>
      </c>
      <c r="D553" s="7">
        <f t="shared" si="24"/>
        <v>45722.758333333331</v>
      </c>
      <c r="E553" t="str">
        <f t="shared" si="25"/>
        <v>06-03-2025 to 12-03-2025</v>
      </c>
      <c r="F553" t="str">
        <f>IF(COUNTIF('Top5'!I:I, G553) &gt; 0, "Yes", "No")</f>
        <v>No</v>
      </c>
      <c r="G553" t="str">
        <f t="shared" si="26"/>
        <v>06-03-2025 to 12-03-2025</v>
      </c>
    </row>
    <row r="554" spans="1:7">
      <c r="A554" s="1">
        <v>45722</v>
      </c>
      <c r="B554" s="6">
        <v>0.76597222222222228</v>
      </c>
      <c r="C554" t="s">
        <v>23</v>
      </c>
      <c r="D554" s="7">
        <f t="shared" si="24"/>
        <v>45722.765972222223</v>
      </c>
      <c r="E554" t="str">
        <f t="shared" si="25"/>
        <v>06-03-2025 to 12-03-2025</v>
      </c>
      <c r="F554" t="str">
        <f>IF(COUNTIF('Top5'!I:I, G554) &gt; 0, "Yes", "No")</f>
        <v>No</v>
      </c>
      <c r="G554" t="str">
        <f t="shared" si="26"/>
        <v>06-03-2025 to 12-03-2025</v>
      </c>
    </row>
    <row r="555" spans="1:7">
      <c r="A555" s="1">
        <v>45722</v>
      </c>
      <c r="B555" s="6">
        <v>0.78680555555555554</v>
      </c>
      <c r="C555" t="s">
        <v>23</v>
      </c>
      <c r="D555" s="7">
        <f t="shared" si="24"/>
        <v>45722.786805555559</v>
      </c>
      <c r="E555" t="str">
        <f t="shared" si="25"/>
        <v>06-03-2025 to 12-03-2025</v>
      </c>
      <c r="F555" t="str">
        <f>IF(COUNTIF('Top5'!I:I, G555) &gt; 0, "Yes", "No")</f>
        <v>No</v>
      </c>
      <c r="G555" t="str">
        <f t="shared" si="26"/>
        <v>06-03-2025 to 12-03-2025</v>
      </c>
    </row>
    <row r="556" spans="1:7">
      <c r="A556" s="1">
        <v>45722</v>
      </c>
      <c r="B556" s="6">
        <v>0.84513888888888888</v>
      </c>
      <c r="C556" t="s">
        <v>23</v>
      </c>
      <c r="D556" s="7">
        <f t="shared" si="24"/>
        <v>45722.845138888886</v>
      </c>
      <c r="E556" t="str">
        <f t="shared" si="25"/>
        <v>06-03-2025 to 12-03-2025</v>
      </c>
      <c r="F556" t="str">
        <f>IF(COUNTIF('Top5'!I:I, G556) &gt; 0, "Yes", "No")</f>
        <v>No</v>
      </c>
      <c r="G556" t="str">
        <f t="shared" si="26"/>
        <v>06-03-2025 to 12-03-2025</v>
      </c>
    </row>
    <row r="557" spans="1:7">
      <c r="A557" s="1">
        <v>45722</v>
      </c>
      <c r="B557" s="6">
        <v>0.87708333333333333</v>
      </c>
      <c r="C557" t="s">
        <v>23</v>
      </c>
      <c r="D557" s="7">
        <f t="shared" si="24"/>
        <v>45722.877083333333</v>
      </c>
      <c r="E557" t="str">
        <f t="shared" si="25"/>
        <v>06-03-2025 to 12-03-2025</v>
      </c>
      <c r="F557" t="str">
        <f>IF(COUNTIF('Top5'!I:I, G557) &gt; 0, "Yes", "No")</f>
        <v>No</v>
      </c>
      <c r="G557" t="str">
        <f t="shared" si="26"/>
        <v>06-03-2025 to 12-03-2025</v>
      </c>
    </row>
    <row r="558" spans="1:7">
      <c r="A558" s="1">
        <v>45722</v>
      </c>
      <c r="B558" s="6">
        <v>0.87777777777777777</v>
      </c>
      <c r="C558" t="s">
        <v>23</v>
      </c>
      <c r="D558" s="7">
        <f t="shared" si="24"/>
        <v>45722.87777777778</v>
      </c>
      <c r="E558" t="str">
        <f t="shared" si="25"/>
        <v>06-03-2025 to 12-03-2025</v>
      </c>
      <c r="F558" t="str">
        <f>IF(COUNTIF('Top5'!I:I, G558) &gt; 0, "Yes", "No")</f>
        <v>No</v>
      </c>
      <c r="G558" t="str">
        <f t="shared" si="26"/>
        <v>06-03-2025 to 12-03-2025</v>
      </c>
    </row>
    <row r="559" spans="1:7">
      <c r="A559" s="1">
        <v>45722</v>
      </c>
      <c r="B559" s="6">
        <v>0.94513888888888886</v>
      </c>
      <c r="C559" t="s">
        <v>23</v>
      </c>
      <c r="D559" s="7">
        <f t="shared" si="24"/>
        <v>45722.945138888892</v>
      </c>
      <c r="E559" t="str">
        <f t="shared" si="25"/>
        <v>06-03-2025 to 12-03-2025</v>
      </c>
      <c r="F559" t="str">
        <f>IF(COUNTIF('Top5'!I:I, G559) &gt; 0, "Yes", "No")</f>
        <v>No</v>
      </c>
      <c r="G559" t="str">
        <f t="shared" si="26"/>
        <v>06-03-2025 to 12-03-2025</v>
      </c>
    </row>
    <row r="560" spans="1:7">
      <c r="A560" s="1">
        <v>45722</v>
      </c>
      <c r="B560" s="6">
        <v>0.98541666666666672</v>
      </c>
      <c r="C560" t="s">
        <v>23</v>
      </c>
      <c r="D560" s="7">
        <f t="shared" si="24"/>
        <v>45722.98541666667</v>
      </c>
      <c r="E560" t="str">
        <f t="shared" si="25"/>
        <v>06-03-2025 to 12-03-2025</v>
      </c>
      <c r="F560" t="str">
        <f>IF(COUNTIF('Top5'!I:I, G560) &gt; 0, "Yes", "No")</f>
        <v>No</v>
      </c>
      <c r="G560" t="str">
        <f t="shared" si="26"/>
        <v>06-03-2025 to 12-03-2025</v>
      </c>
    </row>
    <row r="561" spans="1:7">
      <c r="A561" s="1">
        <v>45722</v>
      </c>
      <c r="B561" s="6">
        <v>0.98750000000000004</v>
      </c>
      <c r="C561" t="s">
        <v>23</v>
      </c>
      <c r="D561" s="7">
        <f t="shared" si="24"/>
        <v>45722.987500000003</v>
      </c>
      <c r="E561" t="str">
        <f t="shared" si="25"/>
        <v>06-03-2025 to 12-03-2025</v>
      </c>
      <c r="F561" t="str">
        <f>IF(COUNTIF('Top5'!I:I, G561) &gt; 0, "Yes", "No")</f>
        <v>No</v>
      </c>
      <c r="G561" t="str">
        <f t="shared" si="26"/>
        <v>06-03-2025 to 12-03-2025</v>
      </c>
    </row>
    <row r="562" spans="1:7">
      <c r="A562" s="1">
        <v>45723</v>
      </c>
      <c r="B562" s="6">
        <v>6.9444444444444447E-4</v>
      </c>
      <c r="C562" t="s">
        <v>23</v>
      </c>
      <c r="D562" s="7">
        <f t="shared" si="24"/>
        <v>45723.000694444447</v>
      </c>
      <c r="E562" t="str">
        <f t="shared" si="25"/>
        <v>07-03-2025 to 13-03-2025</v>
      </c>
      <c r="F562" t="str">
        <f>IF(COUNTIF('Top5'!I:I, G562) &gt; 0, "Yes", "No")</f>
        <v>No</v>
      </c>
      <c r="G562" t="str">
        <f t="shared" si="26"/>
        <v>07-03-2025 to 13-03-2025</v>
      </c>
    </row>
    <row r="563" spans="1:7">
      <c r="A563" s="1">
        <v>45723</v>
      </c>
      <c r="B563" s="6">
        <v>4.8611111111111112E-3</v>
      </c>
      <c r="C563" t="s">
        <v>23</v>
      </c>
      <c r="D563" s="7">
        <f t="shared" si="24"/>
        <v>45723.004861111112</v>
      </c>
      <c r="E563" t="str">
        <f t="shared" si="25"/>
        <v>07-03-2025 to 13-03-2025</v>
      </c>
      <c r="F563" t="str">
        <f>IF(COUNTIF('Top5'!I:I, G563) &gt; 0, "Yes", "No")</f>
        <v>No</v>
      </c>
      <c r="G563" t="str">
        <f t="shared" si="26"/>
        <v>07-03-2025 to 13-03-2025</v>
      </c>
    </row>
    <row r="564" spans="1:7">
      <c r="A564" s="1">
        <v>45723</v>
      </c>
      <c r="B564" s="6">
        <v>2.2222222222222223E-2</v>
      </c>
      <c r="C564" t="s">
        <v>23</v>
      </c>
      <c r="D564" s="7">
        <f t="shared" si="24"/>
        <v>45723.022222222222</v>
      </c>
      <c r="E564" t="str">
        <f t="shared" si="25"/>
        <v>07-03-2025 to 13-03-2025</v>
      </c>
      <c r="F564" t="str">
        <f>IF(COUNTIF('Top5'!I:I, G564) &gt; 0, "Yes", "No")</f>
        <v>No</v>
      </c>
      <c r="G564" t="str">
        <f t="shared" si="26"/>
        <v>07-03-2025 to 13-03-2025</v>
      </c>
    </row>
    <row r="565" spans="1:7">
      <c r="A565" s="1">
        <v>45723</v>
      </c>
      <c r="B565" s="6">
        <v>0.53125</v>
      </c>
      <c r="C565" t="s">
        <v>22</v>
      </c>
      <c r="D565" s="7">
        <f t="shared" si="24"/>
        <v>45723.53125</v>
      </c>
      <c r="E565" t="str">
        <f t="shared" si="25"/>
        <v>07-03-2025 to 13-03-2025</v>
      </c>
      <c r="F565" t="str">
        <f>IF(COUNTIF('Top5'!I:I, G565) &gt; 0, "Yes", "No")</f>
        <v>No</v>
      </c>
      <c r="G565" t="str">
        <f t="shared" si="26"/>
        <v>07-03-2025 to 13-03-2025</v>
      </c>
    </row>
    <row r="566" spans="1:7">
      <c r="A566" s="1">
        <v>45723</v>
      </c>
      <c r="B566" s="6">
        <v>0.53819444444444442</v>
      </c>
      <c r="C566" t="s">
        <v>22</v>
      </c>
      <c r="D566" s="7">
        <f t="shared" si="24"/>
        <v>45723.538194444445</v>
      </c>
      <c r="E566" t="str">
        <f t="shared" si="25"/>
        <v>07-03-2025 to 13-03-2025</v>
      </c>
      <c r="F566" t="str">
        <f>IF(COUNTIF('Top5'!I:I, G566) &gt; 0, "Yes", "No")</f>
        <v>No</v>
      </c>
      <c r="G566" t="str">
        <f t="shared" si="26"/>
        <v>07-03-2025 to 13-03-2025</v>
      </c>
    </row>
    <row r="567" spans="1:7">
      <c r="A567" s="1">
        <v>45723</v>
      </c>
      <c r="B567" s="6">
        <v>0.55069444444444449</v>
      </c>
      <c r="C567" t="s">
        <v>22</v>
      </c>
      <c r="D567" s="7">
        <f t="shared" si="24"/>
        <v>45723.550694444442</v>
      </c>
      <c r="E567" t="str">
        <f t="shared" si="25"/>
        <v>07-03-2025 to 13-03-2025</v>
      </c>
      <c r="F567" t="str">
        <f>IF(COUNTIF('Top5'!I:I, G567) &gt; 0, "Yes", "No")</f>
        <v>No</v>
      </c>
      <c r="G567" t="str">
        <f t="shared" si="26"/>
        <v>07-03-2025 to 13-03-2025</v>
      </c>
    </row>
    <row r="568" spans="1:7">
      <c r="A568" s="1">
        <v>45723</v>
      </c>
      <c r="B568" s="6">
        <v>0.55555555555555558</v>
      </c>
      <c r="C568" t="s">
        <v>22</v>
      </c>
      <c r="D568" s="7">
        <f t="shared" si="24"/>
        <v>45723.555555555555</v>
      </c>
      <c r="E568" t="str">
        <f t="shared" si="25"/>
        <v>07-03-2025 to 13-03-2025</v>
      </c>
      <c r="F568" t="str">
        <f>IF(COUNTIF('Top5'!I:I, G568) &gt; 0, "Yes", "No")</f>
        <v>No</v>
      </c>
      <c r="G568" t="str">
        <f t="shared" si="26"/>
        <v>07-03-2025 to 13-03-2025</v>
      </c>
    </row>
    <row r="569" spans="1:7">
      <c r="A569" s="1">
        <v>45723</v>
      </c>
      <c r="B569" s="6">
        <v>0.72430555555555554</v>
      </c>
      <c r="C569" t="s">
        <v>23</v>
      </c>
      <c r="D569" s="7">
        <f t="shared" si="24"/>
        <v>45723.724305555559</v>
      </c>
      <c r="E569" t="str">
        <f t="shared" si="25"/>
        <v>07-03-2025 to 13-03-2025</v>
      </c>
      <c r="F569" t="str">
        <f>IF(COUNTIF('Top5'!I:I, G569) &gt; 0, "Yes", "No")</f>
        <v>No</v>
      </c>
      <c r="G569" t="str">
        <f t="shared" si="26"/>
        <v>07-03-2025 to 13-03-2025</v>
      </c>
    </row>
    <row r="570" spans="1:7">
      <c r="A570" s="1">
        <v>45723</v>
      </c>
      <c r="B570" s="6">
        <v>0.73888888888888893</v>
      </c>
      <c r="C570" t="s">
        <v>23</v>
      </c>
      <c r="D570" s="7">
        <f t="shared" si="24"/>
        <v>45723.738888888889</v>
      </c>
      <c r="E570" t="str">
        <f t="shared" si="25"/>
        <v>07-03-2025 to 13-03-2025</v>
      </c>
      <c r="F570" t="str">
        <f>IF(COUNTIF('Top5'!I:I, G570) &gt; 0, "Yes", "No")</f>
        <v>No</v>
      </c>
      <c r="G570" t="str">
        <f t="shared" si="26"/>
        <v>07-03-2025 to 13-03-2025</v>
      </c>
    </row>
    <row r="571" spans="1:7">
      <c r="A571" s="1">
        <v>45723</v>
      </c>
      <c r="B571" s="6">
        <v>0.73888888888888893</v>
      </c>
      <c r="C571" t="s">
        <v>23</v>
      </c>
      <c r="D571" s="7">
        <f t="shared" si="24"/>
        <v>45723.738888888889</v>
      </c>
      <c r="E571" t="str">
        <f t="shared" si="25"/>
        <v>07-03-2025 to 13-03-2025</v>
      </c>
      <c r="F571" t="str">
        <f>IF(COUNTIF('Top5'!I:I, G571) &gt; 0, "Yes", "No")</f>
        <v>No</v>
      </c>
      <c r="G571" t="str">
        <f t="shared" si="26"/>
        <v>07-03-2025 to 13-03-2025</v>
      </c>
    </row>
    <row r="572" spans="1:7">
      <c r="A572" s="1">
        <v>45723</v>
      </c>
      <c r="B572" s="6">
        <v>0.74027777777777781</v>
      </c>
      <c r="C572" t="s">
        <v>23</v>
      </c>
      <c r="D572" s="7">
        <f t="shared" si="24"/>
        <v>45723.740277777775</v>
      </c>
      <c r="E572" t="str">
        <f t="shared" si="25"/>
        <v>07-03-2025 to 13-03-2025</v>
      </c>
      <c r="F572" t="str">
        <f>IF(COUNTIF('Top5'!I:I, G572) &gt; 0, "Yes", "No")</f>
        <v>No</v>
      </c>
      <c r="G572" t="str">
        <f t="shared" si="26"/>
        <v>07-03-2025 to 13-03-2025</v>
      </c>
    </row>
    <row r="573" spans="1:7">
      <c r="A573" s="1">
        <v>45723</v>
      </c>
      <c r="B573" s="6">
        <v>0.75208333333333333</v>
      </c>
      <c r="C573" t="s">
        <v>23</v>
      </c>
      <c r="D573" s="7">
        <f t="shared" si="24"/>
        <v>45723.752083333333</v>
      </c>
      <c r="E573" t="str">
        <f t="shared" si="25"/>
        <v>07-03-2025 to 13-03-2025</v>
      </c>
      <c r="F573" t="str">
        <f>IF(COUNTIF('Top5'!I:I, G573) &gt; 0, "Yes", "No")</f>
        <v>No</v>
      </c>
      <c r="G573" t="str">
        <f t="shared" si="26"/>
        <v>07-03-2025 to 13-03-2025</v>
      </c>
    </row>
    <row r="574" spans="1:7">
      <c r="A574" s="1">
        <v>45723</v>
      </c>
      <c r="B574" s="6">
        <v>0.7680555555555556</v>
      </c>
      <c r="C574" t="s">
        <v>23</v>
      </c>
      <c r="D574" s="7">
        <f t="shared" si="24"/>
        <v>45723.768055555556</v>
      </c>
      <c r="E574" t="str">
        <f t="shared" si="25"/>
        <v>07-03-2025 to 13-03-2025</v>
      </c>
      <c r="F574" t="str">
        <f>IF(COUNTIF('Top5'!I:I, G574) &gt; 0, "Yes", "No")</f>
        <v>No</v>
      </c>
      <c r="G574" t="str">
        <f t="shared" si="26"/>
        <v>07-03-2025 to 13-03-2025</v>
      </c>
    </row>
    <row r="575" spans="1:7">
      <c r="A575" s="1">
        <v>45723</v>
      </c>
      <c r="B575" s="6">
        <v>0.82291666666666663</v>
      </c>
      <c r="C575" t="s">
        <v>23</v>
      </c>
      <c r="D575" s="7">
        <f t="shared" si="24"/>
        <v>45723.822916666664</v>
      </c>
      <c r="E575" t="str">
        <f t="shared" si="25"/>
        <v>07-03-2025 to 13-03-2025</v>
      </c>
      <c r="F575" t="str">
        <f>IF(COUNTIF('Top5'!I:I, G575) &gt; 0, "Yes", "No")</f>
        <v>No</v>
      </c>
      <c r="G575" t="str">
        <f t="shared" si="26"/>
        <v>07-03-2025 to 13-03-2025</v>
      </c>
    </row>
    <row r="576" spans="1:7">
      <c r="A576" s="1">
        <v>45724</v>
      </c>
      <c r="B576" s="6">
        <v>1.3888888888888889E-3</v>
      </c>
      <c r="C576" t="s">
        <v>23</v>
      </c>
      <c r="D576" s="7">
        <f t="shared" si="24"/>
        <v>45724.001388888886</v>
      </c>
      <c r="E576" t="str">
        <f t="shared" si="25"/>
        <v>08-03-2025 to 14-03-2025</v>
      </c>
      <c r="F576" t="str">
        <f>IF(COUNTIF('Top5'!I:I, G576) &gt; 0, "Yes", "No")</f>
        <v>Yes</v>
      </c>
      <c r="G576" t="str">
        <f t="shared" si="26"/>
        <v>08-03-2025 to 14-03-2025</v>
      </c>
    </row>
    <row r="577" spans="1:7">
      <c r="A577" s="1">
        <v>45724</v>
      </c>
      <c r="B577" s="6">
        <v>1.3888888888888889E-3</v>
      </c>
      <c r="C577" t="s">
        <v>23</v>
      </c>
      <c r="D577" s="7">
        <f t="shared" si="24"/>
        <v>45724.001388888886</v>
      </c>
      <c r="E577" t="str">
        <f t="shared" si="25"/>
        <v>08-03-2025 to 14-03-2025</v>
      </c>
      <c r="F577" t="str">
        <f>IF(COUNTIF('Top5'!I:I, G577) &gt; 0, "Yes", "No")</f>
        <v>Yes</v>
      </c>
      <c r="G577" t="str">
        <f t="shared" si="26"/>
        <v>08-03-2025 to 14-03-2025</v>
      </c>
    </row>
    <row r="578" spans="1:7">
      <c r="A578" s="1">
        <v>45724</v>
      </c>
      <c r="B578" s="6">
        <v>4.1666666666666666E-3</v>
      </c>
      <c r="C578" t="s">
        <v>23</v>
      </c>
      <c r="D578" s="7">
        <f t="shared" si="24"/>
        <v>45724.004166666666</v>
      </c>
      <c r="E578" t="str">
        <f t="shared" si="25"/>
        <v>08-03-2025 to 14-03-2025</v>
      </c>
      <c r="F578" t="str">
        <f>IF(COUNTIF('Top5'!I:I, G578) &gt; 0, "Yes", "No")</f>
        <v>Yes</v>
      </c>
      <c r="G578" t="str">
        <f t="shared" si="26"/>
        <v>08-03-2025 to 14-03-2025</v>
      </c>
    </row>
    <row r="579" spans="1:7">
      <c r="A579" s="1">
        <v>45724</v>
      </c>
      <c r="B579" s="6">
        <v>4.1666666666666666E-3</v>
      </c>
      <c r="C579" t="s">
        <v>23</v>
      </c>
      <c r="D579" s="7">
        <f t="shared" ref="D579:D642" si="27">VALUE(A579) + VALUE(B579)</f>
        <v>45724.004166666666</v>
      </c>
      <c r="E579" t="str">
        <f t="shared" ref="E579:E642" si="28">TEXT(D579, "dd-mm-yyyy") &amp; " to " &amp; TEXT(D579+6, "dd-mm-yyyy")</f>
        <v>08-03-2025 to 14-03-2025</v>
      </c>
      <c r="F579" t="str">
        <f>IF(COUNTIF('Top5'!I:I, G579) &gt; 0, "Yes", "No")</f>
        <v>Yes</v>
      </c>
      <c r="G579" t="str">
        <f t="shared" ref="G579:G642" si="29">TRIM(E579)</f>
        <v>08-03-2025 to 14-03-2025</v>
      </c>
    </row>
    <row r="580" spans="1:7">
      <c r="A580" s="1">
        <v>45724</v>
      </c>
      <c r="B580" s="6">
        <v>6.9444444444444441E-3</v>
      </c>
      <c r="C580" t="s">
        <v>23</v>
      </c>
      <c r="D580" s="7">
        <f t="shared" si="27"/>
        <v>45724.006944444445</v>
      </c>
      <c r="E580" t="str">
        <f t="shared" si="28"/>
        <v>08-03-2025 to 14-03-2025</v>
      </c>
      <c r="F580" t="str">
        <f>IF(COUNTIF('Top5'!I:I, G580) &gt; 0, "Yes", "No")</f>
        <v>Yes</v>
      </c>
      <c r="G580" t="str">
        <f t="shared" si="29"/>
        <v>08-03-2025 to 14-03-2025</v>
      </c>
    </row>
    <row r="581" spans="1:7">
      <c r="A581" s="1">
        <v>45724</v>
      </c>
      <c r="B581" s="6">
        <v>1.1805555555555555E-2</v>
      </c>
      <c r="C581" t="s">
        <v>23</v>
      </c>
      <c r="D581" s="7">
        <f t="shared" si="27"/>
        <v>45724.011805555558</v>
      </c>
      <c r="E581" t="str">
        <f t="shared" si="28"/>
        <v>08-03-2025 to 14-03-2025</v>
      </c>
      <c r="F581" t="str">
        <f>IF(COUNTIF('Top5'!I:I, G581) &gt; 0, "Yes", "No")</f>
        <v>Yes</v>
      </c>
      <c r="G581" t="str">
        <f t="shared" si="29"/>
        <v>08-03-2025 to 14-03-2025</v>
      </c>
    </row>
    <row r="582" spans="1:7">
      <c r="A582" s="1">
        <v>45724</v>
      </c>
      <c r="B582" s="6">
        <v>1.5972222222222221E-2</v>
      </c>
      <c r="C582" t="s">
        <v>23</v>
      </c>
      <c r="D582" s="7">
        <f t="shared" si="27"/>
        <v>45724.015972222223</v>
      </c>
      <c r="E582" t="str">
        <f t="shared" si="28"/>
        <v>08-03-2025 to 14-03-2025</v>
      </c>
      <c r="F582" t="str">
        <f>IF(COUNTIF('Top5'!I:I, G582) &gt; 0, "Yes", "No")</f>
        <v>Yes</v>
      </c>
      <c r="G582" t="str">
        <f t="shared" si="29"/>
        <v>08-03-2025 to 14-03-2025</v>
      </c>
    </row>
    <row r="583" spans="1:7">
      <c r="A583" s="1">
        <v>45724</v>
      </c>
      <c r="B583" s="6">
        <v>0.31111111111111112</v>
      </c>
      <c r="C583" t="s">
        <v>22</v>
      </c>
      <c r="D583" s="7">
        <f t="shared" si="27"/>
        <v>45724.311111111114</v>
      </c>
      <c r="E583" t="str">
        <f t="shared" si="28"/>
        <v>08-03-2025 to 14-03-2025</v>
      </c>
      <c r="F583" t="str">
        <f>IF(COUNTIF('Top5'!I:I, G583) &gt; 0, "Yes", "No")</f>
        <v>Yes</v>
      </c>
      <c r="G583" t="str">
        <f t="shared" si="29"/>
        <v>08-03-2025 to 14-03-2025</v>
      </c>
    </row>
    <row r="584" spans="1:7">
      <c r="A584" s="1">
        <v>45724</v>
      </c>
      <c r="B584" s="6">
        <v>0.41249999999999998</v>
      </c>
      <c r="C584" t="s">
        <v>22</v>
      </c>
      <c r="D584" s="7">
        <f t="shared" si="27"/>
        <v>45724.412499999999</v>
      </c>
      <c r="E584" t="str">
        <f t="shared" si="28"/>
        <v>08-03-2025 to 14-03-2025</v>
      </c>
      <c r="F584" t="str">
        <f>IF(COUNTIF('Top5'!I:I, G584) &gt; 0, "Yes", "No")</f>
        <v>Yes</v>
      </c>
      <c r="G584" t="str">
        <f t="shared" si="29"/>
        <v>08-03-2025 to 14-03-2025</v>
      </c>
    </row>
    <row r="585" spans="1:7">
      <c r="A585" s="1">
        <v>45724</v>
      </c>
      <c r="B585" s="6">
        <v>0.5625</v>
      </c>
      <c r="C585" t="s">
        <v>22</v>
      </c>
      <c r="D585" s="7">
        <f t="shared" si="27"/>
        <v>45724.5625</v>
      </c>
      <c r="E585" t="str">
        <f t="shared" si="28"/>
        <v>08-03-2025 to 14-03-2025</v>
      </c>
      <c r="F585" t="str">
        <f>IF(COUNTIF('Top5'!I:I, G585) &gt; 0, "Yes", "No")</f>
        <v>Yes</v>
      </c>
      <c r="G585" t="str">
        <f t="shared" si="29"/>
        <v>08-03-2025 to 14-03-2025</v>
      </c>
    </row>
    <row r="586" spans="1:7">
      <c r="A586" s="1">
        <v>45724</v>
      </c>
      <c r="B586" s="6">
        <v>0.60486111111111107</v>
      </c>
      <c r="C586" t="s">
        <v>22</v>
      </c>
      <c r="D586" s="7">
        <f t="shared" si="27"/>
        <v>45724.604861111111</v>
      </c>
      <c r="E586" t="str">
        <f t="shared" si="28"/>
        <v>08-03-2025 to 14-03-2025</v>
      </c>
      <c r="F586" t="str">
        <f>IF(COUNTIF('Top5'!I:I, G586) &gt; 0, "Yes", "No")</f>
        <v>Yes</v>
      </c>
      <c r="G586" t="str">
        <f t="shared" si="29"/>
        <v>08-03-2025 to 14-03-2025</v>
      </c>
    </row>
    <row r="587" spans="1:7">
      <c r="A587" s="1">
        <v>45724</v>
      </c>
      <c r="B587" s="6">
        <v>0.8256944444444444</v>
      </c>
      <c r="C587" t="s">
        <v>23</v>
      </c>
      <c r="D587" s="7">
        <f t="shared" si="27"/>
        <v>45724.825694444444</v>
      </c>
      <c r="E587" t="str">
        <f t="shared" si="28"/>
        <v>08-03-2025 to 14-03-2025</v>
      </c>
      <c r="F587" t="str">
        <f>IF(COUNTIF('Top5'!I:I, G587) &gt; 0, "Yes", "No")</f>
        <v>Yes</v>
      </c>
      <c r="G587" t="str">
        <f t="shared" si="29"/>
        <v>08-03-2025 to 14-03-2025</v>
      </c>
    </row>
    <row r="588" spans="1:7">
      <c r="A588" s="1">
        <v>45724</v>
      </c>
      <c r="B588" s="6">
        <v>0.8256944444444444</v>
      </c>
      <c r="C588" t="s">
        <v>23</v>
      </c>
      <c r="D588" s="7">
        <f t="shared" si="27"/>
        <v>45724.825694444444</v>
      </c>
      <c r="E588" t="str">
        <f t="shared" si="28"/>
        <v>08-03-2025 to 14-03-2025</v>
      </c>
      <c r="F588" t="str">
        <f>IF(COUNTIF('Top5'!I:I, G588) &gt; 0, "Yes", "No")</f>
        <v>Yes</v>
      </c>
      <c r="G588" t="str">
        <f t="shared" si="29"/>
        <v>08-03-2025 to 14-03-2025</v>
      </c>
    </row>
    <row r="589" spans="1:7">
      <c r="A589" s="1">
        <v>45724</v>
      </c>
      <c r="B589" s="6">
        <v>0.8256944444444444</v>
      </c>
      <c r="C589" t="s">
        <v>23</v>
      </c>
      <c r="D589" s="7">
        <f t="shared" si="27"/>
        <v>45724.825694444444</v>
      </c>
      <c r="E589" t="str">
        <f t="shared" si="28"/>
        <v>08-03-2025 to 14-03-2025</v>
      </c>
      <c r="F589" t="str">
        <f>IF(COUNTIF('Top5'!I:I, G589) &gt; 0, "Yes", "No")</f>
        <v>Yes</v>
      </c>
      <c r="G589" t="str">
        <f t="shared" si="29"/>
        <v>08-03-2025 to 14-03-2025</v>
      </c>
    </row>
    <row r="590" spans="1:7">
      <c r="A590" s="1">
        <v>45724</v>
      </c>
      <c r="B590" s="6">
        <v>0.84236111111111112</v>
      </c>
      <c r="C590" t="s">
        <v>23</v>
      </c>
      <c r="D590" s="7">
        <f t="shared" si="27"/>
        <v>45724.842361111114</v>
      </c>
      <c r="E590" t="str">
        <f t="shared" si="28"/>
        <v>08-03-2025 to 14-03-2025</v>
      </c>
      <c r="F590" t="str">
        <f>IF(COUNTIF('Top5'!I:I, G590) &gt; 0, "Yes", "No")</f>
        <v>Yes</v>
      </c>
      <c r="G590" t="str">
        <f t="shared" si="29"/>
        <v>08-03-2025 to 14-03-2025</v>
      </c>
    </row>
    <row r="591" spans="1:7">
      <c r="A591" s="1">
        <v>45724</v>
      </c>
      <c r="B591" s="6">
        <v>0.84305555555555556</v>
      </c>
      <c r="C591" t="s">
        <v>23</v>
      </c>
      <c r="D591" s="7">
        <f t="shared" si="27"/>
        <v>45724.843055555553</v>
      </c>
      <c r="E591" t="str">
        <f t="shared" si="28"/>
        <v>08-03-2025 to 14-03-2025</v>
      </c>
      <c r="F591" t="str">
        <f>IF(COUNTIF('Top5'!I:I, G591) &gt; 0, "Yes", "No")</f>
        <v>Yes</v>
      </c>
      <c r="G591" t="str">
        <f t="shared" si="29"/>
        <v>08-03-2025 to 14-03-2025</v>
      </c>
    </row>
    <row r="592" spans="1:7">
      <c r="A592" s="1">
        <v>45724</v>
      </c>
      <c r="B592" s="6">
        <v>0.89027777777777772</v>
      </c>
      <c r="C592" t="s">
        <v>23</v>
      </c>
      <c r="D592" s="7">
        <f t="shared" si="27"/>
        <v>45724.890277777777</v>
      </c>
      <c r="E592" t="str">
        <f t="shared" si="28"/>
        <v>08-03-2025 to 14-03-2025</v>
      </c>
      <c r="F592" t="str">
        <f>IF(COUNTIF('Top5'!I:I, G592) &gt; 0, "Yes", "No")</f>
        <v>Yes</v>
      </c>
      <c r="G592" t="str">
        <f t="shared" si="29"/>
        <v>08-03-2025 to 14-03-2025</v>
      </c>
    </row>
    <row r="593" spans="1:7">
      <c r="A593" s="1">
        <v>45724</v>
      </c>
      <c r="B593" s="6">
        <v>0.9291666666666667</v>
      </c>
      <c r="C593" t="s">
        <v>23</v>
      </c>
      <c r="D593" s="7">
        <f t="shared" si="27"/>
        <v>45724.929166666669</v>
      </c>
      <c r="E593" t="str">
        <f t="shared" si="28"/>
        <v>08-03-2025 to 14-03-2025</v>
      </c>
      <c r="F593" t="str">
        <f>IF(COUNTIF('Top5'!I:I, G593) &gt; 0, "Yes", "No")</f>
        <v>Yes</v>
      </c>
      <c r="G593" t="str">
        <f t="shared" si="29"/>
        <v>08-03-2025 to 14-03-2025</v>
      </c>
    </row>
    <row r="594" spans="1:7">
      <c r="A594" s="1">
        <v>45725</v>
      </c>
      <c r="B594" s="6">
        <v>6.9444444444444447E-4</v>
      </c>
      <c r="C594" t="s">
        <v>23</v>
      </c>
      <c r="D594" s="7">
        <f t="shared" si="27"/>
        <v>45725.000694444447</v>
      </c>
      <c r="E594" t="str">
        <f t="shared" si="28"/>
        <v>09-03-2025 to 15-03-2025</v>
      </c>
      <c r="F594" t="str">
        <f>IF(COUNTIF('Top5'!I:I, G594) &gt; 0, "Yes", "No")</f>
        <v>No</v>
      </c>
      <c r="G594" t="str">
        <f t="shared" si="29"/>
        <v>09-03-2025 to 15-03-2025</v>
      </c>
    </row>
    <row r="595" spans="1:7">
      <c r="A595" s="1">
        <v>45725</v>
      </c>
      <c r="B595" s="6">
        <v>6.9444444444444447E-4</v>
      </c>
      <c r="C595" t="s">
        <v>23</v>
      </c>
      <c r="D595" s="7">
        <f t="shared" si="27"/>
        <v>45725.000694444447</v>
      </c>
      <c r="E595" t="str">
        <f t="shared" si="28"/>
        <v>09-03-2025 to 15-03-2025</v>
      </c>
      <c r="F595" t="str">
        <f>IF(COUNTIF('Top5'!I:I, G595) &gt; 0, "Yes", "No")</f>
        <v>No</v>
      </c>
      <c r="G595" t="str">
        <f t="shared" si="29"/>
        <v>09-03-2025 to 15-03-2025</v>
      </c>
    </row>
    <row r="596" spans="1:7">
      <c r="A596" s="1">
        <v>45725</v>
      </c>
      <c r="B596" s="6">
        <v>1.3888888888888889E-3</v>
      </c>
      <c r="C596" t="s">
        <v>23</v>
      </c>
      <c r="D596" s="7">
        <f t="shared" si="27"/>
        <v>45725.001388888886</v>
      </c>
      <c r="E596" t="str">
        <f t="shared" si="28"/>
        <v>09-03-2025 to 15-03-2025</v>
      </c>
      <c r="F596" t="str">
        <f>IF(COUNTIF('Top5'!I:I, G596) &gt; 0, "Yes", "No")</f>
        <v>No</v>
      </c>
      <c r="G596" t="str">
        <f t="shared" si="29"/>
        <v>09-03-2025 to 15-03-2025</v>
      </c>
    </row>
    <row r="597" spans="1:7">
      <c r="A597" s="1">
        <v>45725</v>
      </c>
      <c r="B597" s="6">
        <v>3.472222222222222E-3</v>
      </c>
      <c r="C597" t="s">
        <v>23</v>
      </c>
      <c r="D597" s="7">
        <f t="shared" si="27"/>
        <v>45725.003472222219</v>
      </c>
      <c r="E597" t="str">
        <f t="shared" si="28"/>
        <v>09-03-2025 to 15-03-2025</v>
      </c>
      <c r="F597" t="str">
        <f>IF(COUNTIF('Top5'!I:I, G597) &gt; 0, "Yes", "No")</f>
        <v>No</v>
      </c>
      <c r="G597" t="str">
        <f t="shared" si="29"/>
        <v>09-03-2025 to 15-03-2025</v>
      </c>
    </row>
    <row r="598" spans="1:7">
      <c r="A598" s="1">
        <v>45725</v>
      </c>
      <c r="B598" s="6">
        <v>4.1666666666666666E-3</v>
      </c>
      <c r="C598" t="s">
        <v>23</v>
      </c>
      <c r="D598" s="7">
        <f t="shared" si="27"/>
        <v>45725.004166666666</v>
      </c>
      <c r="E598" t="str">
        <f t="shared" si="28"/>
        <v>09-03-2025 to 15-03-2025</v>
      </c>
      <c r="F598" t="str">
        <f>IF(COUNTIF('Top5'!I:I, G598) &gt; 0, "Yes", "No")</f>
        <v>No</v>
      </c>
      <c r="G598" t="str">
        <f t="shared" si="29"/>
        <v>09-03-2025 to 15-03-2025</v>
      </c>
    </row>
    <row r="599" spans="1:7">
      <c r="A599" s="1">
        <v>45725</v>
      </c>
      <c r="B599" s="6">
        <v>4.8611111111111112E-3</v>
      </c>
      <c r="C599" t="s">
        <v>23</v>
      </c>
      <c r="D599" s="7">
        <f t="shared" si="27"/>
        <v>45725.004861111112</v>
      </c>
      <c r="E599" t="str">
        <f t="shared" si="28"/>
        <v>09-03-2025 to 15-03-2025</v>
      </c>
      <c r="F599" t="str">
        <f>IF(COUNTIF('Top5'!I:I, G599) &gt; 0, "Yes", "No")</f>
        <v>No</v>
      </c>
      <c r="G599" t="str">
        <f t="shared" si="29"/>
        <v>09-03-2025 to 15-03-2025</v>
      </c>
    </row>
    <row r="600" spans="1:7">
      <c r="A600" s="1">
        <v>45725</v>
      </c>
      <c r="B600" s="6">
        <v>7.6388888888888886E-3</v>
      </c>
      <c r="C600" t="s">
        <v>23</v>
      </c>
      <c r="D600" s="7">
        <f t="shared" si="27"/>
        <v>45725.007638888892</v>
      </c>
      <c r="E600" t="str">
        <f t="shared" si="28"/>
        <v>09-03-2025 to 15-03-2025</v>
      </c>
      <c r="F600" t="str">
        <f>IF(COUNTIF('Top5'!I:I, G600) &gt; 0, "Yes", "No")</f>
        <v>No</v>
      </c>
      <c r="G600" t="str">
        <f t="shared" si="29"/>
        <v>09-03-2025 to 15-03-2025</v>
      </c>
    </row>
    <row r="601" spans="1:7">
      <c r="A601" s="1">
        <v>45725</v>
      </c>
      <c r="B601" s="6">
        <v>0.46944444444444444</v>
      </c>
      <c r="C601" t="s">
        <v>22</v>
      </c>
      <c r="D601" s="7">
        <f t="shared" si="27"/>
        <v>45725.469444444447</v>
      </c>
      <c r="E601" t="str">
        <f t="shared" si="28"/>
        <v>09-03-2025 to 15-03-2025</v>
      </c>
      <c r="F601" t="str">
        <f>IF(COUNTIF('Top5'!I:I, G601) &gt; 0, "Yes", "No")</f>
        <v>No</v>
      </c>
      <c r="G601" t="str">
        <f t="shared" si="29"/>
        <v>09-03-2025 to 15-03-2025</v>
      </c>
    </row>
    <row r="602" spans="1:7">
      <c r="A602" s="1">
        <v>45725</v>
      </c>
      <c r="B602" s="6">
        <v>0.47152777777777777</v>
      </c>
      <c r="C602" t="s">
        <v>22</v>
      </c>
      <c r="D602" s="7">
        <f t="shared" si="27"/>
        <v>45725.47152777778</v>
      </c>
      <c r="E602" t="str">
        <f t="shared" si="28"/>
        <v>09-03-2025 to 15-03-2025</v>
      </c>
      <c r="F602" t="str">
        <f>IF(COUNTIF('Top5'!I:I, G602) &gt; 0, "Yes", "No")</f>
        <v>No</v>
      </c>
      <c r="G602" t="str">
        <f t="shared" si="29"/>
        <v>09-03-2025 to 15-03-2025</v>
      </c>
    </row>
    <row r="603" spans="1:7">
      <c r="A603" s="1">
        <v>45725</v>
      </c>
      <c r="B603" s="6">
        <v>0.4909722222222222</v>
      </c>
      <c r="C603" t="s">
        <v>22</v>
      </c>
      <c r="D603" s="7">
        <f t="shared" si="27"/>
        <v>45725.490972222222</v>
      </c>
      <c r="E603" t="str">
        <f t="shared" si="28"/>
        <v>09-03-2025 to 15-03-2025</v>
      </c>
      <c r="F603" t="str">
        <f>IF(COUNTIF('Top5'!I:I, G603) &gt; 0, "Yes", "No")</f>
        <v>No</v>
      </c>
      <c r="G603" t="str">
        <f t="shared" si="29"/>
        <v>09-03-2025 to 15-03-2025</v>
      </c>
    </row>
    <row r="604" spans="1:7">
      <c r="A604" s="1">
        <v>45725</v>
      </c>
      <c r="B604" s="6">
        <v>0.5</v>
      </c>
      <c r="C604" t="s">
        <v>22</v>
      </c>
      <c r="D604" s="7">
        <f t="shared" si="27"/>
        <v>45725.5</v>
      </c>
      <c r="E604" t="str">
        <f t="shared" si="28"/>
        <v>09-03-2025 to 15-03-2025</v>
      </c>
      <c r="F604" t="str">
        <f>IF(COUNTIF('Top5'!I:I, G604) &gt; 0, "Yes", "No")</f>
        <v>No</v>
      </c>
      <c r="G604" t="str">
        <f t="shared" si="29"/>
        <v>09-03-2025 to 15-03-2025</v>
      </c>
    </row>
    <row r="605" spans="1:7">
      <c r="A605" s="1">
        <v>45725</v>
      </c>
      <c r="B605" s="6">
        <v>0.72777777777777775</v>
      </c>
      <c r="C605" t="s">
        <v>23</v>
      </c>
      <c r="D605" s="7">
        <f t="shared" si="27"/>
        <v>45725.727777777778</v>
      </c>
      <c r="E605" t="str">
        <f t="shared" si="28"/>
        <v>09-03-2025 to 15-03-2025</v>
      </c>
      <c r="F605" t="str">
        <f>IF(COUNTIF('Top5'!I:I, G605) &gt; 0, "Yes", "No")</f>
        <v>No</v>
      </c>
      <c r="G605" t="str">
        <f t="shared" si="29"/>
        <v>09-03-2025 to 15-03-2025</v>
      </c>
    </row>
    <row r="606" spans="1:7">
      <c r="A606" s="1">
        <v>45725</v>
      </c>
      <c r="B606" s="6">
        <v>0.89097222222222228</v>
      </c>
      <c r="C606" t="s">
        <v>23</v>
      </c>
      <c r="D606" s="7">
        <f t="shared" si="27"/>
        <v>45725.890972222223</v>
      </c>
      <c r="E606" t="str">
        <f t="shared" si="28"/>
        <v>09-03-2025 to 15-03-2025</v>
      </c>
      <c r="F606" t="str">
        <f>IF(COUNTIF('Top5'!I:I, G606) &gt; 0, "Yes", "No")</f>
        <v>No</v>
      </c>
      <c r="G606" t="str">
        <f t="shared" si="29"/>
        <v>09-03-2025 to 15-03-2025</v>
      </c>
    </row>
    <row r="607" spans="1:7">
      <c r="A607" s="1">
        <v>45726</v>
      </c>
      <c r="B607" s="6">
        <v>0.39374999999999999</v>
      </c>
      <c r="C607" t="s">
        <v>22</v>
      </c>
      <c r="D607" s="7">
        <f t="shared" si="27"/>
        <v>45726.393750000003</v>
      </c>
      <c r="E607" t="str">
        <f t="shared" si="28"/>
        <v>10-03-2025 to 16-03-2025</v>
      </c>
      <c r="F607" t="str">
        <f>IF(COUNTIF('Top5'!I:I, G607) &gt; 0, "Yes", "No")</f>
        <v>No</v>
      </c>
      <c r="G607" t="str">
        <f t="shared" si="29"/>
        <v>10-03-2025 to 16-03-2025</v>
      </c>
    </row>
    <row r="608" spans="1:7">
      <c r="A608" s="1">
        <v>45726</v>
      </c>
      <c r="B608" s="6">
        <v>0.42708333333333331</v>
      </c>
      <c r="C608" t="s">
        <v>22</v>
      </c>
      <c r="D608" s="7">
        <f t="shared" si="27"/>
        <v>45726.427083333336</v>
      </c>
      <c r="E608" t="str">
        <f t="shared" si="28"/>
        <v>10-03-2025 to 16-03-2025</v>
      </c>
      <c r="F608" t="str">
        <f>IF(COUNTIF('Top5'!I:I, G608) &gt; 0, "Yes", "No")</f>
        <v>No</v>
      </c>
      <c r="G608" t="str">
        <f t="shared" si="29"/>
        <v>10-03-2025 to 16-03-2025</v>
      </c>
    </row>
    <row r="609" spans="1:7">
      <c r="A609" s="1">
        <v>45726</v>
      </c>
      <c r="B609" s="6">
        <v>0.43680555555555556</v>
      </c>
      <c r="C609" t="s">
        <v>22</v>
      </c>
      <c r="D609" s="7">
        <f t="shared" si="27"/>
        <v>45726.436805555553</v>
      </c>
      <c r="E609" t="str">
        <f t="shared" si="28"/>
        <v>10-03-2025 to 16-03-2025</v>
      </c>
      <c r="F609" t="str">
        <f>IF(COUNTIF('Top5'!I:I, G609) &gt; 0, "Yes", "No")</f>
        <v>No</v>
      </c>
      <c r="G609" t="str">
        <f t="shared" si="29"/>
        <v>10-03-2025 to 16-03-2025</v>
      </c>
    </row>
    <row r="610" spans="1:7">
      <c r="A610" s="1">
        <v>45726</v>
      </c>
      <c r="B610" s="6">
        <v>0.71180555555555558</v>
      </c>
      <c r="C610" t="s">
        <v>23</v>
      </c>
      <c r="D610" s="7">
        <f t="shared" si="27"/>
        <v>45726.711805555555</v>
      </c>
      <c r="E610" t="str">
        <f t="shared" si="28"/>
        <v>10-03-2025 to 16-03-2025</v>
      </c>
      <c r="F610" t="str">
        <f>IF(COUNTIF('Top5'!I:I, G610) &gt; 0, "Yes", "No")</f>
        <v>No</v>
      </c>
      <c r="G610" t="str">
        <f t="shared" si="29"/>
        <v>10-03-2025 to 16-03-2025</v>
      </c>
    </row>
    <row r="611" spans="1:7">
      <c r="A611" s="1">
        <v>45726</v>
      </c>
      <c r="B611" s="6">
        <v>0.71805555555555556</v>
      </c>
      <c r="C611" t="s">
        <v>23</v>
      </c>
      <c r="D611" s="7">
        <f t="shared" si="27"/>
        <v>45726.718055555553</v>
      </c>
      <c r="E611" t="str">
        <f t="shared" si="28"/>
        <v>10-03-2025 to 16-03-2025</v>
      </c>
      <c r="F611" t="str">
        <f>IF(COUNTIF('Top5'!I:I, G611) &gt; 0, "Yes", "No")</f>
        <v>No</v>
      </c>
      <c r="G611" t="str">
        <f t="shared" si="29"/>
        <v>10-03-2025 to 16-03-2025</v>
      </c>
    </row>
    <row r="612" spans="1:7">
      <c r="A612" s="1">
        <v>45726</v>
      </c>
      <c r="B612" s="6">
        <v>0.77638888888888891</v>
      </c>
      <c r="C612" t="s">
        <v>23</v>
      </c>
      <c r="D612" s="7">
        <f t="shared" si="27"/>
        <v>45726.776388888888</v>
      </c>
      <c r="E612" t="str">
        <f t="shared" si="28"/>
        <v>10-03-2025 to 16-03-2025</v>
      </c>
      <c r="F612" t="str">
        <f>IF(COUNTIF('Top5'!I:I, G612) &gt; 0, "Yes", "No")</f>
        <v>No</v>
      </c>
      <c r="G612" t="str">
        <f t="shared" si="29"/>
        <v>10-03-2025 to 16-03-2025</v>
      </c>
    </row>
    <row r="613" spans="1:7">
      <c r="A613" s="1">
        <v>45726</v>
      </c>
      <c r="B613" s="6">
        <v>0.96180555555555558</v>
      </c>
      <c r="C613" t="s">
        <v>23</v>
      </c>
      <c r="D613" s="7">
        <f t="shared" si="27"/>
        <v>45726.961805555555</v>
      </c>
      <c r="E613" t="str">
        <f t="shared" si="28"/>
        <v>10-03-2025 to 16-03-2025</v>
      </c>
      <c r="F613" t="str">
        <f>IF(COUNTIF('Top5'!I:I, G613) &gt; 0, "Yes", "No")</f>
        <v>No</v>
      </c>
      <c r="G613" t="str">
        <f t="shared" si="29"/>
        <v>10-03-2025 to 16-03-2025</v>
      </c>
    </row>
    <row r="614" spans="1:7">
      <c r="A614" s="1">
        <v>45726</v>
      </c>
      <c r="B614" s="6">
        <v>0.97777777777777775</v>
      </c>
      <c r="C614" t="s">
        <v>23</v>
      </c>
      <c r="D614" s="7">
        <f t="shared" si="27"/>
        <v>45726.977777777778</v>
      </c>
      <c r="E614" t="str">
        <f t="shared" si="28"/>
        <v>10-03-2025 to 16-03-2025</v>
      </c>
      <c r="F614" t="str">
        <f>IF(COUNTIF('Top5'!I:I, G614) &gt; 0, "Yes", "No")</f>
        <v>No</v>
      </c>
      <c r="G614" t="str">
        <f t="shared" si="29"/>
        <v>10-03-2025 to 16-03-2025</v>
      </c>
    </row>
    <row r="615" spans="1:7">
      <c r="A615" s="1">
        <v>45727</v>
      </c>
      <c r="B615" s="6">
        <v>4.1666666666666666E-3</v>
      </c>
      <c r="C615" t="s">
        <v>23</v>
      </c>
      <c r="D615" s="7">
        <f t="shared" si="27"/>
        <v>45727.004166666666</v>
      </c>
      <c r="E615" t="str">
        <f t="shared" si="28"/>
        <v>11-03-2025 to 17-03-2025</v>
      </c>
      <c r="F615" t="str">
        <f>IF(COUNTIF('Top5'!I:I, G615) &gt; 0, "Yes", "No")</f>
        <v>No</v>
      </c>
      <c r="G615" t="str">
        <f t="shared" si="29"/>
        <v>11-03-2025 to 17-03-2025</v>
      </c>
    </row>
    <row r="616" spans="1:7">
      <c r="A616" s="1">
        <v>45727</v>
      </c>
      <c r="B616" s="6">
        <v>0.49305555555555558</v>
      </c>
      <c r="C616" t="s">
        <v>22</v>
      </c>
      <c r="D616" s="7">
        <f t="shared" si="27"/>
        <v>45727.493055555555</v>
      </c>
      <c r="E616" t="str">
        <f t="shared" si="28"/>
        <v>11-03-2025 to 17-03-2025</v>
      </c>
      <c r="F616" t="str">
        <f>IF(COUNTIF('Top5'!I:I, G616) &gt; 0, "Yes", "No")</f>
        <v>No</v>
      </c>
      <c r="G616" t="str">
        <f t="shared" si="29"/>
        <v>11-03-2025 to 17-03-2025</v>
      </c>
    </row>
    <row r="617" spans="1:7">
      <c r="A617" s="1">
        <v>45727</v>
      </c>
      <c r="B617" s="6">
        <v>0.53055555555555556</v>
      </c>
      <c r="C617" t="s">
        <v>22</v>
      </c>
      <c r="D617" s="7">
        <f t="shared" si="27"/>
        <v>45727.530555555553</v>
      </c>
      <c r="E617" t="str">
        <f t="shared" si="28"/>
        <v>11-03-2025 to 17-03-2025</v>
      </c>
      <c r="F617" t="str">
        <f>IF(COUNTIF('Top5'!I:I, G617) &gt; 0, "Yes", "No")</f>
        <v>No</v>
      </c>
      <c r="G617" t="str">
        <f t="shared" si="29"/>
        <v>11-03-2025 to 17-03-2025</v>
      </c>
    </row>
    <row r="618" spans="1:7">
      <c r="A618" s="1">
        <v>45727</v>
      </c>
      <c r="B618" s="6">
        <v>0.5395833333333333</v>
      </c>
      <c r="C618" t="s">
        <v>22</v>
      </c>
      <c r="D618" s="7">
        <f t="shared" si="27"/>
        <v>45727.539583333331</v>
      </c>
      <c r="E618" t="str">
        <f t="shared" si="28"/>
        <v>11-03-2025 to 17-03-2025</v>
      </c>
      <c r="F618" t="str">
        <f>IF(COUNTIF('Top5'!I:I, G618) &gt; 0, "Yes", "No")</f>
        <v>No</v>
      </c>
      <c r="G618" t="str">
        <f t="shared" si="29"/>
        <v>11-03-2025 to 17-03-2025</v>
      </c>
    </row>
    <row r="619" spans="1:7">
      <c r="A619" s="1">
        <v>45727</v>
      </c>
      <c r="B619" s="6">
        <v>0.9916666666666667</v>
      </c>
      <c r="C619" t="s">
        <v>23</v>
      </c>
      <c r="D619" s="7">
        <f t="shared" si="27"/>
        <v>45727.991666666669</v>
      </c>
      <c r="E619" t="str">
        <f t="shared" si="28"/>
        <v>11-03-2025 to 17-03-2025</v>
      </c>
      <c r="F619" t="str">
        <f>IF(COUNTIF('Top5'!I:I, G619) &gt; 0, "Yes", "No")</f>
        <v>No</v>
      </c>
      <c r="G619" t="str">
        <f t="shared" si="29"/>
        <v>11-03-2025 to 17-03-2025</v>
      </c>
    </row>
    <row r="620" spans="1:7">
      <c r="A620" s="1">
        <v>45728</v>
      </c>
      <c r="B620" s="6">
        <v>6.2500000000000003E-3</v>
      </c>
      <c r="C620" t="s">
        <v>23</v>
      </c>
      <c r="D620" s="7">
        <f t="shared" si="27"/>
        <v>45728.006249999999</v>
      </c>
      <c r="E620" t="str">
        <f t="shared" si="28"/>
        <v>12-03-2025 to 18-03-2025</v>
      </c>
      <c r="F620" t="str">
        <f>IF(COUNTIF('Top5'!I:I, G620) &gt; 0, "Yes", "No")</f>
        <v>No</v>
      </c>
      <c r="G620" t="str">
        <f t="shared" si="29"/>
        <v>12-03-2025 to 18-03-2025</v>
      </c>
    </row>
    <row r="621" spans="1:7">
      <c r="A621" s="1">
        <v>45728</v>
      </c>
      <c r="B621" s="6">
        <v>0.38333333333333336</v>
      </c>
      <c r="C621" t="s">
        <v>22</v>
      </c>
      <c r="D621" s="7">
        <f t="shared" si="27"/>
        <v>45728.383333333331</v>
      </c>
      <c r="E621" t="str">
        <f t="shared" si="28"/>
        <v>12-03-2025 to 18-03-2025</v>
      </c>
      <c r="F621" t="str">
        <f>IF(COUNTIF('Top5'!I:I, G621) &gt; 0, "Yes", "No")</f>
        <v>No</v>
      </c>
      <c r="G621" t="str">
        <f t="shared" si="29"/>
        <v>12-03-2025 to 18-03-2025</v>
      </c>
    </row>
    <row r="622" spans="1:7">
      <c r="A622" s="1">
        <v>45728</v>
      </c>
      <c r="B622" s="6">
        <v>0.39930555555555558</v>
      </c>
      <c r="C622" t="s">
        <v>22</v>
      </c>
      <c r="D622" s="7">
        <f t="shared" si="27"/>
        <v>45728.399305555555</v>
      </c>
      <c r="E622" t="str">
        <f t="shared" si="28"/>
        <v>12-03-2025 to 18-03-2025</v>
      </c>
      <c r="F622" t="str">
        <f>IF(COUNTIF('Top5'!I:I, G622) &gt; 0, "Yes", "No")</f>
        <v>No</v>
      </c>
      <c r="G622" t="str">
        <f t="shared" si="29"/>
        <v>12-03-2025 to 18-03-2025</v>
      </c>
    </row>
    <row r="623" spans="1:7">
      <c r="A623" s="1">
        <v>45728</v>
      </c>
      <c r="B623" s="6">
        <v>0.4</v>
      </c>
      <c r="C623" t="s">
        <v>22</v>
      </c>
      <c r="D623" s="7">
        <f t="shared" si="27"/>
        <v>45728.4</v>
      </c>
      <c r="E623" t="str">
        <f t="shared" si="28"/>
        <v>12-03-2025 to 18-03-2025</v>
      </c>
      <c r="F623" t="str">
        <f>IF(COUNTIF('Top5'!I:I, G623) &gt; 0, "Yes", "No")</f>
        <v>No</v>
      </c>
      <c r="G623" t="str">
        <f t="shared" si="29"/>
        <v>12-03-2025 to 18-03-2025</v>
      </c>
    </row>
    <row r="624" spans="1:7">
      <c r="A624" s="1">
        <v>45728</v>
      </c>
      <c r="B624" s="6">
        <v>0.40416666666666667</v>
      </c>
      <c r="C624" t="s">
        <v>22</v>
      </c>
      <c r="D624" s="7">
        <f t="shared" si="27"/>
        <v>45728.404166666667</v>
      </c>
      <c r="E624" t="str">
        <f t="shared" si="28"/>
        <v>12-03-2025 to 18-03-2025</v>
      </c>
      <c r="F624" t="str">
        <f>IF(COUNTIF('Top5'!I:I, G624) &gt; 0, "Yes", "No")</f>
        <v>No</v>
      </c>
      <c r="G624" t="str">
        <f t="shared" si="29"/>
        <v>12-03-2025 to 18-03-2025</v>
      </c>
    </row>
    <row r="625" spans="1:7">
      <c r="A625" s="1">
        <v>45729</v>
      </c>
      <c r="B625" s="6">
        <v>0.45</v>
      </c>
      <c r="C625" t="s">
        <v>22</v>
      </c>
      <c r="D625" s="7">
        <f t="shared" si="27"/>
        <v>45729.45</v>
      </c>
      <c r="E625" t="str">
        <f t="shared" si="28"/>
        <v>13-03-2025 to 19-03-2025</v>
      </c>
      <c r="F625" t="str">
        <f>IF(COUNTIF('Top5'!I:I, G625) &gt; 0, "Yes", "No")</f>
        <v>No</v>
      </c>
      <c r="G625" t="str">
        <f t="shared" si="29"/>
        <v>13-03-2025 to 19-03-2025</v>
      </c>
    </row>
    <row r="626" spans="1:7">
      <c r="A626" s="1">
        <v>45729</v>
      </c>
      <c r="B626" s="6">
        <v>0.45833333333333331</v>
      </c>
      <c r="C626" t="s">
        <v>22</v>
      </c>
      <c r="D626" s="7">
        <f t="shared" si="27"/>
        <v>45729.458333333336</v>
      </c>
      <c r="E626" t="str">
        <f t="shared" si="28"/>
        <v>13-03-2025 to 19-03-2025</v>
      </c>
      <c r="F626" t="str">
        <f>IF(COUNTIF('Top5'!I:I, G626) &gt; 0, "Yes", "No")</f>
        <v>No</v>
      </c>
      <c r="G626" t="str">
        <f t="shared" si="29"/>
        <v>13-03-2025 to 19-03-2025</v>
      </c>
    </row>
    <row r="627" spans="1:7">
      <c r="A627" s="1">
        <v>45729</v>
      </c>
      <c r="B627" s="6">
        <v>0.47291666666666665</v>
      </c>
      <c r="C627" t="s">
        <v>22</v>
      </c>
      <c r="D627" s="7">
        <f t="shared" si="27"/>
        <v>45729.472916666666</v>
      </c>
      <c r="E627" t="str">
        <f t="shared" si="28"/>
        <v>13-03-2025 to 19-03-2025</v>
      </c>
      <c r="F627" t="str">
        <f>IF(COUNTIF('Top5'!I:I, G627) &gt; 0, "Yes", "No")</f>
        <v>No</v>
      </c>
      <c r="G627" t="str">
        <f t="shared" si="29"/>
        <v>13-03-2025 to 19-03-2025</v>
      </c>
    </row>
    <row r="628" spans="1:7">
      <c r="A628" s="1">
        <v>45729</v>
      </c>
      <c r="B628" s="6">
        <v>0.47499999999999998</v>
      </c>
      <c r="C628" t="s">
        <v>22</v>
      </c>
      <c r="D628" s="7">
        <f t="shared" si="27"/>
        <v>45729.474999999999</v>
      </c>
      <c r="E628" t="str">
        <f t="shared" si="28"/>
        <v>13-03-2025 to 19-03-2025</v>
      </c>
      <c r="F628" t="str">
        <f>IF(COUNTIF('Top5'!I:I, G628) &gt; 0, "Yes", "No")</f>
        <v>No</v>
      </c>
      <c r="G628" t="str">
        <f t="shared" si="29"/>
        <v>13-03-2025 to 19-03-2025</v>
      </c>
    </row>
    <row r="629" spans="1:7">
      <c r="A629" s="1">
        <v>45729</v>
      </c>
      <c r="B629" s="6">
        <v>0.47569444444444442</v>
      </c>
      <c r="C629" t="s">
        <v>22</v>
      </c>
      <c r="D629" s="7">
        <f t="shared" si="27"/>
        <v>45729.475694444445</v>
      </c>
      <c r="E629" t="str">
        <f t="shared" si="28"/>
        <v>13-03-2025 to 19-03-2025</v>
      </c>
      <c r="F629" t="str">
        <f>IF(COUNTIF('Top5'!I:I, G629) &gt; 0, "Yes", "No")</f>
        <v>No</v>
      </c>
      <c r="G629" t="str">
        <f t="shared" si="29"/>
        <v>13-03-2025 to 19-03-2025</v>
      </c>
    </row>
    <row r="630" spans="1:7">
      <c r="A630" s="1">
        <v>45729</v>
      </c>
      <c r="B630" s="6">
        <v>0.47569444444444442</v>
      </c>
      <c r="C630" t="s">
        <v>22</v>
      </c>
      <c r="D630" s="7">
        <f t="shared" si="27"/>
        <v>45729.475694444445</v>
      </c>
      <c r="E630" t="str">
        <f t="shared" si="28"/>
        <v>13-03-2025 to 19-03-2025</v>
      </c>
      <c r="F630" t="str">
        <f>IF(COUNTIF('Top5'!I:I, G630) &gt; 0, "Yes", "No")</f>
        <v>No</v>
      </c>
      <c r="G630" t="str">
        <f t="shared" si="29"/>
        <v>13-03-2025 to 19-03-2025</v>
      </c>
    </row>
    <row r="631" spans="1:7">
      <c r="A631" s="1">
        <v>45729</v>
      </c>
      <c r="B631" s="6">
        <v>0.47708333333333336</v>
      </c>
      <c r="C631" t="s">
        <v>22</v>
      </c>
      <c r="D631" s="7">
        <f t="shared" si="27"/>
        <v>45729.477083333331</v>
      </c>
      <c r="E631" t="str">
        <f t="shared" si="28"/>
        <v>13-03-2025 to 19-03-2025</v>
      </c>
      <c r="F631" t="str">
        <f>IF(COUNTIF('Top5'!I:I, G631) &gt; 0, "Yes", "No")</f>
        <v>No</v>
      </c>
      <c r="G631" t="str">
        <f t="shared" si="29"/>
        <v>13-03-2025 to 19-03-2025</v>
      </c>
    </row>
    <row r="632" spans="1:7">
      <c r="A632" s="1">
        <v>45729</v>
      </c>
      <c r="B632" s="6">
        <v>0.60486111111111107</v>
      </c>
      <c r="C632" t="s">
        <v>22</v>
      </c>
      <c r="D632" s="7">
        <f t="shared" si="27"/>
        <v>45729.604861111111</v>
      </c>
      <c r="E632" t="str">
        <f t="shared" si="28"/>
        <v>13-03-2025 to 19-03-2025</v>
      </c>
      <c r="F632" t="str">
        <f>IF(COUNTIF('Top5'!I:I, G632) &gt; 0, "Yes", "No")</f>
        <v>No</v>
      </c>
      <c r="G632" t="str">
        <f t="shared" si="29"/>
        <v>13-03-2025 to 19-03-2025</v>
      </c>
    </row>
    <row r="633" spans="1:7">
      <c r="A633" s="1">
        <v>45729</v>
      </c>
      <c r="B633" s="6">
        <v>0.69305555555555554</v>
      </c>
      <c r="C633" t="s">
        <v>22</v>
      </c>
      <c r="D633" s="7">
        <f t="shared" si="27"/>
        <v>45729.693055555559</v>
      </c>
      <c r="E633" t="str">
        <f t="shared" si="28"/>
        <v>13-03-2025 to 19-03-2025</v>
      </c>
      <c r="F633" t="str">
        <f>IF(COUNTIF('Top5'!I:I, G633) &gt; 0, "Yes", "No")</f>
        <v>No</v>
      </c>
      <c r="G633" t="str">
        <f t="shared" si="29"/>
        <v>13-03-2025 to 19-03-2025</v>
      </c>
    </row>
    <row r="634" spans="1:7">
      <c r="A634" s="1">
        <v>45730</v>
      </c>
      <c r="B634" s="6">
        <v>3.472222222222222E-3</v>
      </c>
      <c r="C634" t="s">
        <v>23</v>
      </c>
      <c r="D634" s="7">
        <f t="shared" si="27"/>
        <v>45730.003472222219</v>
      </c>
      <c r="E634" t="str">
        <f t="shared" si="28"/>
        <v>14-03-2025 to 20-03-2025</v>
      </c>
      <c r="F634" t="str">
        <f>IF(COUNTIF('Top5'!I:I, G634) &gt; 0, "Yes", "No")</f>
        <v>No</v>
      </c>
      <c r="G634" t="str">
        <f t="shared" si="29"/>
        <v>14-03-2025 to 20-03-2025</v>
      </c>
    </row>
    <row r="635" spans="1:7">
      <c r="A635" s="1">
        <v>45730</v>
      </c>
      <c r="B635" s="6">
        <v>0.75486111111111109</v>
      </c>
      <c r="C635" t="s">
        <v>23</v>
      </c>
      <c r="D635" s="7">
        <f t="shared" si="27"/>
        <v>45730.754861111112</v>
      </c>
      <c r="E635" t="str">
        <f t="shared" si="28"/>
        <v>14-03-2025 to 20-03-2025</v>
      </c>
      <c r="F635" t="str">
        <f>IF(COUNTIF('Top5'!I:I, G635) &gt; 0, "Yes", "No")</f>
        <v>No</v>
      </c>
      <c r="G635" t="str">
        <f t="shared" si="29"/>
        <v>14-03-2025 to 20-03-2025</v>
      </c>
    </row>
    <row r="636" spans="1:7">
      <c r="A636" s="1">
        <v>45730</v>
      </c>
      <c r="B636" s="6">
        <v>0.93055555555555558</v>
      </c>
      <c r="C636" t="s">
        <v>23</v>
      </c>
      <c r="D636" s="7">
        <f t="shared" si="27"/>
        <v>45730.930555555555</v>
      </c>
      <c r="E636" t="str">
        <f t="shared" si="28"/>
        <v>14-03-2025 to 20-03-2025</v>
      </c>
      <c r="F636" t="str">
        <f>IF(COUNTIF('Top5'!I:I, G636) &gt; 0, "Yes", "No")</f>
        <v>No</v>
      </c>
      <c r="G636" t="str">
        <f t="shared" si="29"/>
        <v>14-03-2025 to 20-03-2025</v>
      </c>
    </row>
    <row r="637" spans="1:7">
      <c r="A637" s="1">
        <v>45730</v>
      </c>
      <c r="B637" s="6">
        <v>0.94652777777777775</v>
      </c>
      <c r="C637" t="s">
        <v>23</v>
      </c>
      <c r="D637" s="7">
        <f t="shared" si="27"/>
        <v>45730.946527777778</v>
      </c>
      <c r="E637" t="str">
        <f t="shared" si="28"/>
        <v>14-03-2025 to 20-03-2025</v>
      </c>
      <c r="F637" t="str">
        <f>IF(COUNTIF('Top5'!I:I, G637) &gt; 0, "Yes", "No")</f>
        <v>No</v>
      </c>
      <c r="G637" t="str">
        <f t="shared" si="29"/>
        <v>14-03-2025 to 20-03-2025</v>
      </c>
    </row>
    <row r="638" spans="1:7">
      <c r="A638" s="1">
        <v>45731</v>
      </c>
      <c r="B638" s="6">
        <v>0.42222222222222222</v>
      </c>
      <c r="C638" t="s">
        <v>22</v>
      </c>
      <c r="D638" s="7">
        <f t="shared" si="27"/>
        <v>45731.422222222223</v>
      </c>
      <c r="E638" t="str">
        <f t="shared" si="28"/>
        <v>15-03-2025 to 21-03-2025</v>
      </c>
      <c r="F638" t="str">
        <f>IF(COUNTIF('Top5'!I:I, G638) &gt; 0, "Yes", "No")</f>
        <v>Yes</v>
      </c>
      <c r="G638" t="str">
        <f t="shared" si="29"/>
        <v>15-03-2025 to 21-03-2025</v>
      </c>
    </row>
    <row r="639" spans="1:7">
      <c r="A639" s="1">
        <v>45731</v>
      </c>
      <c r="B639" s="6">
        <v>0.42430555555555555</v>
      </c>
      <c r="C639" t="s">
        <v>22</v>
      </c>
      <c r="D639" s="7">
        <f t="shared" si="27"/>
        <v>45731.424305555556</v>
      </c>
      <c r="E639" t="str">
        <f t="shared" si="28"/>
        <v>15-03-2025 to 21-03-2025</v>
      </c>
      <c r="F639" t="str">
        <f>IF(COUNTIF('Top5'!I:I, G639) &gt; 0, "Yes", "No")</f>
        <v>Yes</v>
      </c>
      <c r="G639" t="str">
        <f t="shared" si="29"/>
        <v>15-03-2025 to 21-03-2025</v>
      </c>
    </row>
    <row r="640" spans="1:7">
      <c r="A640" s="1">
        <v>45731</v>
      </c>
      <c r="B640" s="6">
        <v>0.42569444444444443</v>
      </c>
      <c r="C640" t="s">
        <v>22</v>
      </c>
      <c r="D640" s="7">
        <f t="shared" si="27"/>
        <v>45731.425694444442</v>
      </c>
      <c r="E640" t="str">
        <f t="shared" si="28"/>
        <v>15-03-2025 to 21-03-2025</v>
      </c>
      <c r="F640" t="str">
        <f>IF(COUNTIF('Top5'!I:I, G640) &gt; 0, "Yes", "No")</f>
        <v>Yes</v>
      </c>
      <c r="G640" t="str">
        <f t="shared" si="29"/>
        <v>15-03-2025 to 21-03-2025</v>
      </c>
    </row>
    <row r="641" spans="1:7">
      <c r="A641" s="1">
        <v>45731</v>
      </c>
      <c r="B641" s="6">
        <v>0.43055555555555558</v>
      </c>
      <c r="C641" t="s">
        <v>22</v>
      </c>
      <c r="D641" s="7">
        <f t="shared" si="27"/>
        <v>45731.430555555555</v>
      </c>
      <c r="E641" t="str">
        <f t="shared" si="28"/>
        <v>15-03-2025 to 21-03-2025</v>
      </c>
      <c r="F641" t="str">
        <f>IF(COUNTIF('Top5'!I:I, G641) &gt; 0, "Yes", "No")</f>
        <v>Yes</v>
      </c>
      <c r="G641" t="str">
        <f t="shared" si="29"/>
        <v>15-03-2025 to 21-03-2025</v>
      </c>
    </row>
    <row r="642" spans="1:7">
      <c r="A642" s="1">
        <v>45731</v>
      </c>
      <c r="B642" s="6">
        <v>0.43125000000000002</v>
      </c>
      <c r="C642" t="s">
        <v>22</v>
      </c>
      <c r="D642" s="7">
        <f t="shared" si="27"/>
        <v>45731.431250000001</v>
      </c>
      <c r="E642" t="str">
        <f t="shared" si="28"/>
        <v>15-03-2025 to 21-03-2025</v>
      </c>
      <c r="F642" t="str">
        <f>IF(COUNTIF('Top5'!I:I, G642) &gt; 0, "Yes", "No")</f>
        <v>Yes</v>
      </c>
      <c r="G642" t="str">
        <f t="shared" si="29"/>
        <v>15-03-2025 to 21-03-2025</v>
      </c>
    </row>
    <row r="643" spans="1:7">
      <c r="A643" s="1">
        <v>45731</v>
      </c>
      <c r="B643" s="6">
        <v>0.43263888888888891</v>
      </c>
      <c r="C643" t="s">
        <v>22</v>
      </c>
      <c r="D643" s="7">
        <f t="shared" ref="D643:D706" si="30">VALUE(A643) + VALUE(B643)</f>
        <v>45731.432638888888</v>
      </c>
      <c r="E643" t="str">
        <f t="shared" ref="E643:E706" si="31">TEXT(D643, "dd-mm-yyyy") &amp; " to " &amp; TEXT(D643+6, "dd-mm-yyyy")</f>
        <v>15-03-2025 to 21-03-2025</v>
      </c>
      <c r="F643" t="str">
        <f>IF(COUNTIF('Top5'!I:I, G643) &gt; 0, "Yes", "No")</f>
        <v>Yes</v>
      </c>
      <c r="G643" t="str">
        <f t="shared" ref="G643:G706" si="32">TRIM(E643)</f>
        <v>15-03-2025 to 21-03-2025</v>
      </c>
    </row>
    <row r="644" spans="1:7">
      <c r="A644" s="1">
        <v>45731</v>
      </c>
      <c r="B644" s="6">
        <v>0.49375000000000002</v>
      </c>
      <c r="C644" t="s">
        <v>22</v>
      </c>
      <c r="D644" s="7">
        <f t="shared" si="30"/>
        <v>45731.493750000001</v>
      </c>
      <c r="E644" t="str">
        <f t="shared" si="31"/>
        <v>15-03-2025 to 21-03-2025</v>
      </c>
      <c r="F644" t="str">
        <f>IF(COUNTIF('Top5'!I:I, G644) &gt; 0, "Yes", "No")</f>
        <v>Yes</v>
      </c>
      <c r="G644" t="str">
        <f t="shared" si="32"/>
        <v>15-03-2025 to 21-03-2025</v>
      </c>
    </row>
    <row r="645" spans="1:7">
      <c r="A645" s="1">
        <v>45732</v>
      </c>
      <c r="B645" s="6">
        <v>0.47569444444444442</v>
      </c>
      <c r="C645" t="s">
        <v>22</v>
      </c>
      <c r="D645" s="7">
        <f t="shared" si="30"/>
        <v>45732.475694444445</v>
      </c>
      <c r="E645" t="str">
        <f t="shared" si="31"/>
        <v>16-03-2025 to 22-03-2025</v>
      </c>
      <c r="F645" t="str">
        <f>IF(COUNTIF('Top5'!I:I, G645) &gt; 0, "Yes", "No")</f>
        <v>No</v>
      </c>
      <c r="G645" t="str">
        <f t="shared" si="32"/>
        <v>16-03-2025 to 22-03-2025</v>
      </c>
    </row>
    <row r="646" spans="1:7">
      <c r="A646" s="1">
        <v>45732</v>
      </c>
      <c r="B646" s="6">
        <v>0.47708333333333336</v>
      </c>
      <c r="C646" t="s">
        <v>22</v>
      </c>
      <c r="D646" s="7">
        <f t="shared" si="30"/>
        <v>45732.477083333331</v>
      </c>
      <c r="E646" t="str">
        <f t="shared" si="31"/>
        <v>16-03-2025 to 22-03-2025</v>
      </c>
      <c r="F646" t="str">
        <f>IF(COUNTIF('Top5'!I:I, G646) &gt; 0, "Yes", "No")</f>
        <v>No</v>
      </c>
      <c r="G646" t="str">
        <f t="shared" si="32"/>
        <v>16-03-2025 to 22-03-2025</v>
      </c>
    </row>
    <row r="647" spans="1:7">
      <c r="A647" s="1">
        <v>45732</v>
      </c>
      <c r="B647" s="6">
        <v>0.4909722222222222</v>
      </c>
      <c r="C647" t="s">
        <v>22</v>
      </c>
      <c r="D647" s="7">
        <f t="shared" si="30"/>
        <v>45732.490972222222</v>
      </c>
      <c r="E647" t="str">
        <f t="shared" si="31"/>
        <v>16-03-2025 to 22-03-2025</v>
      </c>
      <c r="F647" t="str">
        <f>IF(COUNTIF('Top5'!I:I, G647) &gt; 0, "Yes", "No")</f>
        <v>No</v>
      </c>
      <c r="G647" t="str">
        <f t="shared" si="32"/>
        <v>16-03-2025 to 22-03-2025</v>
      </c>
    </row>
    <row r="648" spans="1:7">
      <c r="A648" s="1">
        <v>45732</v>
      </c>
      <c r="B648" s="6">
        <v>0.49375000000000002</v>
      </c>
      <c r="C648" t="s">
        <v>22</v>
      </c>
      <c r="D648" s="7">
        <f t="shared" si="30"/>
        <v>45732.493750000001</v>
      </c>
      <c r="E648" t="str">
        <f t="shared" si="31"/>
        <v>16-03-2025 to 22-03-2025</v>
      </c>
      <c r="F648" t="str">
        <f>IF(COUNTIF('Top5'!I:I, G648) &gt; 0, "Yes", "No")</f>
        <v>No</v>
      </c>
      <c r="G648" t="str">
        <f t="shared" si="32"/>
        <v>16-03-2025 to 22-03-2025</v>
      </c>
    </row>
    <row r="649" spans="1:7">
      <c r="A649" s="1">
        <v>45732</v>
      </c>
      <c r="B649" s="6">
        <v>0.58819444444444446</v>
      </c>
      <c r="C649" t="s">
        <v>22</v>
      </c>
      <c r="D649" s="7">
        <f t="shared" si="30"/>
        <v>45732.588194444441</v>
      </c>
      <c r="E649" t="str">
        <f t="shared" si="31"/>
        <v>16-03-2025 to 22-03-2025</v>
      </c>
      <c r="F649" t="str">
        <f>IF(COUNTIF('Top5'!I:I, G649) &gt; 0, "Yes", "No")</f>
        <v>No</v>
      </c>
      <c r="G649" t="str">
        <f t="shared" si="32"/>
        <v>16-03-2025 to 22-03-2025</v>
      </c>
    </row>
    <row r="650" spans="1:7">
      <c r="A650" s="1">
        <v>45732</v>
      </c>
      <c r="B650" s="6">
        <v>0.95694444444444449</v>
      </c>
      <c r="C650" t="s">
        <v>23</v>
      </c>
      <c r="D650" s="7">
        <f t="shared" si="30"/>
        <v>45732.956944444442</v>
      </c>
      <c r="E650" t="str">
        <f t="shared" si="31"/>
        <v>16-03-2025 to 22-03-2025</v>
      </c>
      <c r="F650" t="str">
        <f>IF(COUNTIF('Top5'!I:I, G650) &gt; 0, "Yes", "No")</f>
        <v>No</v>
      </c>
      <c r="G650" t="str">
        <f t="shared" si="32"/>
        <v>16-03-2025 to 22-03-2025</v>
      </c>
    </row>
    <row r="651" spans="1:7">
      <c r="A651" s="1">
        <v>45732</v>
      </c>
      <c r="B651" s="6">
        <v>0.96111111111111114</v>
      </c>
      <c r="C651" t="s">
        <v>23</v>
      </c>
      <c r="D651" s="7">
        <f t="shared" si="30"/>
        <v>45732.961111111108</v>
      </c>
      <c r="E651" t="str">
        <f t="shared" si="31"/>
        <v>16-03-2025 to 22-03-2025</v>
      </c>
      <c r="F651" t="str">
        <f>IF(COUNTIF('Top5'!I:I, G651) &gt; 0, "Yes", "No")</f>
        <v>No</v>
      </c>
      <c r="G651" t="str">
        <f t="shared" si="32"/>
        <v>16-03-2025 to 22-03-2025</v>
      </c>
    </row>
    <row r="652" spans="1:7">
      <c r="A652" s="1">
        <v>45733</v>
      </c>
      <c r="B652" s="6">
        <v>0.44097222222222221</v>
      </c>
      <c r="C652" t="s">
        <v>22</v>
      </c>
      <c r="D652" s="7">
        <f t="shared" si="30"/>
        <v>45733.440972222219</v>
      </c>
      <c r="E652" t="str">
        <f t="shared" si="31"/>
        <v>17-03-2025 to 23-03-2025</v>
      </c>
      <c r="F652" t="str">
        <f>IF(COUNTIF('Top5'!I:I, G652) &gt; 0, "Yes", "No")</f>
        <v>No</v>
      </c>
      <c r="G652" t="str">
        <f t="shared" si="32"/>
        <v>17-03-2025 to 23-03-2025</v>
      </c>
    </row>
    <row r="653" spans="1:7">
      <c r="A653" s="1">
        <v>45733</v>
      </c>
      <c r="B653" s="6">
        <v>0.44236111111111109</v>
      </c>
      <c r="C653" t="s">
        <v>22</v>
      </c>
      <c r="D653" s="7">
        <f t="shared" si="30"/>
        <v>45733.442361111112</v>
      </c>
      <c r="E653" t="str">
        <f t="shared" si="31"/>
        <v>17-03-2025 to 23-03-2025</v>
      </c>
      <c r="F653" t="str">
        <f>IF(COUNTIF('Top5'!I:I, G653) &gt; 0, "Yes", "No")</f>
        <v>No</v>
      </c>
      <c r="G653" t="str">
        <f t="shared" si="32"/>
        <v>17-03-2025 to 23-03-2025</v>
      </c>
    </row>
    <row r="654" spans="1:7">
      <c r="A654" s="1">
        <v>45733</v>
      </c>
      <c r="B654" s="6">
        <v>0.51180555555555551</v>
      </c>
      <c r="C654" t="s">
        <v>22</v>
      </c>
      <c r="D654" s="7">
        <f t="shared" si="30"/>
        <v>45733.511805555558</v>
      </c>
      <c r="E654" t="str">
        <f t="shared" si="31"/>
        <v>17-03-2025 to 23-03-2025</v>
      </c>
      <c r="F654" t="str">
        <f>IF(COUNTIF('Top5'!I:I, G654) &gt; 0, "Yes", "No")</f>
        <v>No</v>
      </c>
      <c r="G654" t="str">
        <f t="shared" si="32"/>
        <v>17-03-2025 to 23-03-2025</v>
      </c>
    </row>
    <row r="655" spans="1:7">
      <c r="A655" s="1">
        <v>45733</v>
      </c>
      <c r="B655" s="6">
        <v>0.52152777777777781</v>
      </c>
      <c r="C655" t="s">
        <v>22</v>
      </c>
      <c r="D655" s="7">
        <f t="shared" si="30"/>
        <v>45733.521527777775</v>
      </c>
      <c r="E655" t="str">
        <f t="shared" si="31"/>
        <v>17-03-2025 to 23-03-2025</v>
      </c>
      <c r="F655" t="str">
        <f>IF(COUNTIF('Top5'!I:I, G655) &gt; 0, "Yes", "No")</f>
        <v>No</v>
      </c>
      <c r="G655" t="str">
        <f t="shared" si="32"/>
        <v>17-03-2025 to 23-03-2025</v>
      </c>
    </row>
    <row r="656" spans="1:7">
      <c r="A656" s="1">
        <v>45733</v>
      </c>
      <c r="B656" s="6">
        <v>0.59652777777777777</v>
      </c>
      <c r="C656" t="s">
        <v>22</v>
      </c>
      <c r="D656" s="7">
        <f t="shared" si="30"/>
        <v>45733.59652777778</v>
      </c>
      <c r="E656" t="str">
        <f t="shared" si="31"/>
        <v>17-03-2025 to 23-03-2025</v>
      </c>
      <c r="F656" t="str">
        <f>IF(COUNTIF('Top5'!I:I, G656) &gt; 0, "Yes", "No")</f>
        <v>No</v>
      </c>
      <c r="G656" t="str">
        <f t="shared" si="32"/>
        <v>17-03-2025 to 23-03-2025</v>
      </c>
    </row>
    <row r="657" spans="1:7">
      <c r="A657" s="1">
        <v>45733</v>
      </c>
      <c r="B657" s="6">
        <v>0.59791666666666665</v>
      </c>
      <c r="C657" t="s">
        <v>22</v>
      </c>
      <c r="D657" s="7">
        <f t="shared" si="30"/>
        <v>45733.597916666666</v>
      </c>
      <c r="E657" t="str">
        <f t="shared" si="31"/>
        <v>17-03-2025 to 23-03-2025</v>
      </c>
      <c r="F657" t="str">
        <f>IF(COUNTIF('Top5'!I:I, G657) &gt; 0, "Yes", "No")</f>
        <v>No</v>
      </c>
      <c r="G657" t="str">
        <f t="shared" si="32"/>
        <v>17-03-2025 to 23-03-2025</v>
      </c>
    </row>
    <row r="658" spans="1:7">
      <c r="A658" s="1">
        <v>45734</v>
      </c>
      <c r="B658" s="6">
        <v>0.42083333333333334</v>
      </c>
      <c r="C658" t="s">
        <v>22</v>
      </c>
      <c r="D658" s="7">
        <f t="shared" si="30"/>
        <v>45734.42083333333</v>
      </c>
      <c r="E658" t="str">
        <f t="shared" si="31"/>
        <v>18-03-2025 to 24-03-2025</v>
      </c>
      <c r="F658" t="str">
        <f>IF(COUNTIF('Top5'!I:I, G658) &gt; 0, "Yes", "No")</f>
        <v>No</v>
      </c>
      <c r="G658" t="str">
        <f t="shared" si="32"/>
        <v>18-03-2025 to 24-03-2025</v>
      </c>
    </row>
    <row r="659" spans="1:7">
      <c r="A659" s="1">
        <v>45734</v>
      </c>
      <c r="B659" s="6">
        <v>0.42777777777777776</v>
      </c>
      <c r="C659" t="s">
        <v>22</v>
      </c>
      <c r="D659" s="7">
        <f t="shared" si="30"/>
        <v>45734.427777777775</v>
      </c>
      <c r="E659" t="str">
        <f t="shared" si="31"/>
        <v>18-03-2025 to 24-03-2025</v>
      </c>
      <c r="F659" t="str">
        <f>IF(COUNTIF('Top5'!I:I, G659) &gt; 0, "Yes", "No")</f>
        <v>No</v>
      </c>
      <c r="G659" t="str">
        <f t="shared" si="32"/>
        <v>18-03-2025 to 24-03-2025</v>
      </c>
    </row>
    <row r="660" spans="1:7">
      <c r="A660" s="1">
        <v>45734</v>
      </c>
      <c r="B660" s="6">
        <v>0.42916666666666664</v>
      </c>
      <c r="C660" t="s">
        <v>22</v>
      </c>
      <c r="D660" s="7">
        <f t="shared" si="30"/>
        <v>45734.429166666669</v>
      </c>
      <c r="E660" t="str">
        <f t="shared" si="31"/>
        <v>18-03-2025 to 24-03-2025</v>
      </c>
      <c r="F660" t="str">
        <f>IF(COUNTIF('Top5'!I:I, G660) &gt; 0, "Yes", "No")</f>
        <v>No</v>
      </c>
      <c r="G660" t="str">
        <f t="shared" si="32"/>
        <v>18-03-2025 to 24-03-2025</v>
      </c>
    </row>
    <row r="661" spans="1:7">
      <c r="A661" s="1">
        <v>45734</v>
      </c>
      <c r="B661" s="6">
        <v>0.43055555555555558</v>
      </c>
      <c r="C661" t="s">
        <v>22</v>
      </c>
      <c r="D661" s="7">
        <f t="shared" si="30"/>
        <v>45734.430555555555</v>
      </c>
      <c r="E661" t="str">
        <f t="shared" si="31"/>
        <v>18-03-2025 to 24-03-2025</v>
      </c>
      <c r="F661" t="str">
        <f>IF(COUNTIF('Top5'!I:I, G661) &gt; 0, "Yes", "No")</f>
        <v>No</v>
      </c>
      <c r="G661" t="str">
        <f t="shared" si="32"/>
        <v>18-03-2025 to 24-03-2025</v>
      </c>
    </row>
    <row r="662" spans="1:7">
      <c r="A662" s="1">
        <v>45734</v>
      </c>
      <c r="B662" s="6">
        <v>0.6166666666666667</v>
      </c>
      <c r="C662" t="s">
        <v>22</v>
      </c>
      <c r="D662" s="7">
        <f t="shared" si="30"/>
        <v>45734.616666666669</v>
      </c>
      <c r="E662" t="str">
        <f t="shared" si="31"/>
        <v>18-03-2025 to 24-03-2025</v>
      </c>
      <c r="F662" t="str">
        <f>IF(COUNTIF('Top5'!I:I, G662) &gt; 0, "Yes", "No")</f>
        <v>No</v>
      </c>
      <c r="G662" t="str">
        <f t="shared" si="32"/>
        <v>18-03-2025 to 24-03-2025</v>
      </c>
    </row>
    <row r="663" spans="1:7">
      <c r="A663" s="1">
        <v>45734</v>
      </c>
      <c r="B663" s="6">
        <v>0.76111111111111107</v>
      </c>
      <c r="C663" t="s">
        <v>23</v>
      </c>
      <c r="D663" s="7">
        <f t="shared" si="30"/>
        <v>45734.761111111111</v>
      </c>
      <c r="E663" t="str">
        <f t="shared" si="31"/>
        <v>18-03-2025 to 24-03-2025</v>
      </c>
      <c r="F663" t="str">
        <f>IF(COUNTIF('Top5'!I:I, G663) &gt; 0, "Yes", "No")</f>
        <v>No</v>
      </c>
      <c r="G663" t="str">
        <f t="shared" si="32"/>
        <v>18-03-2025 to 24-03-2025</v>
      </c>
    </row>
    <row r="664" spans="1:7">
      <c r="A664" s="1">
        <v>45734</v>
      </c>
      <c r="B664" s="6">
        <v>0.76180555555555551</v>
      </c>
      <c r="C664" t="s">
        <v>23</v>
      </c>
      <c r="D664" s="7">
        <f t="shared" si="30"/>
        <v>45734.761805555558</v>
      </c>
      <c r="E664" t="str">
        <f t="shared" si="31"/>
        <v>18-03-2025 to 24-03-2025</v>
      </c>
      <c r="F664" t="str">
        <f>IF(COUNTIF('Top5'!I:I, G664) &gt; 0, "Yes", "No")</f>
        <v>No</v>
      </c>
      <c r="G664" t="str">
        <f t="shared" si="32"/>
        <v>18-03-2025 to 24-03-2025</v>
      </c>
    </row>
    <row r="665" spans="1:7">
      <c r="A665" s="1">
        <v>45734</v>
      </c>
      <c r="B665" s="6">
        <v>0.86527777777777781</v>
      </c>
      <c r="C665" t="s">
        <v>23</v>
      </c>
      <c r="D665" s="7">
        <f t="shared" si="30"/>
        <v>45734.865277777775</v>
      </c>
      <c r="E665" t="str">
        <f t="shared" si="31"/>
        <v>18-03-2025 to 24-03-2025</v>
      </c>
      <c r="F665" t="str">
        <f>IF(COUNTIF('Top5'!I:I, G665) &gt; 0, "Yes", "No")</f>
        <v>No</v>
      </c>
      <c r="G665" t="str">
        <f t="shared" si="32"/>
        <v>18-03-2025 to 24-03-2025</v>
      </c>
    </row>
    <row r="666" spans="1:7">
      <c r="A666" s="1">
        <v>45734</v>
      </c>
      <c r="B666" s="6">
        <v>0.875</v>
      </c>
      <c r="C666" t="s">
        <v>23</v>
      </c>
      <c r="D666" s="7">
        <f t="shared" si="30"/>
        <v>45734.875</v>
      </c>
      <c r="E666" t="str">
        <f t="shared" si="31"/>
        <v>18-03-2025 to 24-03-2025</v>
      </c>
      <c r="F666" t="str">
        <f>IF(COUNTIF('Top5'!I:I, G666) &gt; 0, "Yes", "No")</f>
        <v>No</v>
      </c>
      <c r="G666" t="str">
        <f t="shared" si="32"/>
        <v>18-03-2025 to 24-03-2025</v>
      </c>
    </row>
    <row r="667" spans="1:7">
      <c r="A667" s="1">
        <v>45734</v>
      </c>
      <c r="B667" s="6">
        <v>0.87569444444444444</v>
      </c>
      <c r="C667" t="s">
        <v>23</v>
      </c>
      <c r="D667" s="7">
        <f t="shared" si="30"/>
        <v>45734.875694444447</v>
      </c>
      <c r="E667" t="str">
        <f t="shared" si="31"/>
        <v>18-03-2025 to 24-03-2025</v>
      </c>
      <c r="F667" t="str">
        <f>IF(COUNTIF('Top5'!I:I, G667) &gt; 0, "Yes", "No")</f>
        <v>No</v>
      </c>
      <c r="G667" t="str">
        <f t="shared" si="32"/>
        <v>18-03-2025 to 24-03-2025</v>
      </c>
    </row>
    <row r="668" spans="1:7">
      <c r="A668" s="1">
        <v>45734</v>
      </c>
      <c r="B668" s="6">
        <v>0.87638888888888888</v>
      </c>
      <c r="C668" t="s">
        <v>23</v>
      </c>
      <c r="D668" s="7">
        <f t="shared" si="30"/>
        <v>45734.876388888886</v>
      </c>
      <c r="E668" t="str">
        <f t="shared" si="31"/>
        <v>18-03-2025 to 24-03-2025</v>
      </c>
      <c r="F668" t="str">
        <f>IF(COUNTIF('Top5'!I:I, G668) &gt; 0, "Yes", "No")</f>
        <v>No</v>
      </c>
      <c r="G668" t="str">
        <f t="shared" si="32"/>
        <v>18-03-2025 to 24-03-2025</v>
      </c>
    </row>
    <row r="669" spans="1:7">
      <c r="A669" s="1">
        <v>45734</v>
      </c>
      <c r="B669" s="6">
        <v>0.89861111111111114</v>
      </c>
      <c r="C669" t="s">
        <v>23</v>
      </c>
      <c r="D669" s="7">
        <f t="shared" si="30"/>
        <v>45734.898611111108</v>
      </c>
      <c r="E669" t="str">
        <f t="shared" si="31"/>
        <v>18-03-2025 to 24-03-2025</v>
      </c>
      <c r="F669" t="str">
        <f>IF(COUNTIF('Top5'!I:I, G669) &gt; 0, "Yes", "No")</f>
        <v>No</v>
      </c>
      <c r="G669" t="str">
        <f t="shared" si="32"/>
        <v>18-03-2025 to 24-03-2025</v>
      </c>
    </row>
    <row r="670" spans="1:7">
      <c r="A670" s="1">
        <v>45734</v>
      </c>
      <c r="B670" s="6">
        <v>0.89930555555555558</v>
      </c>
      <c r="C670" t="s">
        <v>23</v>
      </c>
      <c r="D670" s="7">
        <f t="shared" si="30"/>
        <v>45734.899305555555</v>
      </c>
      <c r="E670" t="str">
        <f t="shared" si="31"/>
        <v>18-03-2025 to 24-03-2025</v>
      </c>
      <c r="F670" t="str">
        <f>IF(COUNTIF('Top5'!I:I, G670) &gt; 0, "Yes", "No")</f>
        <v>No</v>
      </c>
      <c r="G670" t="str">
        <f t="shared" si="32"/>
        <v>18-03-2025 to 24-03-2025</v>
      </c>
    </row>
    <row r="671" spans="1:7">
      <c r="A671" s="1">
        <v>45734</v>
      </c>
      <c r="B671" s="6">
        <v>0.91527777777777775</v>
      </c>
      <c r="C671" t="s">
        <v>23</v>
      </c>
      <c r="D671" s="7">
        <f t="shared" si="30"/>
        <v>45734.915277777778</v>
      </c>
      <c r="E671" t="str">
        <f t="shared" si="31"/>
        <v>18-03-2025 to 24-03-2025</v>
      </c>
      <c r="F671" t="str">
        <f>IF(COUNTIF('Top5'!I:I, G671) &gt; 0, "Yes", "No")</f>
        <v>No</v>
      </c>
      <c r="G671" t="str">
        <f t="shared" si="32"/>
        <v>18-03-2025 to 24-03-2025</v>
      </c>
    </row>
    <row r="672" spans="1:7">
      <c r="A672" s="1">
        <v>45734</v>
      </c>
      <c r="B672" s="6">
        <v>0.91527777777777775</v>
      </c>
      <c r="C672" t="s">
        <v>23</v>
      </c>
      <c r="D672" s="7">
        <f t="shared" si="30"/>
        <v>45734.915277777778</v>
      </c>
      <c r="E672" t="str">
        <f t="shared" si="31"/>
        <v>18-03-2025 to 24-03-2025</v>
      </c>
      <c r="F672" t="str">
        <f>IF(COUNTIF('Top5'!I:I, G672) &gt; 0, "Yes", "No")</f>
        <v>No</v>
      </c>
      <c r="G672" t="str">
        <f t="shared" si="32"/>
        <v>18-03-2025 to 24-03-2025</v>
      </c>
    </row>
    <row r="673" spans="1:7">
      <c r="A673" s="1">
        <v>45735</v>
      </c>
      <c r="B673" s="6">
        <v>2.7777777777777779E-3</v>
      </c>
      <c r="C673" t="s">
        <v>23</v>
      </c>
      <c r="D673" s="7">
        <f t="shared" si="30"/>
        <v>45735.00277777778</v>
      </c>
      <c r="E673" t="str">
        <f t="shared" si="31"/>
        <v>19-03-2025 to 25-03-2025</v>
      </c>
      <c r="F673" t="str">
        <f>IF(COUNTIF('Top5'!I:I, G673) &gt; 0, "Yes", "No")</f>
        <v>No</v>
      </c>
      <c r="G673" t="str">
        <f t="shared" si="32"/>
        <v>19-03-2025 to 25-03-2025</v>
      </c>
    </row>
    <row r="674" spans="1:7">
      <c r="A674" s="1">
        <v>45735</v>
      </c>
      <c r="B674" s="6">
        <v>2.7777777777777779E-3</v>
      </c>
      <c r="C674" t="s">
        <v>23</v>
      </c>
      <c r="D674" s="7">
        <f t="shared" si="30"/>
        <v>45735.00277777778</v>
      </c>
      <c r="E674" t="str">
        <f t="shared" si="31"/>
        <v>19-03-2025 to 25-03-2025</v>
      </c>
      <c r="F674" t="str">
        <f>IF(COUNTIF('Top5'!I:I, G674) &gt; 0, "Yes", "No")</f>
        <v>No</v>
      </c>
      <c r="G674" t="str">
        <f t="shared" si="32"/>
        <v>19-03-2025 to 25-03-2025</v>
      </c>
    </row>
    <row r="675" spans="1:7">
      <c r="A675" s="1">
        <v>45735</v>
      </c>
      <c r="B675" s="6">
        <v>9.0277777777777769E-3</v>
      </c>
      <c r="C675" t="s">
        <v>23</v>
      </c>
      <c r="D675" s="7">
        <f t="shared" si="30"/>
        <v>45735.009027777778</v>
      </c>
      <c r="E675" t="str">
        <f t="shared" si="31"/>
        <v>19-03-2025 to 25-03-2025</v>
      </c>
      <c r="F675" t="str">
        <f>IF(COUNTIF('Top5'!I:I, G675) &gt; 0, "Yes", "No")</f>
        <v>No</v>
      </c>
      <c r="G675" t="str">
        <f t="shared" si="32"/>
        <v>19-03-2025 to 25-03-2025</v>
      </c>
    </row>
    <row r="676" spans="1:7">
      <c r="A676" s="1">
        <v>45735</v>
      </c>
      <c r="B676" s="6">
        <v>9.7222222222222224E-3</v>
      </c>
      <c r="C676" t="s">
        <v>23</v>
      </c>
      <c r="D676" s="7">
        <f t="shared" si="30"/>
        <v>45735.009722222225</v>
      </c>
      <c r="E676" t="str">
        <f t="shared" si="31"/>
        <v>19-03-2025 to 25-03-2025</v>
      </c>
      <c r="F676" t="str">
        <f>IF(COUNTIF('Top5'!I:I, G676) &gt; 0, "Yes", "No")</f>
        <v>No</v>
      </c>
      <c r="G676" t="str">
        <f t="shared" si="32"/>
        <v>19-03-2025 to 25-03-2025</v>
      </c>
    </row>
    <row r="677" spans="1:7">
      <c r="A677" s="1">
        <v>45735</v>
      </c>
      <c r="B677" s="6">
        <v>1.1111111111111112E-2</v>
      </c>
      <c r="C677" t="s">
        <v>23</v>
      </c>
      <c r="D677" s="7">
        <f t="shared" si="30"/>
        <v>45735.011111111111</v>
      </c>
      <c r="E677" t="str">
        <f t="shared" si="31"/>
        <v>19-03-2025 to 25-03-2025</v>
      </c>
      <c r="F677" t="str">
        <f>IF(COUNTIF('Top5'!I:I, G677) &gt; 0, "Yes", "No")</f>
        <v>No</v>
      </c>
      <c r="G677" t="str">
        <f t="shared" si="32"/>
        <v>19-03-2025 to 25-03-2025</v>
      </c>
    </row>
    <row r="678" spans="1:7">
      <c r="A678" s="1">
        <v>45735</v>
      </c>
      <c r="B678" s="6">
        <v>0.42986111111111114</v>
      </c>
      <c r="C678" t="s">
        <v>22</v>
      </c>
      <c r="D678" s="7">
        <f t="shared" si="30"/>
        <v>45735.429861111108</v>
      </c>
      <c r="E678" t="str">
        <f t="shared" si="31"/>
        <v>19-03-2025 to 25-03-2025</v>
      </c>
      <c r="F678" t="str">
        <f>IF(COUNTIF('Top5'!I:I, G678) &gt; 0, "Yes", "No")</f>
        <v>No</v>
      </c>
      <c r="G678" t="str">
        <f t="shared" si="32"/>
        <v>19-03-2025 to 25-03-2025</v>
      </c>
    </row>
    <row r="679" spans="1:7">
      <c r="A679" s="1">
        <v>45735</v>
      </c>
      <c r="B679" s="6">
        <v>0.44513888888888886</v>
      </c>
      <c r="C679" t="s">
        <v>22</v>
      </c>
      <c r="D679" s="7">
        <f t="shared" si="30"/>
        <v>45735.445138888892</v>
      </c>
      <c r="E679" t="str">
        <f t="shared" si="31"/>
        <v>19-03-2025 to 25-03-2025</v>
      </c>
      <c r="F679" t="str">
        <f>IF(COUNTIF('Top5'!I:I, G679) &gt; 0, "Yes", "No")</f>
        <v>No</v>
      </c>
      <c r="G679" t="str">
        <f t="shared" si="32"/>
        <v>19-03-2025 to 25-03-2025</v>
      </c>
    </row>
    <row r="680" spans="1:7">
      <c r="A680" s="1">
        <v>45735</v>
      </c>
      <c r="B680" s="6">
        <v>0.46527777777777779</v>
      </c>
      <c r="C680" t="s">
        <v>22</v>
      </c>
      <c r="D680" s="7">
        <f t="shared" si="30"/>
        <v>45735.465277777781</v>
      </c>
      <c r="E680" t="str">
        <f t="shared" si="31"/>
        <v>19-03-2025 to 25-03-2025</v>
      </c>
      <c r="F680" t="str">
        <f>IF(COUNTIF('Top5'!I:I, G680) &gt; 0, "Yes", "No")</f>
        <v>No</v>
      </c>
      <c r="G680" t="str">
        <f t="shared" si="32"/>
        <v>19-03-2025 to 25-03-2025</v>
      </c>
    </row>
    <row r="681" spans="1:7">
      <c r="A681" s="1">
        <v>45735</v>
      </c>
      <c r="B681" s="6">
        <v>0.47083333333333333</v>
      </c>
      <c r="C681" t="s">
        <v>22</v>
      </c>
      <c r="D681" s="7">
        <f t="shared" si="30"/>
        <v>45735.470833333333</v>
      </c>
      <c r="E681" t="str">
        <f t="shared" si="31"/>
        <v>19-03-2025 to 25-03-2025</v>
      </c>
      <c r="F681" t="str">
        <f>IF(COUNTIF('Top5'!I:I, G681) &gt; 0, "Yes", "No")</f>
        <v>No</v>
      </c>
      <c r="G681" t="str">
        <f t="shared" si="32"/>
        <v>19-03-2025 to 25-03-2025</v>
      </c>
    </row>
    <row r="682" spans="1:7">
      <c r="A682" s="1">
        <v>45735</v>
      </c>
      <c r="B682" s="6">
        <v>0.50347222222222221</v>
      </c>
      <c r="C682" t="s">
        <v>22</v>
      </c>
      <c r="D682" s="7">
        <f t="shared" si="30"/>
        <v>45735.503472222219</v>
      </c>
      <c r="E682" t="str">
        <f t="shared" si="31"/>
        <v>19-03-2025 to 25-03-2025</v>
      </c>
      <c r="F682" t="str">
        <f>IF(COUNTIF('Top5'!I:I, G682) &gt; 0, "Yes", "No")</f>
        <v>No</v>
      </c>
      <c r="G682" t="str">
        <f t="shared" si="32"/>
        <v>19-03-2025 to 25-03-2025</v>
      </c>
    </row>
    <row r="683" spans="1:7">
      <c r="A683" s="1">
        <v>45735</v>
      </c>
      <c r="B683" s="6">
        <v>0.57013888888888886</v>
      </c>
      <c r="C683" t="s">
        <v>22</v>
      </c>
      <c r="D683" s="7">
        <f t="shared" si="30"/>
        <v>45735.570138888892</v>
      </c>
      <c r="E683" t="str">
        <f t="shared" si="31"/>
        <v>19-03-2025 to 25-03-2025</v>
      </c>
      <c r="F683" t="str">
        <f>IF(COUNTIF('Top5'!I:I, G683) &gt; 0, "Yes", "No")</f>
        <v>No</v>
      </c>
      <c r="G683" t="str">
        <f t="shared" si="32"/>
        <v>19-03-2025 to 25-03-2025</v>
      </c>
    </row>
    <row r="684" spans="1:7">
      <c r="A684" s="1">
        <v>45735</v>
      </c>
      <c r="B684" s="6">
        <v>0.58958333333333335</v>
      </c>
      <c r="C684" t="s">
        <v>22</v>
      </c>
      <c r="D684" s="7">
        <f t="shared" si="30"/>
        <v>45735.589583333334</v>
      </c>
      <c r="E684" t="str">
        <f t="shared" si="31"/>
        <v>19-03-2025 to 25-03-2025</v>
      </c>
      <c r="F684" t="str">
        <f>IF(COUNTIF('Top5'!I:I, G684) &gt; 0, "Yes", "No")</f>
        <v>No</v>
      </c>
      <c r="G684" t="str">
        <f t="shared" si="32"/>
        <v>19-03-2025 to 25-03-2025</v>
      </c>
    </row>
    <row r="685" spans="1:7">
      <c r="A685" s="1">
        <v>45736</v>
      </c>
      <c r="B685" s="6">
        <v>6.2500000000000003E-3</v>
      </c>
      <c r="C685" t="s">
        <v>23</v>
      </c>
      <c r="D685" s="7">
        <f t="shared" si="30"/>
        <v>45736.006249999999</v>
      </c>
      <c r="E685" t="str">
        <f t="shared" si="31"/>
        <v>20-03-2025 to 26-03-2025</v>
      </c>
      <c r="F685" t="str">
        <f>IF(COUNTIF('Top5'!I:I, G685) &gt; 0, "Yes", "No")</f>
        <v>No</v>
      </c>
      <c r="G685" t="str">
        <f t="shared" si="32"/>
        <v>20-03-2025 to 26-03-2025</v>
      </c>
    </row>
    <row r="686" spans="1:7">
      <c r="A686" s="1">
        <v>45736</v>
      </c>
      <c r="B686" s="6">
        <v>0.39652777777777776</v>
      </c>
      <c r="C686" t="s">
        <v>22</v>
      </c>
      <c r="D686" s="7">
        <f t="shared" si="30"/>
        <v>45736.396527777775</v>
      </c>
      <c r="E686" t="str">
        <f t="shared" si="31"/>
        <v>20-03-2025 to 26-03-2025</v>
      </c>
      <c r="F686" t="str">
        <f>IF(COUNTIF('Top5'!I:I, G686) &gt; 0, "Yes", "No")</f>
        <v>No</v>
      </c>
      <c r="G686" t="str">
        <f t="shared" si="32"/>
        <v>20-03-2025 to 26-03-2025</v>
      </c>
    </row>
    <row r="687" spans="1:7">
      <c r="A687" s="1">
        <v>45736</v>
      </c>
      <c r="B687" s="6">
        <v>0.41944444444444445</v>
      </c>
      <c r="C687" t="s">
        <v>22</v>
      </c>
      <c r="D687" s="7">
        <f t="shared" si="30"/>
        <v>45736.419444444444</v>
      </c>
      <c r="E687" t="str">
        <f t="shared" si="31"/>
        <v>20-03-2025 to 26-03-2025</v>
      </c>
      <c r="F687" t="str">
        <f>IF(COUNTIF('Top5'!I:I, G687) &gt; 0, "Yes", "No")</f>
        <v>No</v>
      </c>
      <c r="G687" t="str">
        <f t="shared" si="32"/>
        <v>20-03-2025 to 26-03-2025</v>
      </c>
    </row>
    <row r="688" spans="1:7">
      <c r="A688" s="1">
        <v>45736</v>
      </c>
      <c r="B688" s="6">
        <v>0.42083333333333334</v>
      </c>
      <c r="C688" t="s">
        <v>22</v>
      </c>
      <c r="D688" s="7">
        <f t="shared" si="30"/>
        <v>45736.42083333333</v>
      </c>
      <c r="E688" t="str">
        <f t="shared" si="31"/>
        <v>20-03-2025 to 26-03-2025</v>
      </c>
      <c r="F688" t="str">
        <f>IF(COUNTIF('Top5'!I:I, G688) &gt; 0, "Yes", "No")</f>
        <v>No</v>
      </c>
      <c r="G688" t="str">
        <f t="shared" si="32"/>
        <v>20-03-2025 to 26-03-2025</v>
      </c>
    </row>
    <row r="689" spans="1:7">
      <c r="A689" s="1">
        <v>45736</v>
      </c>
      <c r="B689" s="6">
        <v>0.42430555555555555</v>
      </c>
      <c r="C689" t="s">
        <v>22</v>
      </c>
      <c r="D689" s="7">
        <f t="shared" si="30"/>
        <v>45736.424305555556</v>
      </c>
      <c r="E689" t="str">
        <f t="shared" si="31"/>
        <v>20-03-2025 to 26-03-2025</v>
      </c>
      <c r="F689" t="str">
        <f>IF(COUNTIF('Top5'!I:I, G689) &gt; 0, "Yes", "No")</f>
        <v>No</v>
      </c>
      <c r="G689" t="str">
        <f t="shared" si="32"/>
        <v>20-03-2025 to 26-03-2025</v>
      </c>
    </row>
    <row r="690" spans="1:7">
      <c r="A690" s="1">
        <v>45736</v>
      </c>
      <c r="B690" s="6">
        <v>0.42499999999999999</v>
      </c>
      <c r="C690" t="s">
        <v>22</v>
      </c>
      <c r="D690" s="7">
        <f t="shared" si="30"/>
        <v>45736.425000000003</v>
      </c>
      <c r="E690" t="str">
        <f t="shared" si="31"/>
        <v>20-03-2025 to 26-03-2025</v>
      </c>
      <c r="F690" t="str">
        <f>IF(COUNTIF('Top5'!I:I, G690) &gt; 0, "Yes", "No")</f>
        <v>No</v>
      </c>
      <c r="G690" t="str">
        <f t="shared" si="32"/>
        <v>20-03-2025 to 26-03-2025</v>
      </c>
    </row>
    <row r="691" spans="1:7">
      <c r="A691" s="1">
        <v>45736</v>
      </c>
      <c r="B691" s="6">
        <v>0.42916666666666664</v>
      </c>
      <c r="C691" t="s">
        <v>22</v>
      </c>
      <c r="D691" s="7">
        <f t="shared" si="30"/>
        <v>45736.429166666669</v>
      </c>
      <c r="E691" t="str">
        <f t="shared" si="31"/>
        <v>20-03-2025 to 26-03-2025</v>
      </c>
      <c r="F691" t="str">
        <f>IF(COUNTIF('Top5'!I:I, G691) &gt; 0, "Yes", "No")</f>
        <v>No</v>
      </c>
      <c r="G691" t="str">
        <f t="shared" si="32"/>
        <v>20-03-2025 to 26-03-2025</v>
      </c>
    </row>
    <row r="692" spans="1:7">
      <c r="A692" s="1">
        <v>45736</v>
      </c>
      <c r="B692" s="6">
        <v>0.46458333333333335</v>
      </c>
      <c r="C692" t="s">
        <v>22</v>
      </c>
      <c r="D692" s="7">
        <f t="shared" si="30"/>
        <v>45736.464583333334</v>
      </c>
      <c r="E692" t="str">
        <f t="shared" si="31"/>
        <v>20-03-2025 to 26-03-2025</v>
      </c>
      <c r="F692" t="str">
        <f>IF(COUNTIF('Top5'!I:I, G692) &gt; 0, "Yes", "No")</f>
        <v>No</v>
      </c>
      <c r="G692" t="str">
        <f t="shared" si="32"/>
        <v>20-03-2025 to 26-03-2025</v>
      </c>
    </row>
    <row r="693" spans="1:7">
      <c r="A693" s="1">
        <v>45736</v>
      </c>
      <c r="B693" s="6">
        <v>0.57222222222222219</v>
      </c>
      <c r="C693" t="s">
        <v>22</v>
      </c>
      <c r="D693" s="7">
        <f t="shared" si="30"/>
        <v>45736.572222222225</v>
      </c>
      <c r="E693" t="str">
        <f t="shared" si="31"/>
        <v>20-03-2025 to 26-03-2025</v>
      </c>
      <c r="F693" t="str">
        <f>IF(COUNTIF('Top5'!I:I, G693) &gt; 0, "Yes", "No")</f>
        <v>No</v>
      </c>
      <c r="G693" t="str">
        <f t="shared" si="32"/>
        <v>20-03-2025 to 26-03-2025</v>
      </c>
    </row>
    <row r="694" spans="1:7">
      <c r="A694" s="1">
        <v>45736</v>
      </c>
      <c r="B694" s="6">
        <v>0.7270833333333333</v>
      </c>
      <c r="C694" t="s">
        <v>23</v>
      </c>
      <c r="D694" s="7">
        <f t="shared" si="30"/>
        <v>45736.727083333331</v>
      </c>
      <c r="E694" t="str">
        <f t="shared" si="31"/>
        <v>20-03-2025 to 26-03-2025</v>
      </c>
      <c r="F694" t="str">
        <f>IF(COUNTIF('Top5'!I:I, G694) &gt; 0, "Yes", "No")</f>
        <v>No</v>
      </c>
      <c r="G694" t="str">
        <f t="shared" si="32"/>
        <v>20-03-2025 to 26-03-2025</v>
      </c>
    </row>
    <row r="695" spans="1:7">
      <c r="A695" s="1">
        <v>45736</v>
      </c>
      <c r="B695" s="6">
        <v>0.7319444444444444</v>
      </c>
      <c r="C695" t="s">
        <v>23</v>
      </c>
      <c r="D695" s="7">
        <f t="shared" si="30"/>
        <v>45736.731944444444</v>
      </c>
      <c r="E695" t="str">
        <f t="shared" si="31"/>
        <v>20-03-2025 to 26-03-2025</v>
      </c>
      <c r="F695" t="str">
        <f>IF(COUNTIF('Top5'!I:I, G695) &gt; 0, "Yes", "No")</f>
        <v>No</v>
      </c>
      <c r="G695" t="str">
        <f t="shared" si="32"/>
        <v>20-03-2025 to 26-03-2025</v>
      </c>
    </row>
    <row r="696" spans="1:7">
      <c r="A696" s="1">
        <v>45736</v>
      </c>
      <c r="B696" s="6">
        <v>0.8833333333333333</v>
      </c>
      <c r="C696" t="s">
        <v>23</v>
      </c>
      <c r="D696" s="7">
        <f t="shared" si="30"/>
        <v>45736.883333333331</v>
      </c>
      <c r="E696" t="str">
        <f t="shared" si="31"/>
        <v>20-03-2025 to 26-03-2025</v>
      </c>
      <c r="F696" t="str">
        <f>IF(COUNTIF('Top5'!I:I, G696) &gt; 0, "Yes", "No")</f>
        <v>No</v>
      </c>
      <c r="G696" t="str">
        <f t="shared" si="32"/>
        <v>20-03-2025 to 26-03-2025</v>
      </c>
    </row>
    <row r="697" spans="1:7">
      <c r="A697" s="1">
        <v>45736</v>
      </c>
      <c r="B697" s="6">
        <v>0.88402777777777775</v>
      </c>
      <c r="C697" t="s">
        <v>23</v>
      </c>
      <c r="D697" s="7">
        <f t="shared" si="30"/>
        <v>45736.884027777778</v>
      </c>
      <c r="E697" t="str">
        <f t="shared" si="31"/>
        <v>20-03-2025 to 26-03-2025</v>
      </c>
      <c r="F697" t="str">
        <f>IF(COUNTIF('Top5'!I:I, G697) &gt; 0, "Yes", "No")</f>
        <v>No</v>
      </c>
      <c r="G697" t="str">
        <f t="shared" si="32"/>
        <v>20-03-2025 to 26-03-2025</v>
      </c>
    </row>
    <row r="698" spans="1:7">
      <c r="A698" s="1">
        <v>45736</v>
      </c>
      <c r="B698" s="6">
        <v>0.88541666666666663</v>
      </c>
      <c r="C698" t="s">
        <v>23</v>
      </c>
      <c r="D698" s="7">
        <f t="shared" si="30"/>
        <v>45736.885416666664</v>
      </c>
      <c r="E698" t="str">
        <f t="shared" si="31"/>
        <v>20-03-2025 to 26-03-2025</v>
      </c>
      <c r="F698" t="str">
        <f>IF(COUNTIF('Top5'!I:I, G698) &gt; 0, "Yes", "No")</f>
        <v>No</v>
      </c>
      <c r="G698" t="str">
        <f t="shared" si="32"/>
        <v>20-03-2025 to 26-03-2025</v>
      </c>
    </row>
    <row r="699" spans="1:7">
      <c r="A699" s="1">
        <v>45736</v>
      </c>
      <c r="B699" s="6">
        <v>0.88680555555555551</v>
      </c>
      <c r="C699" t="s">
        <v>23</v>
      </c>
      <c r="D699" s="7">
        <f t="shared" si="30"/>
        <v>45736.886805555558</v>
      </c>
      <c r="E699" t="str">
        <f t="shared" si="31"/>
        <v>20-03-2025 to 26-03-2025</v>
      </c>
      <c r="F699" t="str">
        <f>IF(COUNTIF('Top5'!I:I, G699) &gt; 0, "Yes", "No")</f>
        <v>No</v>
      </c>
      <c r="G699" t="str">
        <f t="shared" si="32"/>
        <v>20-03-2025 to 26-03-2025</v>
      </c>
    </row>
    <row r="700" spans="1:7">
      <c r="A700" s="1">
        <v>45736</v>
      </c>
      <c r="B700" s="6">
        <v>0.8930555555555556</v>
      </c>
      <c r="C700" t="s">
        <v>23</v>
      </c>
      <c r="D700" s="7">
        <f t="shared" si="30"/>
        <v>45736.893055555556</v>
      </c>
      <c r="E700" t="str">
        <f t="shared" si="31"/>
        <v>20-03-2025 to 26-03-2025</v>
      </c>
      <c r="F700" t="str">
        <f>IF(COUNTIF('Top5'!I:I, G700) &gt; 0, "Yes", "No")</f>
        <v>No</v>
      </c>
      <c r="G700" t="str">
        <f t="shared" si="32"/>
        <v>20-03-2025 to 26-03-2025</v>
      </c>
    </row>
    <row r="701" spans="1:7">
      <c r="A701" s="1">
        <v>45736</v>
      </c>
      <c r="B701" s="6">
        <v>0.91249999999999998</v>
      </c>
      <c r="C701" t="s">
        <v>23</v>
      </c>
      <c r="D701" s="7">
        <f t="shared" si="30"/>
        <v>45736.912499999999</v>
      </c>
      <c r="E701" t="str">
        <f t="shared" si="31"/>
        <v>20-03-2025 to 26-03-2025</v>
      </c>
      <c r="F701" t="str">
        <f>IF(COUNTIF('Top5'!I:I, G701) &gt; 0, "Yes", "No")</f>
        <v>No</v>
      </c>
      <c r="G701" t="str">
        <f t="shared" si="32"/>
        <v>20-03-2025 to 26-03-2025</v>
      </c>
    </row>
    <row r="702" spans="1:7">
      <c r="A702" s="1">
        <v>45737</v>
      </c>
      <c r="B702" s="6">
        <v>0.40208333333333335</v>
      </c>
      <c r="C702" t="s">
        <v>22</v>
      </c>
      <c r="D702" s="7">
        <f t="shared" si="30"/>
        <v>45737.402083333334</v>
      </c>
      <c r="E702" t="str">
        <f t="shared" si="31"/>
        <v>21-03-2025 to 27-03-2025</v>
      </c>
      <c r="F702" t="str">
        <f>IF(COUNTIF('Top5'!I:I, G702) &gt; 0, "Yes", "No")</f>
        <v>No</v>
      </c>
      <c r="G702" t="str">
        <f t="shared" si="32"/>
        <v>21-03-2025 to 27-03-2025</v>
      </c>
    </row>
    <row r="703" spans="1:7">
      <c r="A703" s="1">
        <v>45737</v>
      </c>
      <c r="B703" s="6">
        <v>0.40208333333333335</v>
      </c>
      <c r="C703" t="s">
        <v>22</v>
      </c>
      <c r="D703" s="7">
        <f t="shared" si="30"/>
        <v>45737.402083333334</v>
      </c>
      <c r="E703" t="str">
        <f t="shared" si="31"/>
        <v>21-03-2025 to 27-03-2025</v>
      </c>
      <c r="F703" t="str">
        <f>IF(COUNTIF('Top5'!I:I, G703) &gt; 0, "Yes", "No")</f>
        <v>No</v>
      </c>
      <c r="G703" t="str">
        <f t="shared" si="32"/>
        <v>21-03-2025 to 27-03-2025</v>
      </c>
    </row>
    <row r="704" spans="1:7">
      <c r="A704" s="1">
        <v>45737</v>
      </c>
      <c r="B704" s="6">
        <v>0.47499999999999998</v>
      </c>
      <c r="C704" t="s">
        <v>22</v>
      </c>
      <c r="D704" s="7">
        <f t="shared" si="30"/>
        <v>45737.474999999999</v>
      </c>
      <c r="E704" t="str">
        <f t="shared" si="31"/>
        <v>21-03-2025 to 27-03-2025</v>
      </c>
      <c r="F704" t="str">
        <f>IF(COUNTIF('Top5'!I:I, G704) &gt; 0, "Yes", "No")</f>
        <v>No</v>
      </c>
      <c r="G704" t="str">
        <f t="shared" si="32"/>
        <v>21-03-2025 to 27-03-2025</v>
      </c>
    </row>
    <row r="705" spans="1:7">
      <c r="A705" s="1">
        <v>45737</v>
      </c>
      <c r="B705" s="6">
        <v>0.47569444444444442</v>
      </c>
      <c r="C705" t="s">
        <v>22</v>
      </c>
      <c r="D705" s="7">
        <f t="shared" si="30"/>
        <v>45737.475694444445</v>
      </c>
      <c r="E705" t="str">
        <f t="shared" si="31"/>
        <v>21-03-2025 to 27-03-2025</v>
      </c>
      <c r="F705" t="str">
        <f>IF(COUNTIF('Top5'!I:I, G705) &gt; 0, "Yes", "No")</f>
        <v>No</v>
      </c>
      <c r="G705" t="str">
        <f t="shared" si="32"/>
        <v>21-03-2025 to 27-03-2025</v>
      </c>
    </row>
    <row r="706" spans="1:7">
      <c r="A706" s="1">
        <v>45737</v>
      </c>
      <c r="B706" s="6">
        <v>0.48333333333333334</v>
      </c>
      <c r="C706" t="s">
        <v>22</v>
      </c>
      <c r="D706" s="7">
        <f t="shared" si="30"/>
        <v>45737.48333333333</v>
      </c>
      <c r="E706" t="str">
        <f t="shared" si="31"/>
        <v>21-03-2025 to 27-03-2025</v>
      </c>
      <c r="F706" t="str">
        <f>IF(COUNTIF('Top5'!I:I, G706) &gt; 0, "Yes", "No")</f>
        <v>No</v>
      </c>
      <c r="G706" t="str">
        <f t="shared" si="32"/>
        <v>21-03-2025 to 27-03-2025</v>
      </c>
    </row>
    <row r="707" spans="1:7">
      <c r="A707" s="1">
        <v>45737</v>
      </c>
      <c r="B707" s="6">
        <v>0.48472222222222222</v>
      </c>
      <c r="C707" t="s">
        <v>22</v>
      </c>
      <c r="D707" s="7">
        <f t="shared" ref="D707:D770" si="33">VALUE(A707) + VALUE(B707)</f>
        <v>45737.484722222223</v>
      </c>
      <c r="E707" t="str">
        <f t="shared" ref="E707:E770" si="34">TEXT(D707, "dd-mm-yyyy") &amp; " to " &amp; TEXT(D707+6, "dd-mm-yyyy")</f>
        <v>21-03-2025 to 27-03-2025</v>
      </c>
      <c r="F707" t="str">
        <f>IF(COUNTIF('Top5'!I:I, G707) &gt; 0, "Yes", "No")</f>
        <v>No</v>
      </c>
      <c r="G707" t="str">
        <f t="shared" ref="G707:G770" si="35">TRIM(E707)</f>
        <v>21-03-2025 to 27-03-2025</v>
      </c>
    </row>
    <row r="708" spans="1:7">
      <c r="A708" s="1">
        <v>45737</v>
      </c>
      <c r="B708" s="6">
        <v>0.48819444444444443</v>
      </c>
      <c r="C708" t="s">
        <v>22</v>
      </c>
      <c r="D708" s="7">
        <f t="shared" si="33"/>
        <v>45737.488194444442</v>
      </c>
      <c r="E708" t="str">
        <f t="shared" si="34"/>
        <v>21-03-2025 to 27-03-2025</v>
      </c>
      <c r="F708" t="str">
        <f>IF(COUNTIF('Top5'!I:I, G708) &gt; 0, "Yes", "No")</f>
        <v>No</v>
      </c>
      <c r="G708" t="str">
        <f t="shared" si="35"/>
        <v>21-03-2025 to 27-03-2025</v>
      </c>
    </row>
    <row r="709" spans="1:7">
      <c r="A709" s="1">
        <v>45737</v>
      </c>
      <c r="B709" s="6">
        <v>0.4909722222222222</v>
      </c>
      <c r="C709" t="s">
        <v>22</v>
      </c>
      <c r="D709" s="7">
        <f t="shared" si="33"/>
        <v>45737.490972222222</v>
      </c>
      <c r="E709" t="str">
        <f t="shared" si="34"/>
        <v>21-03-2025 to 27-03-2025</v>
      </c>
      <c r="F709" t="str">
        <f>IF(COUNTIF('Top5'!I:I, G709) &gt; 0, "Yes", "No")</f>
        <v>No</v>
      </c>
      <c r="G709" t="str">
        <f t="shared" si="35"/>
        <v>21-03-2025 to 27-03-2025</v>
      </c>
    </row>
    <row r="710" spans="1:7">
      <c r="A710" s="1">
        <v>45737</v>
      </c>
      <c r="B710" s="6">
        <v>0.72777777777777775</v>
      </c>
      <c r="C710" t="s">
        <v>23</v>
      </c>
      <c r="D710" s="7">
        <f t="shared" si="33"/>
        <v>45737.727777777778</v>
      </c>
      <c r="E710" t="str">
        <f t="shared" si="34"/>
        <v>21-03-2025 to 27-03-2025</v>
      </c>
      <c r="F710" t="str">
        <f>IF(COUNTIF('Top5'!I:I, G710) &gt; 0, "Yes", "No")</f>
        <v>No</v>
      </c>
      <c r="G710" t="str">
        <f t="shared" si="35"/>
        <v>21-03-2025 to 27-03-2025</v>
      </c>
    </row>
    <row r="711" spans="1:7">
      <c r="A711" s="1">
        <v>45737</v>
      </c>
      <c r="B711" s="6">
        <v>0.75138888888888888</v>
      </c>
      <c r="C711" t="s">
        <v>23</v>
      </c>
      <c r="D711" s="7">
        <f t="shared" si="33"/>
        <v>45737.751388888886</v>
      </c>
      <c r="E711" t="str">
        <f t="shared" si="34"/>
        <v>21-03-2025 to 27-03-2025</v>
      </c>
      <c r="F711" t="str">
        <f>IF(COUNTIF('Top5'!I:I, G711) &gt; 0, "Yes", "No")</f>
        <v>No</v>
      </c>
      <c r="G711" t="str">
        <f t="shared" si="35"/>
        <v>21-03-2025 to 27-03-2025</v>
      </c>
    </row>
    <row r="712" spans="1:7">
      <c r="A712" s="1">
        <v>45737</v>
      </c>
      <c r="B712" s="6">
        <v>0.93194444444444446</v>
      </c>
      <c r="C712" t="s">
        <v>23</v>
      </c>
      <c r="D712" s="7">
        <f t="shared" si="33"/>
        <v>45737.931944444441</v>
      </c>
      <c r="E712" t="str">
        <f t="shared" si="34"/>
        <v>21-03-2025 to 27-03-2025</v>
      </c>
      <c r="F712" t="str">
        <f>IF(COUNTIF('Top5'!I:I, G712) &gt; 0, "Yes", "No")</f>
        <v>No</v>
      </c>
      <c r="G712" t="str">
        <f t="shared" si="35"/>
        <v>21-03-2025 to 27-03-2025</v>
      </c>
    </row>
    <row r="713" spans="1:7">
      <c r="A713" s="1">
        <v>45738</v>
      </c>
      <c r="B713" s="6">
        <v>0.41458333333333336</v>
      </c>
      <c r="C713" t="s">
        <v>22</v>
      </c>
      <c r="D713" s="7">
        <f t="shared" si="33"/>
        <v>45738.414583333331</v>
      </c>
      <c r="E713" t="str">
        <f t="shared" si="34"/>
        <v>22-03-2025 to 28-03-2025</v>
      </c>
      <c r="F713" t="str">
        <f>IF(COUNTIF('Top5'!I:I, G713) &gt; 0, "Yes", "No")</f>
        <v>No</v>
      </c>
      <c r="G713" t="str">
        <f t="shared" si="35"/>
        <v>22-03-2025 to 28-03-2025</v>
      </c>
    </row>
    <row r="714" spans="1:7">
      <c r="A714" s="1">
        <v>45738</v>
      </c>
      <c r="B714" s="6">
        <v>0.47638888888888886</v>
      </c>
      <c r="C714" t="s">
        <v>22</v>
      </c>
      <c r="D714" s="7">
        <f t="shared" si="33"/>
        <v>45738.476388888892</v>
      </c>
      <c r="E714" t="str">
        <f t="shared" si="34"/>
        <v>22-03-2025 to 28-03-2025</v>
      </c>
      <c r="F714" t="str">
        <f>IF(COUNTIF('Top5'!I:I, G714) &gt; 0, "Yes", "No")</f>
        <v>No</v>
      </c>
      <c r="G714" t="str">
        <f t="shared" si="35"/>
        <v>22-03-2025 to 28-03-2025</v>
      </c>
    </row>
    <row r="715" spans="1:7">
      <c r="A715" s="1">
        <v>45738</v>
      </c>
      <c r="B715" s="6">
        <v>0.95763888888888893</v>
      </c>
      <c r="C715" t="s">
        <v>23</v>
      </c>
      <c r="D715" s="7">
        <f t="shared" si="33"/>
        <v>45738.957638888889</v>
      </c>
      <c r="E715" t="str">
        <f t="shared" si="34"/>
        <v>22-03-2025 to 28-03-2025</v>
      </c>
      <c r="F715" t="str">
        <f>IF(COUNTIF('Top5'!I:I, G715) &gt; 0, "Yes", "No")</f>
        <v>No</v>
      </c>
      <c r="G715" t="str">
        <f t="shared" si="35"/>
        <v>22-03-2025 to 28-03-2025</v>
      </c>
    </row>
    <row r="716" spans="1:7">
      <c r="A716" s="1">
        <v>45738</v>
      </c>
      <c r="B716" s="6">
        <v>0.96527777777777779</v>
      </c>
      <c r="C716" t="s">
        <v>23</v>
      </c>
      <c r="D716" s="7">
        <f t="shared" si="33"/>
        <v>45738.965277777781</v>
      </c>
      <c r="E716" t="str">
        <f t="shared" si="34"/>
        <v>22-03-2025 to 28-03-2025</v>
      </c>
      <c r="F716" t="str">
        <f>IF(COUNTIF('Top5'!I:I, G716) &gt; 0, "Yes", "No")</f>
        <v>No</v>
      </c>
      <c r="G716" t="str">
        <f t="shared" si="35"/>
        <v>22-03-2025 to 28-03-2025</v>
      </c>
    </row>
    <row r="717" spans="1:7">
      <c r="A717" s="1">
        <v>45738</v>
      </c>
      <c r="B717" s="6">
        <v>0.96875</v>
      </c>
      <c r="C717" t="s">
        <v>23</v>
      </c>
      <c r="D717" s="7">
        <f t="shared" si="33"/>
        <v>45738.96875</v>
      </c>
      <c r="E717" t="str">
        <f t="shared" si="34"/>
        <v>22-03-2025 to 28-03-2025</v>
      </c>
      <c r="F717" t="str">
        <f>IF(COUNTIF('Top5'!I:I, G717) &gt; 0, "Yes", "No")</f>
        <v>No</v>
      </c>
      <c r="G717" t="str">
        <f t="shared" si="35"/>
        <v>22-03-2025 to 28-03-2025</v>
      </c>
    </row>
    <row r="718" spans="1:7">
      <c r="A718" s="1">
        <v>45739</v>
      </c>
      <c r="B718" s="6">
        <v>0.40902777777777777</v>
      </c>
      <c r="C718" t="s">
        <v>22</v>
      </c>
      <c r="D718" s="7">
        <f t="shared" si="33"/>
        <v>45739.40902777778</v>
      </c>
      <c r="E718" t="str">
        <f t="shared" si="34"/>
        <v>23-03-2025 to 29-03-2025</v>
      </c>
      <c r="F718" t="str">
        <f>IF(COUNTIF('Top5'!I:I, G718) &gt; 0, "Yes", "No")</f>
        <v>No</v>
      </c>
      <c r="G718" t="str">
        <f t="shared" si="35"/>
        <v>23-03-2025 to 29-03-2025</v>
      </c>
    </row>
    <row r="719" spans="1:7">
      <c r="A719" s="1">
        <v>45739</v>
      </c>
      <c r="B719" s="6">
        <v>0.53680555555555554</v>
      </c>
      <c r="C719" t="s">
        <v>22</v>
      </c>
      <c r="D719" s="7">
        <f t="shared" si="33"/>
        <v>45739.536805555559</v>
      </c>
      <c r="E719" t="str">
        <f t="shared" si="34"/>
        <v>23-03-2025 to 29-03-2025</v>
      </c>
      <c r="F719" t="str">
        <f>IF(COUNTIF('Top5'!I:I, G719) &gt; 0, "Yes", "No")</f>
        <v>No</v>
      </c>
      <c r="G719" t="str">
        <f t="shared" si="35"/>
        <v>23-03-2025 to 29-03-2025</v>
      </c>
    </row>
    <row r="720" spans="1:7">
      <c r="A720" s="1">
        <v>45739</v>
      </c>
      <c r="B720" s="6">
        <v>0.72847222222222219</v>
      </c>
      <c r="C720" t="s">
        <v>23</v>
      </c>
      <c r="D720" s="7">
        <f t="shared" si="33"/>
        <v>45739.728472222225</v>
      </c>
      <c r="E720" t="str">
        <f t="shared" si="34"/>
        <v>23-03-2025 to 29-03-2025</v>
      </c>
      <c r="F720" t="str">
        <f>IF(COUNTIF('Top5'!I:I, G720) &gt; 0, "Yes", "No")</f>
        <v>No</v>
      </c>
      <c r="G720" t="str">
        <f t="shared" si="35"/>
        <v>23-03-2025 to 29-03-2025</v>
      </c>
    </row>
    <row r="721" spans="1:7">
      <c r="A721" s="1">
        <v>45739</v>
      </c>
      <c r="B721" s="6">
        <v>0.72916666666666663</v>
      </c>
      <c r="C721" t="s">
        <v>23</v>
      </c>
      <c r="D721" s="7">
        <f t="shared" si="33"/>
        <v>45739.729166666664</v>
      </c>
      <c r="E721" t="str">
        <f t="shared" si="34"/>
        <v>23-03-2025 to 29-03-2025</v>
      </c>
      <c r="F721" t="str">
        <f>IF(COUNTIF('Top5'!I:I, G721) &gt; 0, "Yes", "No")</f>
        <v>No</v>
      </c>
      <c r="G721" t="str">
        <f t="shared" si="35"/>
        <v>23-03-2025 to 29-03-2025</v>
      </c>
    </row>
    <row r="722" spans="1:7">
      <c r="A722" s="1">
        <v>45740</v>
      </c>
      <c r="B722" s="6">
        <v>0.49930555555555556</v>
      </c>
      <c r="C722" t="s">
        <v>22</v>
      </c>
      <c r="D722" s="7">
        <f t="shared" si="33"/>
        <v>45740.499305555553</v>
      </c>
      <c r="E722" t="str">
        <f t="shared" si="34"/>
        <v>24-03-2025 to 30-03-2025</v>
      </c>
      <c r="F722" t="str">
        <f>IF(COUNTIF('Top5'!I:I, G722) &gt; 0, "Yes", "No")</f>
        <v>No</v>
      </c>
      <c r="G722" t="str">
        <f t="shared" si="35"/>
        <v>24-03-2025 to 30-03-2025</v>
      </c>
    </row>
    <row r="723" spans="1:7">
      <c r="A723" s="1">
        <v>45740</v>
      </c>
      <c r="B723" s="6">
        <v>0.62291666666666667</v>
      </c>
      <c r="C723" t="s">
        <v>22</v>
      </c>
      <c r="D723" s="7">
        <f t="shared" si="33"/>
        <v>45740.622916666667</v>
      </c>
      <c r="E723" t="str">
        <f t="shared" si="34"/>
        <v>24-03-2025 to 30-03-2025</v>
      </c>
      <c r="F723" t="str">
        <f>IF(COUNTIF('Top5'!I:I, G723) &gt; 0, "Yes", "No")</f>
        <v>No</v>
      </c>
      <c r="G723" t="str">
        <f t="shared" si="35"/>
        <v>24-03-2025 to 30-03-2025</v>
      </c>
    </row>
    <row r="724" spans="1:7">
      <c r="A724" s="1">
        <v>45740</v>
      </c>
      <c r="B724" s="6">
        <v>0.62708333333333333</v>
      </c>
      <c r="C724" t="s">
        <v>22</v>
      </c>
      <c r="D724" s="7">
        <f t="shared" si="33"/>
        <v>45740.627083333333</v>
      </c>
      <c r="E724" t="str">
        <f t="shared" si="34"/>
        <v>24-03-2025 to 30-03-2025</v>
      </c>
      <c r="F724" t="str">
        <f>IF(COUNTIF('Top5'!I:I, G724) &gt; 0, "Yes", "No")</f>
        <v>No</v>
      </c>
      <c r="G724" t="str">
        <f t="shared" si="35"/>
        <v>24-03-2025 to 30-03-2025</v>
      </c>
    </row>
    <row r="725" spans="1:7">
      <c r="A725" s="1">
        <v>45740</v>
      </c>
      <c r="B725" s="6">
        <v>0.62986111111111109</v>
      </c>
      <c r="C725" t="s">
        <v>22</v>
      </c>
      <c r="D725" s="7">
        <f t="shared" si="33"/>
        <v>45740.629861111112</v>
      </c>
      <c r="E725" t="str">
        <f t="shared" si="34"/>
        <v>24-03-2025 to 30-03-2025</v>
      </c>
      <c r="F725" t="str">
        <f>IF(COUNTIF('Top5'!I:I, G725) &gt; 0, "Yes", "No")</f>
        <v>No</v>
      </c>
      <c r="G725" t="str">
        <f t="shared" si="35"/>
        <v>24-03-2025 to 30-03-2025</v>
      </c>
    </row>
    <row r="726" spans="1:7">
      <c r="A726" s="1">
        <v>45740</v>
      </c>
      <c r="B726" s="6">
        <v>0.64027777777777772</v>
      </c>
      <c r="C726" t="s">
        <v>22</v>
      </c>
      <c r="D726" s="7">
        <f t="shared" si="33"/>
        <v>45740.640277777777</v>
      </c>
      <c r="E726" t="str">
        <f t="shared" si="34"/>
        <v>24-03-2025 to 30-03-2025</v>
      </c>
      <c r="F726" t="str">
        <f>IF(COUNTIF('Top5'!I:I, G726) &gt; 0, "Yes", "No")</f>
        <v>No</v>
      </c>
      <c r="G726" t="str">
        <f t="shared" si="35"/>
        <v>24-03-2025 to 30-03-2025</v>
      </c>
    </row>
    <row r="727" spans="1:7">
      <c r="A727" s="1">
        <v>45740</v>
      </c>
      <c r="B727" s="6">
        <v>0.65</v>
      </c>
      <c r="C727" t="s">
        <v>22</v>
      </c>
      <c r="D727" s="7">
        <f t="shared" si="33"/>
        <v>45740.65</v>
      </c>
      <c r="E727" t="str">
        <f t="shared" si="34"/>
        <v>24-03-2025 to 30-03-2025</v>
      </c>
      <c r="F727" t="str">
        <f>IF(COUNTIF('Top5'!I:I, G727) &gt; 0, "Yes", "No")</f>
        <v>No</v>
      </c>
      <c r="G727" t="str">
        <f t="shared" si="35"/>
        <v>24-03-2025 to 30-03-2025</v>
      </c>
    </row>
    <row r="728" spans="1:7">
      <c r="A728" s="1">
        <v>45741</v>
      </c>
      <c r="B728" s="6">
        <v>0.50486111111111109</v>
      </c>
      <c r="C728" t="s">
        <v>22</v>
      </c>
      <c r="D728" s="7">
        <f t="shared" si="33"/>
        <v>45741.504861111112</v>
      </c>
      <c r="E728" t="str">
        <f t="shared" si="34"/>
        <v>25-03-2025 to 31-03-2025</v>
      </c>
      <c r="F728" t="str">
        <f>IF(COUNTIF('Top5'!I:I, G728) &gt; 0, "Yes", "No")</f>
        <v>No</v>
      </c>
      <c r="G728" t="str">
        <f t="shared" si="35"/>
        <v>25-03-2025 to 31-03-2025</v>
      </c>
    </row>
    <row r="729" spans="1:7">
      <c r="A729" s="1">
        <v>45741</v>
      </c>
      <c r="B729" s="6">
        <v>0.51944444444444449</v>
      </c>
      <c r="C729" t="s">
        <v>22</v>
      </c>
      <c r="D729" s="7">
        <f t="shared" si="33"/>
        <v>45741.519444444442</v>
      </c>
      <c r="E729" t="str">
        <f t="shared" si="34"/>
        <v>25-03-2025 to 31-03-2025</v>
      </c>
      <c r="F729" t="str">
        <f>IF(COUNTIF('Top5'!I:I, G729) &gt; 0, "Yes", "No")</f>
        <v>No</v>
      </c>
      <c r="G729" t="str">
        <f t="shared" si="35"/>
        <v>25-03-2025 to 31-03-2025</v>
      </c>
    </row>
    <row r="730" spans="1:7">
      <c r="A730" s="1">
        <v>45741</v>
      </c>
      <c r="B730" s="6">
        <v>0.54583333333333328</v>
      </c>
      <c r="C730" t="s">
        <v>22</v>
      </c>
      <c r="D730" s="7">
        <f t="shared" si="33"/>
        <v>45741.54583333333</v>
      </c>
      <c r="E730" t="str">
        <f t="shared" si="34"/>
        <v>25-03-2025 to 31-03-2025</v>
      </c>
      <c r="F730" t="str">
        <f>IF(COUNTIF('Top5'!I:I, G730) &gt; 0, "Yes", "No")</f>
        <v>No</v>
      </c>
      <c r="G730" t="str">
        <f t="shared" si="35"/>
        <v>25-03-2025 to 31-03-2025</v>
      </c>
    </row>
    <row r="731" spans="1:7">
      <c r="A731" s="1">
        <v>45741</v>
      </c>
      <c r="B731" s="6">
        <v>0.56319444444444444</v>
      </c>
      <c r="C731" t="s">
        <v>22</v>
      </c>
      <c r="D731" s="7">
        <f t="shared" si="33"/>
        <v>45741.563194444447</v>
      </c>
      <c r="E731" t="str">
        <f t="shared" si="34"/>
        <v>25-03-2025 to 31-03-2025</v>
      </c>
      <c r="F731" t="str">
        <f>IF(COUNTIF('Top5'!I:I, G731) &gt; 0, "Yes", "No")</f>
        <v>No</v>
      </c>
      <c r="G731" t="str">
        <f t="shared" si="35"/>
        <v>25-03-2025 to 31-03-2025</v>
      </c>
    </row>
    <row r="732" spans="1:7">
      <c r="A732" s="1">
        <v>45741</v>
      </c>
      <c r="B732" s="6">
        <v>0.56736111111111109</v>
      </c>
      <c r="C732" t="s">
        <v>22</v>
      </c>
      <c r="D732" s="7">
        <f t="shared" si="33"/>
        <v>45741.567361111112</v>
      </c>
      <c r="E732" t="str">
        <f t="shared" si="34"/>
        <v>25-03-2025 to 31-03-2025</v>
      </c>
      <c r="F732" t="str">
        <f>IF(COUNTIF('Top5'!I:I, G732) &gt; 0, "Yes", "No")</f>
        <v>No</v>
      </c>
      <c r="G732" t="str">
        <f t="shared" si="35"/>
        <v>25-03-2025 to 31-03-2025</v>
      </c>
    </row>
    <row r="733" spans="1:7">
      <c r="A733" s="1">
        <v>45741</v>
      </c>
      <c r="B733" s="6">
        <v>0.57361111111111107</v>
      </c>
      <c r="C733" t="s">
        <v>22</v>
      </c>
      <c r="D733" s="7">
        <f t="shared" si="33"/>
        <v>45741.573611111111</v>
      </c>
      <c r="E733" t="str">
        <f t="shared" si="34"/>
        <v>25-03-2025 to 31-03-2025</v>
      </c>
      <c r="F733" t="str">
        <f>IF(COUNTIF('Top5'!I:I, G733) &gt; 0, "Yes", "No")</f>
        <v>No</v>
      </c>
      <c r="G733" t="str">
        <f t="shared" si="35"/>
        <v>25-03-2025 to 31-03-2025</v>
      </c>
    </row>
    <row r="734" spans="1:7">
      <c r="A734" s="1">
        <v>45741</v>
      </c>
      <c r="B734" s="6">
        <v>0.5854166666666667</v>
      </c>
      <c r="C734" t="s">
        <v>22</v>
      </c>
      <c r="D734" s="7">
        <f t="shared" si="33"/>
        <v>45741.585416666669</v>
      </c>
      <c r="E734" t="str">
        <f t="shared" si="34"/>
        <v>25-03-2025 to 31-03-2025</v>
      </c>
      <c r="F734" t="str">
        <f>IF(COUNTIF('Top5'!I:I, G734) &gt; 0, "Yes", "No")</f>
        <v>No</v>
      </c>
      <c r="G734" t="str">
        <f t="shared" si="35"/>
        <v>25-03-2025 to 31-03-2025</v>
      </c>
    </row>
    <row r="735" spans="1:7">
      <c r="A735" s="1">
        <v>45742</v>
      </c>
      <c r="B735" s="6">
        <v>0.83472222222222225</v>
      </c>
      <c r="C735" t="s">
        <v>23</v>
      </c>
      <c r="D735" s="7">
        <f t="shared" si="33"/>
        <v>45742.834722222222</v>
      </c>
      <c r="E735" t="str">
        <f t="shared" si="34"/>
        <v>26-03-2025 to 01-04-2025</v>
      </c>
      <c r="F735" t="str">
        <f>IF(COUNTIF('Top5'!I:I, G735) &gt; 0, "Yes", "No")</f>
        <v>No</v>
      </c>
      <c r="G735" t="str">
        <f t="shared" si="35"/>
        <v>26-03-2025 to 01-04-2025</v>
      </c>
    </row>
    <row r="736" spans="1:7">
      <c r="A736" s="1">
        <v>45743</v>
      </c>
      <c r="B736" s="6">
        <v>0.40416666666666667</v>
      </c>
      <c r="C736" t="s">
        <v>22</v>
      </c>
      <c r="D736" s="7">
        <f t="shared" si="33"/>
        <v>45743.404166666667</v>
      </c>
      <c r="E736" t="str">
        <f t="shared" si="34"/>
        <v>27-03-2025 to 02-04-2025</v>
      </c>
      <c r="F736" t="str">
        <f>IF(COUNTIF('Top5'!I:I, G736) &gt; 0, "Yes", "No")</f>
        <v>No</v>
      </c>
      <c r="G736" t="str">
        <f t="shared" si="35"/>
        <v>27-03-2025 to 02-04-2025</v>
      </c>
    </row>
    <row r="737" spans="1:7">
      <c r="A737" s="1">
        <v>45743</v>
      </c>
      <c r="B737" s="6">
        <v>0.40763888888888888</v>
      </c>
      <c r="C737" t="s">
        <v>22</v>
      </c>
      <c r="D737" s="7">
        <f t="shared" si="33"/>
        <v>45743.407638888886</v>
      </c>
      <c r="E737" t="str">
        <f t="shared" si="34"/>
        <v>27-03-2025 to 02-04-2025</v>
      </c>
      <c r="F737" t="str">
        <f>IF(COUNTIF('Top5'!I:I, G737) &gt; 0, "Yes", "No")</f>
        <v>No</v>
      </c>
      <c r="G737" t="str">
        <f t="shared" si="35"/>
        <v>27-03-2025 to 02-04-2025</v>
      </c>
    </row>
    <row r="738" spans="1:7">
      <c r="A738" s="1">
        <v>45744</v>
      </c>
      <c r="B738" s="6">
        <v>1.3888888888888889E-3</v>
      </c>
      <c r="C738" t="s">
        <v>23</v>
      </c>
      <c r="D738" s="7">
        <f t="shared" si="33"/>
        <v>45744.001388888886</v>
      </c>
      <c r="E738" t="str">
        <f t="shared" si="34"/>
        <v>28-03-2025 to 03-04-2025</v>
      </c>
      <c r="F738" t="str">
        <f>IF(COUNTIF('Top5'!I:I, G738) &gt; 0, "Yes", "No")</f>
        <v>No</v>
      </c>
      <c r="G738" t="str">
        <f t="shared" si="35"/>
        <v>28-03-2025 to 03-04-2025</v>
      </c>
    </row>
    <row r="739" spans="1:7">
      <c r="A739" s="1">
        <v>45744</v>
      </c>
      <c r="B739" s="6">
        <v>0.45833333333333331</v>
      </c>
      <c r="C739" t="s">
        <v>22</v>
      </c>
      <c r="D739" s="7">
        <f t="shared" si="33"/>
        <v>45744.458333333336</v>
      </c>
      <c r="E739" t="str">
        <f t="shared" si="34"/>
        <v>28-03-2025 to 03-04-2025</v>
      </c>
      <c r="F739" t="str">
        <f>IF(COUNTIF('Top5'!I:I, G739) &gt; 0, "Yes", "No")</f>
        <v>No</v>
      </c>
      <c r="G739" t="str">
        <f t="shared" si="35"/>
        <v>28-03-2025 to 03-04-2025</v>
      </c>
    </row>
    <row r="740" spans="1:7">
      <c r="A740" s="1">
        <v>45744</v>
      </c>
      <c r="B740" s="6">
        <v>0.65902777777777777</v>
      </c>
      <c r="C740" t="s">
        <v>22</v>
      </c>
      <c r="D740" s="7">
        <f t="shared" si="33"/>
        <v>45744.65902777778</v>
      </c>
      <c r="E740" t="str">
        <f t="shared" si="34"/>
        <v>28-03-2025 to 03-04-2025</v>
      </c>
      <c r="F740" t="str">
        <f>IF(COUNTIF('Top5'!I:I, G740) &gt; 0, "Yes", "No")</f>
        <v>No</v>
      </c>
      <c r="G740" t="str">
        <f t="shared" si="35"/>
        <v>28-03-2025 to 03-04-2025</v>
      </c>
    </row>
    <row r="741" spans="1:7">
      <c r="A741" s="1">
        <v>45744</v>
      </c>
      <c r="B741" s="6">
        <v>0.66597222222222219</v>
      </c>
      <c r="C741" t="s">
        <v>22</v>
      </c>
      <c r="D741" s="7">
        <f t="shared" si="33"/>
        <v>45744.665972222225</v>
      </c>
      <c r="E741" t="str">
        <f t="shared" si="34"/>
        <v>28-03-2025 to 03-04-2025</v>
      </c>
      <c r="F741" t="str">
        <f>IF(COUNTIF('Top5'!I:I, G741) &gt; 0, "Yes", "No")</f>
        <v>No</v>
      </c>
      <c r="G741" t="str">
        <f t="shared" si="35"/>
        <v>28-03-2025 to 03-04-2025</v>
      </c>
    </row>
    <row r="742" spans="1:7">
      <c r="A742" s="1">
        <v>45744</v>
      </c>
      <c r="B742" s="6">
        <v>0.66666666666666663</v>
      </c>
      <c r="C742" t="s">
        <v>22</v>
      </c>
      <c r="D742" s="7">
        <f t="shared" si="33"/>
        <v>45744.666666666664</v>
      </c>
      <c r="E742" t="str">
        <f t="shared" si="34"/>
        <v>28-03-2025 to 03-04-2025</v>
      </c>
      <c r="F742" t="str">
        <f>IF(COUNTIF('Top5'!I:I, G742) &gt; 0, "Yes", "No")</f>
        <v>No</v>
      </c>
      <c r="G742" t="str">
        <f t="shared" si="35"/>
        <v>28-03-2025 to 03-04-2025</v>
      </c>
    </row>
    <row r="743" spans="1:7">
      <c r="A743" s="1">
        <v>45744</v>
      </c>
      <c r="B743" s="6">
        <v>0.71388888888888891</v>
      </c>
      <c r="C743" t="s">
        <v>23</v>
      </c>
      <c r="D743" s="7">
        <f t="shared" si="33"/>
        <v>45744.713888888888</v>
      </c>
      <c r="E743" t="str">
        <f t="shared" si="34"/>
        <v>28-03-2025 to 03-04-2025</v>
      </c>
      <c r="F743" t="str">
        <f>IF(COUNTIF('Top5'!I:I, G743) &gt; 0, "Yes", "No")</f>
        <v>No</v>
      </c>
      <c r="G743" t="str">
        <f t="shared" si="35"/>
        <v>28-03-2025 to 03-04-2025</v>
      </c>
    </row>
    <row r="744" spans="1:7">
      <c r="A744" s="1">
        <v>45744</v>
      </c>
      <c r="B744" s="6">
        <v>0.71666666666666667</v>
      </c>
      <c r="C744" t="s">
        <v>23</v>
      </c>
      <c r="D744" s="7">
        <f t="shared" si="33"/>
        <v>45744.716666666667</v>
      </c>
      <c r="E744" t="str">
        <f t="shared" si="34"/>
        <v>28-03-2025 to 03-04-2025</v>
      </c>
      <c r="F744" t="str">
        <f>IF(COUNTIF('Top5'!I:I, G744) &gt; 0, "Yes", "No")</f>
        <v>No</v>
      </c>
      <c r="G744" t="str">
        <f t="shared" si="35"/>
        <v>28-03-2025 to 03-04-2025</v>
      </c>
    </row>
    <row r="745" spans="1:7">
      <c r="A745" s="1">
        <v>45744</v>
      </c>
      <c r="B745" s="6">
        <v>0.75138888888888888</v>
      </c>
      <c r="C745" t="s">
        <v>23</v>
      </c>
      <c r="D745" s="7">
        <f t="shared" si="33"/>
        <v>45744.751388888886</v>
      </c>
      <c r="E745" t="str">
        <f t="shared" si="34"/>
        <v>28-03-2025 to 03-04-2025</v>
      </c>
      <c r="F745" t="str">
        <f>IF(COUNTIF('Top5'!I:I, G745) &gt; 0, "Yes", "No")</f>
        <v>No</v>
      </c>
      <c r="G745" t="str">
        <f t="shared" si="35"/>
        <v>28-03-2025 to 03-04-2025</v>
      </c>
    </row>
    <row r="746" spans="1:7">
      <c r="A746" s="1">
        <v>45744</v>
      </c>
      <c r="B746" s="6">
        <v>0.94722222222222219</v>
      </c>
      <c r="C746" t="s">
        <v>23</v>
      </c>
      <c r="D746" s="7">
        <f t="shared" si="33"/>
        <v>45744.947222222225</v>
      </c>
      <c r="E746" t="str">
        <f t="shared" si="34"/>
        <v>28-03-2025 to 03-04-2025</v>
      </c>
      <c r="F746" t="str">
        <f>IF(COUNTIF('Top5'!I:I, G746) &gt; 0, "Yes", "No")</f>
        <v>No</v>
      </c>
      <c r="G746" t="str">
        <f t="shared" si="35"/>
        <v>28-03-2025 to 03-04-2025</v>
      </c>
    </row>
    <row r="747" spans="1:7">
      <c r="A747" s="1">
        <v>45744</v>
      </c>
      <c r="B747" s="6">
        <v>0.94722222222222219</v>
      </c>
      <c r="C747" t="s">
        <v>23</v>
      </c>
      <c r="D747" s="7">
        <f t="shared" si="33"/>
        <v>45744.947222222225</v>
      </c>
      <c r="E747" t="str">
        <f t="shared" si="34"/>
        <v>28-03-2025 to 03-04-2025</v>
      </c>
      <c r="F747" t="str">
        <f>IF(COUNTIF('Top5'!I:I, G747) &gt; 0, "Yes", "No")</f>
        <v>No</v>
      </c>
      <c r="G747" t="str">
        <f t="shared" si="35"/>
        <v>28-03-2025 to 03-04-2025</v>
      </c>
    </row>
    <row r="748" spans="1:7">
      <c r="A748" s="1">
        <v>45745</v>
      </c>
      <c r="B748" s="6">
        <v>0.47499999999999998</v>
      </c>
      <c r="C748" t="s">
        <v>22</v>
      </c>
      <c r="D748" s="7">
        <f t="shared" si="33"/>
        <v>45745.474999999999</v>
      </c>
      <c r="E748" t="str">
        <f t="shared" si="34"/>
        <v>29-03-2025 to 04-04-2025</v>
      </c>
      <c r="F748" t="str">
        <f>IF(COUNTIF('Top5'!I:I, G748) &gt; 0, "Yes", "No")</f>
        <v>No</v>
      </c>
      <c r="G748" t="str">
        <f t="shared" si="35"/>
        <v>29-03-2025 to 04-04-2025</v>
      </c>
    </row>
    <row r="749" spans="1:7">
      <c r="A749" s="1">
        <v>45745</v>
      </c>
      <c r="B749" s="6">
        <v>0.48194444444444445</v>
      </c>
      <c r="C749" t="s">
        <v>22</v>
      </c>
      <c r="D749" s="7">
        <f t="shared" si="33"/>
        <v>45745.481944444444</v>
      </c>
      <c r="E749" t="str">
        <f t="shared" si="34"/>
        <v>29-03-2025 to 04-04-2025</v>
      </c>
      <c r="F749" t="str">
        <f>IF(COUNTIF('Top5'!I:I, G749) &gt; 0, "Yes", "No")</f>
        <v>No</v>
      </c>
      <c r="G749" t="str">
        <f t="shared" si="35"/>
        <v>29-03-2025 to 04-04-2025</v>
      </c>
    </row>
    <row r="750" spans="1:7">
      <c r="A750" s="1">
        <v>45745</v>
      </c>
      <c r="B750" s="6">
        <v>0.53125</v>
      </c>
      <c r="C750" t="s">
        <v>22</v>
      </c>
      <c r="D750" s="7">
        <f t="shared" si="33"/>
        <v>45745.53125</v>
      </c>
      <c r="E750" t="str">
        <f t="shared" si="34"/>
        <v>29-03-2025 to 04-04-2025</v>
      </c>
      <c r="F750" t="str">
        <f>IF(COUNTIF('Top5'!I:I, G750) &gt; 0, "Yes", "No")</f>
        <v>No</v>
      </c>
      <c r="G750" t="str">
        <f t="shared" si="35"/>
        <v>29-03-2025 to 04-04-2025</v>
      </c>
    </row>
    <row r="751" spans="1:7">
      <c r="A751" s="1">
        <v>45745</v>
      </c>
      <c r="B751" s="6">
        <v>0.53194444444444444</v>
      </c>
      <c r="C751" t="s">
        <v>22</v>
      </c>
      <c r="D751" s="7">
        <f t="shared" si="33"/>
        <v>45745.531944444447</v>
      </c>
      <c r="E751" t="str">
        <f t="shared" si="34"/>
        <v>29-03-2025 to 04-04-2025</v>
      </c>
      <c r="F751" t="str">
        <f>IF(COUNTIF('Top5'!I:I, G751) &gt; 0, "Yes", "No")</f>
        <v>No</v>
      </c>
      <c r="G751" t="str">
        <f t="shared" si="35"/>
        <v>29-03-2025 to 04-04-2025</v>
      </c>
    </row>
    <row r="752" spans="1:7">
      <c r="A752" s="1">
        <v>45745</v>
      </c>
      <c r="B752" s="6">
        <v>0.53402777777777777</v>
      </c>
      <c r="C752" t="s">
        <v>22</v>
      </c>
      <c r="D752" s="7">
        <f t="shared" si="33"/>
        <v>45745.53402777778</v>
      </c>
      <c r="E752" t="str">
        <f t="shared" si="34"/>
        <v>29-03-2025 to 04-04-2025</v>
      </c>
      <c r="F752" t="str">
        <f>IF(COUNTIF('Top5'!I:I, G752) &gt; 0, "Yes", "No")</f>
        <v>No</v>
      </c>
      <c r="G752" t="str">
        <f t="shared" si="35"/>
        <v>29-03-2025 to 04-04-2025</v>
      </c>
    </row>
    <row r="753" spans="1:7">
      <c r="A753" s="1">
        <v>45745</v>
      </c>
      <c r="B753" s="6">
        <v>0.75624999999999998</v>
      </c>
      <c r="C753" t="s">
        <v>23</v>
      </c>
      <c r="D753" s="7">
        <f t="shared" si="33"/>
        <v>45745.756249999999</v>
      </c>
      <c r="E753" t="str">
        <f t="shared" si="34"/>
        <v>29-03-2025 to 04-04-2025</v>
      </c>
      <c r="F753" t="str">
        <f>IF(COUNTIF('Top5'!I:I, G753) &gt; 0, "Yes", "No")</f>
        <v>No</v>
      </c>
      <c r="G753" t="str">
        <f t="shared" si="35"/>
        <v>29-03-2025 to 04-04-2025</v>
      </c>
    </row>
    <row r="754" spans="1:7">
      <c r="A754" s="1">
        <v>45746</v>
      </c>
      <c r="B754" s="6">
        <v>1.3888888888888889E-3</v>
      </c>
      <c r="C754" t="s">
        <v>23</v>
      </c>
      <c r="D754" s="7">
        <f t="shared" si="33"/>
        <v>45746.001388888886</v>
      </c>
      <c r="E754" t="str">
        <f t="shared" si="34"/>
        <v>30-03-2025 to 05-04-2025</v>
      </c>
      <c r="F754" t="str">
        <f>IF(COUNTIF('Top5'!I:I, G754) &gt; 0, "Yes", "No")</f>
        <v>No</v>
      </c>
      <c r="G754" t="str">
        <f t="shared" si="35"/>
        <v>30-03-2025 to 05-04-2025</v>
      </c>
    </row>
    <row r="755" spans="1:7">
      <c r="A755" s="1">
        <v>45746</v>
      </c>
      <c r="B755" s="6">
        <v>3.472222222222222E-3</v>
      </c>
      <c r="C755" t="s">
        <v>23</v>
      </c>
      <c r="D755" s="7">
        <f t="shared" si="33"/>
        <v>45746.003472222219</v>
      </c>
      <c r="E755" t="str">
        <f t="shared" si="34"/>
        <v>30-03-2025 to 05-04-2025</v>
      </c>
      <c r="F755" t="str">
        <f>IF(COUNTIF('Top5'!I:I, G755) &gt; 0, "Yes", "No")</f>
        <v>No</v>
      </c>
      <c r="G755" t="str">
        <f t="shared" si="35"/>
        <v>30-03-2025 to 05-04-2025</v>
      </c>
    </row>
    <row r="756" spans="1:7">
      <c r="A756" s="1">
        <v>45746</v>
      </c>
      <c r="B756" s="6">
        <v>6.2500000000000003E-3</v>
      </c>
      <c r="C756" t="s">
        <v>23</v>
      </c>
      <c r="D756" s="7">
        <f t="shared" si="33"/>
        <v>45746.006249999999</v>
      </c>
      <c r="E756" t="str">
        <f t="shared" si="34"/>
        <v>30-03-2025 to 05-04-2025</v>
      </c>
      <c r="F756" t="str">
        <f>IF(COUNTIF('Top5'!I:I, G756) &gt; 0, "Yes", "No")</f>
        <v>No</v>
      </c>
      <c r="G756" t="str">
        <f t="shared" si="35"/>
        <v>30-03-2025 to 05-04-2025</v>
      </c>
    </row>
    <row r="757" spans="1:7">
      <c r="A757" s="1">
        <v>45746</v>
      </c>
      <c r="B757" s="6">
        <v>6.2500000000000003E-3</v>
      </c>
      <c r="C757" t="s">
        <v>23</v>
      </c>
      <c r="D757" s="7">
        <f t="shared" si="33"/>
        <v>45746.006249999999</v>
      </c>
      <c r="E757" t="str">
        <f t="shared" si="34"/>
        <v>30-03-2025 to 05-04-2025</v>
      </c>
      <c r="F757" t="str">
        <f>IF(COUNTIF('Top5'!I:I, G757) &gt; 0, "Yes", "No")</f>
        <v>No</v>
      </c>
      <c r="G757" t="str">
        <f t="shared" si="35"/>
        <v>30-03-2025 to 05-04-2025</v>
      </c>
    </row>
    <row r="758" spans="1:7">
      <c r="A758" s="1">
        <v>45746</v>
      </c>
      <c r="B758" s="6">
        <v>7.6388888888888886E-3</v>
      </c>
      <c r="C758" t="s">
        <v>23</v>
      </c>
      <c r="D758" s="7">
        <f t="shared" si="33"/>
        <v>45746.007638888892</v>
      </c>
      <c r="E758" t="str">
        <f t="shared" si="34"/>
        <v>30-03-2025 to 05-04-2025</v>
      </c>
      <c r="F758" t="str">
        <f>IF(COUNTIF('Top5'!I:I, G758) &gt; 0, "Yes", "No")</f>
        <v>No</v>
      </c>
      <c r="G758" t="str">
        <f t="shared" si="35"/>
        <v>30-03-2025 to 05-04-2025</v>
      </c>
    </row>
    <row r="759" spans="1:7">
      <c r="A759" s="1">
        <v>45746</v>
      </c>
      <c r="B759" s="6">
        <v>7.6388888888888886E-3</v>
      </c>
      <c r="C759" t="s">
        <v>23</v>
      </c>
      <c r="D759" s="7">
        <f t="shared" si="33"/>
        <v>45746.007638888892</v>
      </c>
      <c r="E759" t="str">
        <f t="shared" si="34"/>
        <v>30-03-2025 to 05-04-2025</v>
      </c>
      <c r="F759" t="str">
        <f>IF(COUNTIF('Top5'!I:I, G759) &gt; 0, "Yes", "No")</f>
        <v>No</v>
      </c>
      <c r="G759" t="str">
        <f t="shared" si="35"/>
        <v>30-03-2025 to 05-04-2025</v>
      </c>
    </row>
    <row r="760" spans="1:7">
      <c r="A760" s="1">
        <v>45746</v>
      </c>
      <c r="B760" s="6">
        <v>1.1805555555555555E-2</v>
      </c>
      <c r="C760" t="s">
        <v>23</v>
      </c>
      <c r="D760" s="7">
        <f t="shared" si="33"/>
        <v>45746.011805555558</v>
      </c>
      <c r="E760" t="str">
        <f t="shared" si="34"/>
        <v>30-03-2025 to 05-04-2025</v>
      </c>
      <c r="F760" t="str">
        <f>IF(COUNTIF('Top5'!I:I, G760) &gt; 0, "Yes", "No")</f>
        <v>No</v>
      </c>
      <c r="G760" t="str">
        <f t="shared" si="35"/>
        <v>30-03-2025 to 05-04-2025</v>
      </c>
    </row>
    <row r="761" spans="1:7">
      <c r="A761" s="1">
        <v>45746</v>
      </c>
      <c r="B761" s="6">
        <v>1.2500000000000001E-2</v>
      </c>
      <c r="C761" t="s">
        <v>23</v>
      </c>
      <c r="D761" s="7">
        <f t="shared" si="33"/>
        <v>45746.012499999997</v>
      </c>
      <c r="E761" t="str">
        <f t="shared" si="34"/>
        <v>30-03-2025 to 05-04-2025</v>
      </c>
      <c r="F761" t="str">
        <f>IF(COUNTIF('Top5'!I:I, G761) &gt; 0, "Yes", "No")</f>
        <v>No</v>
      </c>
      <c r="G761" t="str">
        <f t="shared" si="35"/>
        <v>30-03-2025 to 05-04-2025</v>
      </c>
    </row>
    <row r="762" spans="1:7">
      <c r="A762" s="1">
        <v>45746</v>
      </c>
      <c r="B762" s="6">
        <v>1.7361111111111112E-2</v>
      </c>
      <c r="C762" t="s">
        <v>23</v>
      </c>
      <c r="D762" s="7">
        <f t="shared" si="33"/>
        <v>45746.017361111109</v>
      </c>
      <c r="E762" t="str">
        <f t="shared" si="34"/>
        <v>30-03-2025 to 05-04-2025</v>
      </c>
      <c r="F762" t="str">
        <f>IF(COUNTIF('Top5'!I:I, G762) &gt; 0, "Yes", "No")</f>
        <v>No</v>
      </c>
      <c r="G762" t="str">
        <f t="shared" si="35"/>
        <v>30-03-2025 to 05-04-2025</v>
      </c>
    </row>
    <row r="763" spans="1:7">
      <c r="A763" s="1">
        <v>45746</v>
      </c>
      <c r="B763" s="6">
        <v>0.61250000000000004</v>
      </c>
      <c r="C763" t="s">
        <v>22</v>
      </c>
      <c r="D763" s="7">
        <f t="shared" si="33"/>
        <v>45746.612500000003</v>
      </c>
      <c r="E763" t="str">
        <f t="shared" si="34"/>
        <v>30-03-2025 to 05-04-2025</v>
      </c>
      <c r="F763" t="str">
        <f>IF(COUNTIF('Top5'!I:I, G763) &gt; 0, "Yes", "No")</f>
        <v>No</v>
      </c>
      <c r="G763" t="str">
        <f t="shared" si="35"/>
        <v>30-03-2025 to 05-04-2025</v>
      </c>
    </row>
    <row r="764" spans="1:7">
      <c r="A764" s="1">
        <v>45746</v>
      </c>
      <c r="B764" s="6">
        <v>0.69027777777777777</v>
      </c>
      <c r="C764" t="s">
        <v>22</v>
      </c>
      <c r="D764" s="7">
        <f t="shared" si="33"/>
        <v>45746.69027777778</v>
      </c>
      <c r="E764" t="str">
        <f t="shared" si="34"/>
        <v>30-03-2025 to 05-04-2025</v>
      </c>
      <c r="F764" t="str">
        <f>IF(COUNTIF('Top5'!I:I, G764) &gt; 0, "Yes", "No")</f>
        <v>No</v>
      </c>
      <c r="G764" t="str">
        <f t="shared" si="35"/>
        <v>30-03-2025 to 05-04-2025</v>
      </c>
    </row>
    <row r="765" spans="1:7">
      <c r="A765" s="1">
        <v>45746</v>
      </c>
      <c r="B765" s="6">
        <v>0.7104166666666667</v>
      </c>
      <c r="C765" t="s">
        <v>23</v>
      </c>
      <c r="D765" s="7">
        <f t="shared" si="33"/>
        <v>45746.710416666669</v>
      </c>
      <c r="E765" t="str">
        <f t="shared" si="34"/>
        <v>30-03-2025 to 05-04-2025</v>
      </c>
      <c r="F765" t="str">
        <f>IF(COUNTIF('Top5'!I:I, G765) &gt; 0, "Yes", "No")</f>
        <v>No</v>
      </c>
      <c r="G765" t="str">
        <f t="shared" si="35"/>
        <v>30-03-2025 to 05-04-2025</v>
      </c>
    </row>
    <row r="766" spans="1:7">
      <c r="A766" s="1">
        <v>45746</v>
      </c>
      <c r="B766" s="6">
        <v>0.71111111111111114</v>
      </c>
      <c r="C766" t="s">
        <v>23</v>
      </c>
      <c r="D766" s="7">
        <f t="shared" si="33"/>
        <v>45746.711111111108</v>
      </c>
      <c r="E766" t="str">
        <f t="shared" si="34"/>
        <v>30-03-2025 to 05-04-2025</v>
      </c>
      <c r="F766" t="str">
        <f>IF(COUNTIF('Top5'!I:I, G766) &gt; 0, "Yes", "No")</f>
        <v>No</v>
      </c>
      <c r="G766" t="str">
        <f t="shared" si="35"/>
        <v>30-03-2025 to 05-04-2025</v>
      </c>
    </row>
    <row r="767" spans="1:7">
      <c r="A767" s="1">
        <v>45746</v>
      </c>
      <c r="B767" s="6">
        <v>0.73888888888888893</v>
      </c>
      <c r="C767" t="s">
        <v>23</v>
      </c>
      <c r="D767" s="7">
        <f t="shared" si="33"/>
        <v>45746.738888888889</v>
      </c>
      <c r="E767" t="str">
        <f t="shared" si="34"/>
        <v>30-03-2025 to 05-04-2025</v>
      </c>
      <c r="F767" t="str">
        <f>IF(COUNTIF('Top5'!I:I, G767) &gt; 0, "Yes", "No")</f>
        <v>No</v>
      </c>
      <c r="G767" t="str">
        <f t="shared" si="35"/>
        <v>30-03-2025 to 05-04-2025</v>
      </c>
    </row>
    <row r="768" spans="1:7">
      <c r="A768" s="1">
        <v>45746</v>
      </c>
      <c r="B768" s="6">
        <v>0.95763888888888893</v>
      </c>
      <c r="C768" t="s">
        <v>23</v>
      </c>
      <c r="D768" s="7">
        <f t="shared" si="33"/>
        <v>45746.957638888889</v>
      </c>
      <c r="E768" t="str">
        <f t="shared" si="34"/>
        <v>30-03-2025 to 05-04-2025</v>
      </c>
      <c r="F768" t="str">
        <f>IF(COUNTIF('Top5'!I:I, G768) &gt; 0, "Yes", "No")</f>
        <v>No</v>
      </c>
      <c r="G768" t="str">
        <f t="shared" si="35"/>
        <v>30-03-2025 to 05-04-2025</v>
      </c>
    </row>
    <row r="769" spans="1:7">
      <c r="A769" s="1">
        <v>45746</v>
      </c>
      <c r="B769" s="6">
        <v>0.98958333333333337</v>
      </c>
      <c r="C769" t="s">
        <v>23</v>
      </c>
      <c r="D769" s="7">
        <f t="shared" si="33"/>
        <v>45746.989583333336</v>
      </c>
      <c r="E769" t="str">
        <f t="shared" si="34"/>
        <v>30-03-2025 to 05-04-2025</v>
      </c>
      <c r="F769" t="str">
        <f>IF(COUNTIF('Top5'!I:I, G769) &gt; 0, "Yes", "No")</f>
        <v>No</v>
      </c>
      <c r="G769" t="str">
        <f t="shared" si="35"/>
        <v>30-03-2025 to 05-04-2025</v>
      </c>
    </row>
    <row r="770" spans="1:7">
      <c r="A770" s="1">
        <v>45746</v>
      </c>
      <c r="B770" s="6">
        <v>0.99027777777777781</v>
      </c>
      <c r="C770" t="s">
        <v>23</v>
      </c>
      <c r="D770" s="7">
        <f t="shared" si="33"/>
        <v>45746.990277777775</v>
      </c>
      <c r="E770" t="str">
        <f t="shared" si="34"/>
        <v>30-03-2025 to 05-04-2025</v>
      </c>
      <c r="F770" t="str">
        <f>IF(COUNTIF('Top5'!I:I, G770) &gt; 0, "Yes", "No")</f>
        <v>No</v>
      </c>
      <c r="G770" t="str">
        <f t="shared" si="35"/>
        <v>30-03-2025 to 05-04-2025</v>
      </c>
    </row>
    <row r="771" spans="1:7">
      <c r="A771" s="1">
        <v>45747</v>
      </c>
      <c r="B771" s="6">
        <v>0.62013888888888891</v>
      </c>
      <c r="C771" t="s">
        <v>22</v>
      </c>
      <c r="D771" s="7">
        <f t="shared" ref="D771:D834" si="36">VALUE(A771) + VALUE(B771)</f>
        <v>45747.620138888888</v>
      </c>
      <c r="E771" t="str">
        <f t="shared" ref="E771:E834" si="37">TEXT(D771, "dd-mm-yyyy") &amp; " to " &amp; TEXT(D771+6, "dd-mm-yyyy")</f>
        <v>31-03-2025 to 06-04-2025</v>
      </c>
      <c r="F771" t="str">
        <f>IF(COUNTIF('Top5'!I:I, G771) &gt; 0, "Yes", "No")</f>
        <v>No</v>
      </c>
      <c r="G771" t="str">
        <f t="shared" ref="G771:G834" si="38">TRIM(E771)</f>
        <v>31-03-2025 to 06-04-2025</v>
      </c>
    </row>
    <row r="772" spans="1:7">
      <c r="A772" s="1">
        <v>45747</v>
      </c>
      <c r="B772" s="6">
        <v>0.89722222222222225</v>
      </c>
      <c r="C772" t="s">
        <v>23</v>
      </c>
      <c r="D772" s="7">
        <f t="shared" si="36"/>
        <v>45747.897222222222</v>
      </c>
      <c r="E772" t="str">
        <f t="shared" si="37"/>
        <v>31-03-2025 to 06-04-2025</v>
      </c>
      <c r="F772" t="str">
        <f>IF(COUNTIF('Top5'!I:I, G772) &gt; 0, "Yes", "No")</f>
        <v>No</v>
      </c>
      <c r="G772" t="str">
        <f t="shared" si="38"/>
        <v>31-03-2025 to 06-04-2025</v>
      </c>
    </row>
    <row r="773" spans="1:7">
      <c r="A773" s="1">
        <v>45747</v>
      </c>
      <c r="B773" s="6">
        <v>0.91805555555555551</v>
      </c>
      <c r="C773" t="s">
        <v>23</v>
      </c>
      <c r="D773" s="7">
        <f t="shared" si="36"/>
        <v>45747.918055555558</v>
      </c>
      <c r="E773" t="str">
        <f t="shared" si="37"/>
        <v>31-03-2025 to 06-04-2025</v>
      </c>
      <c r="F773" t="str">
        <f>IF(COUNTIF('Top5'!I:I, G773) &gt; 0, "Yes", "No")</f>
        <v>No</v>
      </c>
      <c r="G773" t="str">
        <f t="shared" si="38"/>
        <v>31-03-2025 to 06-04-2025</v>
      </c>
    </row>
    <row r="774" spans="1:7">
      <c r="A774" s="1">
        <v>45747</v>
      </c>
      <c r="B774" s="6">
        <v>0.92361111111111116</v>
      </c>
      <c r="C774" t="s">
        <v>23</v>
      </c>
      <c r="D774" s="7">
        <f t="shared" si="36"/>
        <v>45747.923611111109</v>
      </c>
      <c r="E774" t="str">
        <f t="shared" si="37"/>
        <v>31-03-2025 to 06-04-2025</v>
      </c>
      <c r="F774" t="str">
        <f>IF(COUNTIF('Top5'!I:I, G774) &gt; 0, "Yes", "No")</f>
        <v>No</v>
      </c>
      <c r="G774" t="str">
        <f t="shared" si="38"/>
        <v>31-03-2025 to 06-04-2025</v>
      </c>
    </row>
    <row r="775" spans="1:7">
      <c r="A775" s="1">
        <v>45748</v>
      </c>
      <c r="B775" s="6">
        <v>0.40902777777777777</v>
      </c>
      <c r="C775" t="s">
        <v>22</v>
      </c>
      <c r="D775" s="7">
        <f t="shared" si="36"/>
        <v>45748.40902777778</v>
      </c>
      <c r="E775" t="str">
        <f t="shared" si="37"/>
        <v>01-04-2025 to 07-04-2025</v>
      </c>
      <c r="F775" t="str">
        <f>IF(COUNTIF('Top5'!I:I, G775) &gt; 0, "Yes", "No")</f>
        <v>Yes</v>
      </c>
      <c r="G775" t="str">
        <f t="shared" si="38"/>
        <v>01-04-2025 to 07-04-2025</v>
      </c>
    </row>
    <row r="776" spans="1:7">
      <c r="A776" s="1">
        <v>45748</v>
      </c>
      <c r="B776" s="6">
        <v>0.40972222222222221</v>
      </c>
      <c r="C776" t="s">
        <v>22</v>
      </c>
      <c r="D776" s="7">
        <f t="shared" si="36"/>
        <v>45748.409722222219</v>
      </c>
      <c r="E776" t="str">
        <f t="shared" si="37"/>
        <v>01-04-2025 to 07-04-2025</v>
      </c>
      <c r="F776" t="str">
        <f>IF(COUNTIF('Top5'!I:I, G776) &gt; 0, "Yes", "No")</f>
        <v>Yes</v>
      </c>
      <c r="G776" t="str">
        <f t="shared" si="38"/>
        <v>01-04-2025 to 07-04-2025</v>
      </c>
    </row>
    <row r="777" spans="1:7">
      <c r="A777" s="1">
        <v>45748</v>
      </c>
      <c r="B777" s="6">
        <v>0.41041666666666665</v>
      </c>
      <c r="C777" t="s">
        <v>22</v>
      </c>
      <c r="D777" s="7">
        <f t="shared" si="36"/>
        <v>45748.410416666666</v>
      </c>
      <c r="E777" t="str">
        <f t="shared" si="37"/>
        <v>01-04-2025 to 07-04-2025</v>
      </c>
      <c r="F777" t="str">
        <f>IF(COUNTIF('Top5'!I:I, G777) &gt; 0, "Yes", "No")</f>
        <v>Yes</v>
      </c>
      <c r="G777" t="str">
        <f t="shared" si="38"/>
        <v>01-04-2025 to 07-04-2025</v>
      </c>
    </row>
    <row r="778" spans="1:7">
      <c r="A778" s="1">
        <v>45748</v>
      </c>
      <c r="B778" s="6">
        <v>0.70208333333333328</v>
      </c>
      <c r="C778" t="s">
        <v>22</v>
      </c>
      <c r="D778" s="7">
        <f t="shared" si="36"/>
        <v>45748.70208333333</v>
      </c>
      <c r="E778" t="str">
        <f t="shared" si="37"/>
        <v>01-04-2025 to 07-04-2025</v>
      </c>
      <c r="F778" t="str">
        <f>IF(COUNTIF('Top5'!I:I, G778) &gt; 0, "Yes", "No")</f>
        <v>Yes</v>
      </c>
      <c r="G778" t="str">
        <f t="shared" si="38"/>
        <v>01-04-2025 to 07-04-2025</v>
      </c>
    </row>
    <row r="779" spans="1:7">
      <c r="A779" s="1">
        <v>45749</v>
      </c>
      <c r="B779" s="6">
        <v>0.66180555555555554</v>
      </c>
      <c r="C779" t="s">
        <v>22</v>
      </c>
      <c r="D779" s="7">
        <f t="shared" si="36"/>
        <v>45749.661805555559</v>
      </c>
      <c r="E779" t="str">
        <f t="shared" si="37"/>
        <v>02-04-2025 to 08-04-2025</v>
      </c>
      <c r="F779" t="str">
        <f>IF(COUNTIF('Top5'!I:I, G779) &gt; 0, "Yes", "No")</f>
        <v>No</v>
      </c>
      <c r="G779" t="str">
        <f t="shared" si="38"/>
        <v>02-04-2025 to 08-04-2025</v>
      </c>
    </row>
    <row r="780" spans="1:7">
      <c r="A780" s="1">
        <v>45749</v>
      </c>
      <c r="B780" s="6">
        <v>0.66319444444444442</v>
      </c>
      <c r="C780" t="s">
        <v>22</v>
      </c>
      <c r="D780" s="7">
        <f t="shared" si="36"/>
        <v>45749.663194444445</v>
      </c>
      <c r="E780" t="str">
        <f t="shared" si="37"/>
        <v>02-04-2025 to 08-04-2025</v>
      </c>
      <c r="F780" t="str">
        <f>IF(COUNTIF('Top5'!I:I, G780) &gt; 0, "Yes", "No")</f>
        <v>No</v>
      </c>
      <c r="G780" t="str">
        <f t="shared" si="38"/>
        <v>02-04-2025 to 08-04-2025</v>
      </c>
    </row>
    <row r="781" spans="1:7">
      <c r="A781" s="1">
        <v>45749</v>
      </c>
      <c r="B781" s="6">
        <v>0.66319444444444442</v>
      </c>
      <c r="C781" t="s">
        <v>22</v>
      </c>
      <c r="D781" s="7">
        <f t="shared" si="36"/>
        <v>45749.663194444445</v>
      </c>
      <c r="E781" t="str">
        <f t="shared" si="37"/>
        <v>02-04-2025 to 08-04-2025</v>
      </c>
      <c r="F781" t="str">
        <f>IF(COUNTIF('Top5'!I:I, G781) &gt; 0, "Yes", "No")</f>
        <v>No</v>
      </c>
      <c r="G781" t="str">
        <f t="shared" si="38"/>
        <v>02-04-2025 to 08-04-2025</v>
      </c>
    </row>
    <row r="782" spans="1:7">
      <c r="A782" s="1">
        <v>45749</v>
      </c>
      <c r="B782" s="6">
        <v>0.90902777777777777</v>
      </c>
      <c r="C782" t="s">
        <v>23</v>
      </c>
      <c r="D782" s="7">
        <f t="shared" si="36"/>
        <v>45749.90902777778</v>
      </c>
      <c r="E782" t="str">
        <f t="shared" si="37"/>
        <v>02-04-2025 to 08-04-2025</v>
      </c>
      <c r="F782" t="str">
        <f>IF(COUNTIF('Top5'!I:I, G782) &gt; 0, "Yes", "No")</f>
        <v>No</v>
      </c>
      <c r="G782" t="str">
        <f t="shared" si="38"/>
        <v>02-04-2025 to 08-04-2025</v>
      </c>
    </row>
    <row r="783" spans="1:7">
      <c r="A783" s="1">
        <v>45750</v>
      </c>
      <c r="B783" s="6">
        <v>0.43263888888888891</v>
      </c>
      <c r="C783" t="s">
        <v>22</v>
      </c>
      <c r="D783" s="7">
        <f t="shared" si="36"/>
        <v>45750.432638888888</v>
      </c>
      <c r="E783" t="str">
        <f t="shared" si="37"/>
        <v>03-04-2025 to 09-04-2025</v>
      </c>
      <c r="F783" t="str">
        <f>IF(COUNTIF('Top5'!I:I, G783) &gt; 0, "Yes", "No")</f>
        <v>No</v>
      </c>
      <c r="G783" t="str">
        <f t="shared" si="38"/>
        <v>03-04-2025 to 09-04-2025</v>
      </c>
    </row>
    <row r="784" spans="1:7">
      <c r="A784" s="1">
        <v>45750</v>
      </c>
      <c r="B784" s="6">
        <v>0.48680555555555555</v>
      </c>
      <c r="C784" t="s">
        <v>22</v>
      </c>
      <c r="D784" s="7">
        <f t="shared" si="36"/>
        <v>45750.486805555556</v>
      </c>
      <c r="E784" t="str">
        <f t="shared" si="37"/>
        <v>03-04-2025 to 09-04-2025</v>
      </c>
      <c r="F784" t="str">
        <f>IF(COUNTIF('Top5'!I:I, G784) &gt; 0, "Yes", "No")</f>
        <v>No</v>
      </c>
      <c r="G784" t="str">
        <f t="shared" si="38"/>
        <v>03-04-2025 to 09-04-2025</v>
      </c>
    </row>
    <row r="785" spans="1:7">
      <c r="A785" s="1">
        <v>45750</v>
      </c>
      <c r="B785" s="6">
        <v>0.50069444444444444</v>
      </c>
      <c r="C785" t="s">
        <v>22</v>
      </c>
      <c r="D785" s="7">
        <f t="shared" si="36"/>
        <v>45750.500694444447</v>
      </c>
      <c r="E785" t="str">
        <f t="shared" si="37"/>
        <v>03-04-2025 to 09-04-2025</v>
      </c>
      <c r="F785" t="str">
        <f>IF(COUNTIF('Top5'!I:I, G785) &gt; 0, "Yes", "No")</f>
        <v>No</v>
      </c>
      <c r="G785" t="str">
        <f t="shared" si="38"/>
        <v>03-04-2025 to 09-04-2025</v>
      </c>
    </row>
    <row r="786" spans="1:7">
      <c r="A786" s="1">
        <v>45750</v>
      </c>
      <c r="B786" s="6">
        <v>0.51111111111111107</v>
      </c>
      <c r="C786" t="s">
        <v>22</v>
      </c>
      <c r="D786" s="7">
        <f t="shared" si="36"/>
        <v>45750.511111111111</v>
      </c>
      <c r="E786" t="str">
        <f t="shared" si="37"/>
        <v>03-04-2025 to 09-04-2025</v>
      </c>
      <c r="F786" t="str">
        <f>IF(COUNTIF('Top5'!I:I, G786) &gt; 0, "Yes", "No")</f>
        <v>No</v>
      </c>
      <c r="G786" t="str">
        <f t="shared" si="38"/>
        <v>03-04-2025 to 09-04-2025</v>
      </c>
    </row>
    <row r="787" spans="1:7">
      <c r="A787" s="1">
        <v>45750</v>
      </c>
      <c r="B787" s="6">
        <v>0.51180555555555551</v>
      </c>
      <c r="C787" t="s">
        <v>22</v>
      </c>
      <c r="D787" s="7">
        <f t="shared" si="36"/>
        <v>45750.511805555558</v>
      </c>
      <c r="E787" t="str">
        <f t="shared" si="37"/>
        <v>03-04-2025 to 09-04-2025</v>
      </c>
      <c r="F787" t="str">
        <f>IF(COUNTIF('Top5'!I:I, G787) &gt; 0, "Yes", "No")</f>
        <v>No</v>
      </c>
      <c r="G787" t="str">
        <f t="shared" si="38"/>
        <v>03-04-2025 to 09-04-2025</v>
      </c>
    </row>
    <row r="788" spans="1:7">
      <c r="A788" s="1">
        <v>45750</v>
      </c>
      <c r="B788" s="6">
        <v>0.57222222222222219</v>
      </c>
      <c r="C788" t="s">
        <v>22</v>
      </c>
      <c r="D788" s="7">
        <f t="shared" si="36"/>
        <v>45750.572222222225</v>
      </c>
      <c r="E788" t="str">
        <f t="shared" si="37"/>
        <v>03-04-2025 to 09-04-2025</v>
      </c>
      <c r="F788" t="str">
        <f>IF(COUNTIF('Top5'!I:I, G788) &gt; 0, "Yes", "No")</f>
        <v>No</v>
      </c>
      <c r="G788" t="str">
        <f t="shared" si="38"/>
        <v>03-04-2025 to 09-04-2025</v>
      </c>
    </row>
    <row r="789" spans="1:7">
      <c r="A789" s="1">
        <v>45750</v>
      </c>
      <c r="B789" s="6">
        <v>0.74375000000000002</v>
      </c>
      <c r="C789" t="s">
        <v>23</v>
      </c>
      <c r="D789" s="7">
        <f t="shared" si="36"/>
        <v>45750.743750000001</v>
      </c>
      <c r="E789" t="str">
        <f t="shared" si="37"/>
        <v>03-04-2025 to 09-04-2025</v>
      </c>
      <c r="F789" t="str">
        <f>IF(COUNTIF('Top5'!I:I, G789) &gt; 0, "Yes", "No")</f>
        <v>No</v>
      </c>
      <c r="G789" t="str">
        <f t="shared" si="38"/>
        <v>03-04-2025 to 09-04-2025</v>
      </c>
    </row>
    <row r="790" spans="1:7">
      <c r="A790" s="1">
        <v>45750</v>
      </c>
      <c r="B790" s="6">
        <v>0.76458333333333328</v>
      </c>
      <c r="C790" t="s">
        <v>23</v>
      </c>
      <c r="D790" s="7">
        <f t="shared" si="36"/>
        <v>45750.76458333333</v>
      </c>
      <c r="E790" t="str">
        <f t="shared" si="37"/>
        <v>03-04-2025 to 09-04-2025</v>
      </c>
      <c r="F790" t="str">
        <f>IF(COUNTIF('Top5'!I:I, G790) &gt; 0, "Yes", "No")</f>
        <v>No</v>
      </c>
      <c r="G790" t="str">
        <f t="shared" si="38"/>
        <v>03-04-2025 to 09-04-2025</v>
      </c>
    </row>
    <row r="791" spans="1:7">
      <c r="A791" s="1">
        <v>45750</v>
      </c>
      <c r="B791" s="6">
        <v>0.77152777777777781</v>
      </c>
      <c r="C791" t="s">
        <v>23</v>
      </c>
      <c r="D791" s="7">
        <f t="shared" si="36"/>
        <v>45750.771527777775</v>
      </c>
      <c r="E791" t="str">
        <f t="shared" si="37"/>
        <v>03-04-2025 to 09-04-2025</v>
      </c>
      <c r="F791" t="str">
        <f>IF(COUNTIF('Top5'!I:I, G791) &gt; 0, "Yes", "No")</f>
        <v>No</v>
      </c>
      <c r="G791" t="str">
        <f t="shared" si="38"/>
        <v>03-04-2025 to 09-04-2025</v>
      </c>
    </row>
    <row r="792" spans="1:7">
      <c r="A792" s="1">
        <v>45750</v>
      </c>
      <c r="B792" s="6">
        <v>0.81736111111111109</v>
      </c>
      <c r="C792" t="s">
        <v>23</v>
      </c>
      <c r="D792" s="7">
        <f t="shared" si="36"/>
        <v>45750.817361111112</v>
      </c>
      <c r="E792" t="str">
        <f t="shared" si="37"/>
        <v>03-04-2025 to 09-04-2025</v>
      </c>
      <c r="F792" t="str">
        <f>IF(COUNTIF('Top5'!I:I, G792) &gt; 0, "Yes", "No")</f>
        <v>No</v>
      </c>
      <c r="G792" t="str">
        <f t="shared" si="38"/>
        <v>03-04-2025 to 09-04-2025</v>
      </c>
    </row>
    <row r="793" spans="1:7">
      <c r="A793" s="1">
        <v>45750</v>
      </c>
      <c r="B793" s="6">
        <v>0.88194444444444442</v>
      </c>
      <c r="C793" t="s">
        <v>23</v>
      </c>
      <c r="D793" s="7">
        <f t="shared" si="36"/>
        <v>45750.881944444445</v>
      </c>
      <c r="E793" t="str">
        <f t="shared" si="37"/>
        <v>03-04-2025 to 09-04-2025</v>
      </c>
      <c r="F793" t="str">
        <f>IF(COUNTIF('Top5'!I:I, G793) &gt; 0, "Yes", "No")</f>
        <v>No</v>
      </c>
      <c r="G793" t="str">
        <f t="shared" si="38"/>
        <v>03-04-2025 to 09-04-2025</v>
      </c>
    </row>
    <row r="794" spans="1:7">
      <c r="A794" s="1">
        <v>45751</v>
      </c>
      <c r="B794" s="6">
        <v>1.1111111111111112E-2</v>
      </c>
      <c r="C794" t="s">
        <v>23</v>
      </c>
      <c r="D794" s="7">
        <f t="shared" si="36"/>
        <v>45751.011111111111</v>
      </c>
      <c r="E794" t="str">
        <f t="shared" si="37"/>
        <v>04-04-2025 to 10-04-2025</v>
      </c>
      <c r="F794" t="str">
        <f>IF(COUNTIF('Top5'!I:I, G794) &gt; 0, "Yes", "No")</f>
        <v>No</v>
      </c>
      <c r="G794" t="str">
        <f t="shared" si="38"/>
        <v>04-04-2025 to 10-04-2025</v>
      </c>
    </row>
    <row r="795" spans="1:7">
      <c r="A795" s="1">
        <v>45751</v>
      </c>
      <c r="B795" s="6">
        <v>1.1111111111111112E-2</v>
      </c>
      <c r="C795" t="s">
        <v>23</v>
      </c>
      <c r="D795" s="7">
        <f t="shared" si="36"/>
        <v>45751.011111111111</v>
      </c>
      <c r="E795" t="str">
        <f t="shared" si="37"/>
        <v>04-04-2025 to 10-04-2025</v>
      </c>
      <c r="F795" t="str">
        <f>IF(COUNTIF('Top5'!I:I, G795) &gt; 0, "Yes", "No")</f>
        <v>No</v>
      </c>
      <c r="G795" t="str">
        <f t="shared" si="38"/>
        <v>04-04-2025 to 10-04-2025</v>
      </c>
    </row>
    <row r="796" spans="1:7">
      <c r="A796" s="1">
        <v>45751</v>
      </c>
      <c r="B796" s="6">
        <v>0.7368055555555556</v>
      </c>
      <c r="C796" t="s">
        <v>23</v>
      </c>
      <c r="D796" s="7">
        <f t="shared" si="36"/>
        <v>45751.736805555556</v>
      </c>
      <c r="E796" t="str">
        <f t="shared" si="37"/>
        <v>04-04-2025 to 10-04-2025</v>
      </c>
      <c r="F796" t="str">
        <f>IF(COUNTIF('Top5'!I:I, G796) &gt; 0, "Yes", "No")</f>
        <v>No</v>
      </c>
      <c r="G796" t="str">
        <f t="shared" si="38"/>
        <v>04-04-2025 to 10-04-2025</v>
      </c>
    </row>
    <row r="797" spans="1:7">
      <c r="A797" s="1">
        <v>45751</v>
      </c>
      <c r="B797" s="6">
        <v>0.89652777777777781</v>
      </c>
      <c r="C797" t="s">
        <v>23</v>
      </c>
      <c r="D797" s="7">
        <f t="shared" si="36"/>
        <v>45751.896527777775</v>
      </c>
      <c r="E797" t="str">
        <f t="shared" si="37"/>
        <v>04-04-2025 to 10-04-2025</v>
      </c>
      <c r="F797" t="str">
        <f>IF(COUNTIF('Top5'!I:I, G797) &gt; 0, "Yes", "No")</f>
        <v>No</v>
      </c>
      <c r="G797" t="str">
        <f t="shared" si="38"/>
        <v>04-04-2025 to 10-04-2025</v>
      </c>
    </row>
    <row r="798" spans="1:7">
      <c r="A798" s="1">
        <v>45752</v>
      </c>
      <c r="B798" s="6">
        <v>0.41944444444444445</v>
      </c>
      <c r="C798" t="s">
        <v>22</v>
      </c>
      <c r="D798" s="7">
        <f t="shared" si="36"/>
        <v>45752.419444444444</v>
      </c>
      <c r="E798" t="str">
        <f t="shared" si="37"/>
        <v>05-04-2025 to 11-04-2025</v>
      </c>
      <c r="F798" t="str">
        <f>IF(COUNTIF('Top5'!I:I, G798) &gt; 0, "Yes", "No")</f>
        <v>No</v>
      </c>
      <c r="G798" t="str">
        <f t="shared" si="38"/>
        <v>05-04-2025 to 11-04-2025</v>
      </c>
    </row>
    <row r="799" spans="1:7">
      <c r="A799" s="1">
        <v>45752</v>
      </c>
      <c r="B799" s="6">
        <v>0.42291666666666666</v>
      </c>
      <c r="C799" t="s">
        <v>22</v>
      </c>
      <c r="D799" s="7">
        <f t="shared" si="36"/>
        <v>45752.42291666667</v>
      </c>
      <c r="E799" t="str">
        <f t="shared" si="37"/>
        <v>05-04-2025 to 11-04-2025</v>
      </c>
      <c r="F799" t="str">
        <f>IF(COUNTIF('Top5'!I:I, G799) &gt; 0, "Yes", "No")</f>
        <v>No</v>
      </c>
      <c r="G799" t="str">
        <f t="shared" si="38"/>
        <v>05-04-2025 to 11-04-2025</v>
      </c>
    </row>
    <row r="800" spans="1:7">
      <c r="A800" s="1">
        <v>45752</v>
      </c>
      <c r="B800" s="6">
        <v>0.49861111111111112</v>
      </c>
      <c r="C800" t="s">
        <v>22</v>
      </c>
      <c r="D800" s="7">
        <f t="shared" si="36"/>
        <v>45752.498611111114</v>
      </c>
      <c r="E800" t="str">
        <f t="shared" si="37"/>
        <v>05-04-2025 to 11-04-2025</v>
      </c>
      <c r="F800" t="str">
        <f>IF(COUNTIF('Top5'!I:I, G800) &gt; 0, "Yes", "No")</f>
        <v>No</v>
      </c>
      <c r="G800" t="str">
        <f t="shared" si="38"/>
        <v>05-04-2025 to 11-04-2025</v>
      </c>
    </row>
    <row r="801" spans="1:7">
      <c r="A801" s="1">
        <v>45752</v>
      </c>
      <c r="B801" s="6">
        <v>0.53402777777777777</v>
      </c>
      <c r="C801" t="s">
        <v>22</v>
      </c>
      <c r="D801" s="7">
        <f t="shared" si="36"/>
        <v>45752.53402777778</v>
      </c>
      <c r="E801" t="str">
        <f t="shared" si="37"/>
        <v>05-04-2025 to 11-04-2025</v>
      </c>
      <c r="F801" t="str">
        <f>IF(COUNTIF('Top5'!I:I, G801) &gt; 0, "Yes", "No")</f>
        <v>No</v>
      </c>
      <c r="G801" t="str">
        <f t="shared" si="38"/>
        <v>05-04-2025 to 11-04-2025</v>
      </c>
    </row>
    <row r="802" spans="1:7">
      <c r="A802" s="1">
        <v>45752</v>
      </c>
      <c r="B802" s="6">
        <v>0.53541666666666665</v>
      </c>
      <c r="C802" t="s">
        <v>22</v>
      </c>
      <c r="D802" s="7">
        <f t="shared" si="36"/>
        <v>45752.535416666666</v>
      </c>
      <c r="E802" t="str">
        <f t="shared" si="37"/>
        <v>05-04-2025 to 11-04-2025</v>
      </c>
      <c r="F802" t="str">
        <f>IF(COUNTIF('Top5'!I:I, G802) &gt; 0, "Yes", "No")</f>
        <v>No</v>
      </c>
      <c r="G802" t="str">
        <f t="shared" si="38"/>
        <v>05-04-2025 to 11-04-2025</v>
      </c>
    </row>
    <row r="803" spans="1:7">
      <c r="A803" s="1">
        <v>45752</v>
      </c>
      <c r="B803" s="6">
        <v>0.53819444444444442</v>
      </c>
      <c r="C803" t="s">
        <v>22</v>
      </c>
      <c r="D803" s="7">
        <f t="shared" si="36"/>
        <v>45752.538194444445</v>
      </c>
      <c r="E803" t="str">
        <f t="shared" si="37"/>
        <v>05-04-2025 to 11-04-2025</v>
      </c>
      <c r="F803" t="str">
        <f>IF(COUNTIF('Top5'!I:I, G803) &gt; 0, "Yes", "No")</f>
        <v>No</v>
      </c>
      <c r="G803" t="str">
        <f t="shared" si="38"/>
        <v>05-04-2025 to 11-04-2025</v>
      </c>
    </row>
    <row r="804" spans="1:7">
      <c r="A804" s="1">
        <v>45752</v>
      </c>
      <c r="B804" s="6">
        <v>0.59930555555555554</v>
      </c>
      <c r="C804" t="s">
        <v>22</v>
      </c>
      <c r="D804" s="7">
        <f t="shared" si="36"/>
        <v>45752.599305555559</v>
      </c>
      <c r="E804" t="str">
        <f t="shared" si="37"/>
        <v>05-04-2025 to 11-04-2025</v>
      </c>
      <c r="F804" t="str">
        <f>IF(COUNTIF('Top5'!I:I, G804) &gt; 0, "Yes", "No")</f>
        <v>No</v>
      </c>
      <c r="G804" t="str">
        <f t="shared" si="38"/>
        <v>05-04-2025 to 11-04-2025</v>
      </c>
    </row>
    <row r="805" spans="1:7">
      <c r="A805" s="1">
        <v>45752</v>
      </c>
      <c r="B805" s="6">
        <v>0.79027777777777775</v>
      </c>
      <c r="C805" t="s">
        <v>23</v>
      </c>
      <c r="D805" s="7">
        <f t="shared" si="36"/>
        <v>45752.790277777778</v>
      </c>
      <c r="E805" t="str">
        <f t="shared" si="37"/>
        <v>05-04-2025 to 11-04-2025</v>
      </c>
      <c r="F805" t="str">
        <f>IF(COUNTIF('Top5'!I:I, G805) &gt; 0, "Yes", "No")</f>
        <v>No</v>
      </c>
      <c r="G805" t="str">
        <f t="shared" si="38"/>
        <v>05-04-2025 to 11-04-2025</v>
      </c>
    </row>
    <row r="806" spans="1:7">
      <c r="A806" s="1">
        <v>45752</v>
      </c>
      <c r="B806" s="6">
        <v>0.87638888888888888</v>
      </c>
      <c r="C806" t="s">
        <v>23</v>
      </c>
      <c r="D806" s="7">
        <f t="shared" si="36"/>
        <v>45752.876388888886</v>
      </c>
      <c r="E806" t="str">
        <f t="shared" si="37"/>
        <v>05-04-2025 to 11-04-2025</v>
      </c>
      <c r="F806" t="str">
        <f>IF(COUNTIF('Top5'!I:I, G806) &gt; 0, "Yes", "No")</f>
        <v>No</v>
      </c>
      <c r="G806" t="str">
        <f t="shared" si="38"/>
        <v>05-04-2025 to 11-04-2025</v>
      </c>
    </row>
    <row r="807" spans="1:7">
      <c r="A807" s="1">
        <v>45752</v>
      </c>
      <c r="B807" s="6">
        <v>0.88055555555555554</v>
      </c>
      <c r="C807" t="s">
        <v>23</v>
      </c>
      <c r="D807" s="7">
        <f t="shared" si="36"/>
        <v>45752.880555555559</v>
      </c>
      <c r="E807" t="str">
        <f t="shared" si="37"/>
        <v>05-04-2025 to 11-04-2025</v>
      </c>
      <c r="F807" t="str">
        <f>IF(COUNTIF('Top5'!I:I, G807) &gt; 0, "Yes", "No")</f>
        <v>No</v>
      </c>
      <c r="G807" t="str">
        <f t="shared" si="38"/>
        <v>05-04-2025 to 11-04-2025</v>
      </c>
    </row>
    <row r="808" spans="1:7">
      <c r="A808" s="1">
        <v>45753</v>
      </c>
      <c r="B808" s="6">
        <v>0.38124999999999998</v>
      </c>
      <c r="C808" t="s">
        <v>22</v>
      </c>
      <c r="D808" s="7">
        <f t="shared" si="36"/>
        <v>45753.381249999999</v>
      </c>
      <c r="E808" t="str">
        <f t="shared" si="37"/>
        <v>06-04-2025 to 12-04-2025</v>
      </c>
      <c r="F808" t="str">
        <f>IF(COUNTIF('Top5'!I:I, G808) &gt; 0, "Yes", "No")</f>
        <v>No</v>
      </c>
      <c r="G808" t="str">
        <f t="shared" si="38"/>
        <v>06-04-2025 to 12-04-2025</v>
      </c>
    </row>
    <row r="809" spans="1:7">
      <c r="A809" s="1">
        <v>45753</v>
      </c>
      <c r="B809" s="6">
        <v>0.38194444444444442</v>
      </c>
      <c r="C809" t="s">
        <v>22</v>
      </c>
      <c r="D809" s="7">
        <f t="shared" si="36"/>
        <v>45753.381944444445</v>
      </c>
      <c r="E809" t="str">
        <f t="shared" si="37"/>
        <v>06-04-2025 to 12-04-2025</v>
      </c>
      <c r="F809" t="str">
        <f>IF(COUNTIF('Top5'!I:I, G809) &gt; 0, "Yes", "No")</f>
        <v>No</v>
      </c>
      <c r="G809" t="str">
        <f t="shared" si="38"/>
        <v>06-04-2025 to 12-04-2025</v>
      </c>
    </row>
    <row r="810" spans="1:7">
      <c r="A810" s="1">
        <v>45753</v>
      </c>
      <c r="B810" s="6">
        <v>0.38263888888888886</v>
      </c>
      <c r="C810" t="s">
        <v>22</v>
      </c>
      <c r="D810" s="7">
        <f t="shared" si="36"/>
        <v>45753.382638888892</v>
      </c>
      <c r="E810" t="str">
        <f t="shared" si="37"/>
        <v>06-04-2025 to 12-04-2025</v>
      </c>
      <c r="F810" t="str">
        <f>IF(COUNTIF('Top5'!I:I, G810) &gt; 0, "Yes", "No")</f>
        <v>No</v>
      </c>
      <c r="G810" t="str">
        <f t="shared" si="38"/>
        <v>06-04-2025 to 12-04-2025</v>
      </c>
    </row>
    <row r="811" spans="1:7">
      <c r="A811" s="1">
        <v>45753</v>
      </c>
      <c r="B811" s="6">
        <v>0.60972222222222228</v>
      </c>
      <c r="C811" t="s">
        <v>22</v>
      </c>
      <c r="D811" s="7">
        <f t="shared" si="36"/>
        <v>45753.609722222223</v>
      </c>
      <c r="E811" t="str">
        <f t="shared" si="37"/>
        <v>06-04-2025 to 12-04-2025</v>
      </c>
      <c r="F811" t="str">
        <f>IF(COUNTIF('Top5'!I:I, G811) &gt; 0, "Yes", "No")</f>
        <v>No</v>
      </c>
      <c r="G811" t="str">
        <f t="shared" si="38"/>
        <v>06-04-2025 to 12-04-2025</v>
      </c>
    </row>
    <row r="812" spans="1:7">
      <c r="A812" s="1">
        <v>45753</v>
      </c>
      <c r="B812" s="6">
        <v>0.69305555555555554</v>
      </c>
      <c r="C812" t="s">
        <v>22</v>
      </c>
      <c r="D812" s="7">
        <f t="shared" si="36"/>
        <v>45753.693055555559</v>
      </c>
      <c r="E812" t="str">
        <f t="shared" si="37"/>
        <v>06-04-2025 to 12-04-2025</v>
      </c>
      <c r="F812" t="str">
        <f>IF(COUNTIF('Top5'!I:I, G812) &gt; 0, "Yes", "No")</f>
        <v>No</v>
      </c>
      <c r="G812" t="str">
        <f t="shared" si="38"/>
        <v>06-04-2025 to 12-04-2025</v>
      </c>
    </row>
    <row r="813" spans="1:7">
      <c r="A813" s="1">
        <v>45753</v>
      </c>
      <c r="B813" s="6">
        <v>0.69652777777777775</v>
      </c>
      <c r="C813" t="s">
        <v>22</v>
      </c>
      <c r="D813" s="7">
        <f t="shared" si="36"/>
        <v>45753.696527777778</v>
      </c>
      <c r="E813" t="str">
        <f t="shared" si="37"/>
        <v>06-04-2025 to 12-04-2025</v>
      </c>
      <c r="F813" t="str">
        <f>IF(COUNTIF('Top5'!I:I, G813) &gt; 0, "Yes", "No")</f>
        <v>No</v>
      </c>
      <c r="G813" t="str">
        <f t="shared" si="38"/>
        <v>06-04-2025 to 12-04-2025</v>
      </c>
    </row>
    <row r="814" spans="1:7">
      <c r="A814" s="1">
        <v>45753</v>
      </c>
      <c r="B814" s="6">
        <v>0.98402777777777772</v>
      </c>
      <c r="C814" t="s">
        <v>23</v>
      </c>
      <c r="D814" s="7">
        <f t="shared" si="36"/>
        <v>45753.984027777777</v>
      </c>
      <c r="E814" t="str">
        <f t="shared" si="37"/>
        <v>06-04-2025 to 12-04-2025</v>
      </c>
      <c r="F814" t="str">
        <f>IF(COUNTIF('Top5'!I:I, G814) &gt; 0, "Yes", "No")</f>
        <v>No</v>
      </c>
      <c r="G814" t="str">
        <f t="shared" si="38"/>
        <v>06-04-2025 to 12-04-2025</v>
      </c>
    </row>
    <row r="815" spans="1:7">
      <c r="A815" s="1">
        <v>45753</v>
      </c>
      <c r="B815" s="6">
        <v>0.99097222222222225</v>
      </c>
      <c r="C815" t="s">
        <v>23</v>
      </c>
      <c r="D815" s="7">
        <f t="shared" si="36"/>
        <v>45753.990972222222</v>
      </c>
      <c r="E815" t="str">
        <f t="shared" si="37"/>
        <v>06-04-2025 to 12-04-2025</v>
      </c>
      <c r="F815" t="str">
        <f>IF(COUNTIF('Top5'!I:I, G815) &gt; 0, "Yes", "No")</f>
        <v>No</v>
      </c>
      <c r="G815" t="str">
        <f t="shared" si="38"/>
        <v>06-04-2025 to 12-04-2025</v>
      </c>
    </row>
    <row r="816" spans="1:7">
      <c r="A816" s="1">
        <v>45753</v>
      </c>
      <c r="B816" s="6">
        <v>0.99236111111111114</v>
      </c>
      <c r="C816" t="s">
        <v>23</v>
      </c>
      <c r="D816" s="7">
        <f t="shared" si="36"/>
        <v>45753.992361111108</v>
      </c>
      <c r="E816" t="str">
        <f t="shared" si="37"/>
        <v>06-04-2025 to 12-04-2025</v>
      </c>
      <c r="F816" t="str">
        <f>IF(COUNTIF('Top5'!I:I, G816) &gt; 0, "Yes", "No")</f>
        <v>No</v>
      </c>
      <c r="G816" t="str">
        <f t="shared" si="38"/>
        <v>06-04-2025 to 12-04-2025</v>
      </c>
    </row>
    <row r="817" spans="1:7">
      <c r="A817" s="1">
        <v>45753</v>
      </c>
      <c r="B817" s="6">
        <v>0.99375000000000002</v>
      </c>
      <c r="C817" t="s">
        <v>23</v>
      </c>
      <c r="D817" s="7">
        <f t="shared" si="36"/>
        <v>45753.993750000001</v>
      </c>
      <c r="E817" t="str">
        <f t="shared" si="37"/>
        <v>06-04-2025 to 12-04-2025</v>
      </c>
      <c r="F817" t="str">
        <f>IF(COUNTIF('Top5'!I:I, G817) &gt; 0, "Yes", "No")</f>
        <v>No</v>
      </c>
      <c r="G817" t="str">
        <f t="shared" si="38"/>
        <v>06-04-2025 to 12-04-2025</v>
      </c>
    </row>
    <row r="818" spans="1:7">
      <c r="A818" s="1">
        <v>45753</v>
      </c>
      <c r="B818" s="6">
        <v>0.99513888888888891</v>
      </c>
      <c r="C818" t="s">
        <v>23</v>
      </c>
      <c r="D818" s="7">
        <f t="shared" si="36"/>
        <v>45753.995138888888</v>
      </c>
      <c r="E818" t="str">
        <f t="shared" si="37"/>
        <v>06-04-2025 to 12-04-2025</v>
      </c>
      <c r="F818" t="str">
        <f>IF(COUNTIF('Top5'!I:I, G818) &gt; 0, "Yes", "No")</f>
        <v>No</v>
      </c>
      <c r="G818" t="str">
        <f t="shared" si="38"/>
        <v>06-04-2025 to 12-04-2025</v>
      </c>
    </row>
    <row r="819" spans="1:7">
      <c r="A819" s="1">
        <v>45754</v>
      </c>
      <c r="B819" s="6">
        <v>1.3888888888888889E-3</v>
      </c>
      <c r="C819" t="s">
        <v>23</v>
      </c>
      <c r="D819" s="7">
        <f t="shared" si="36"/>
        <v>45754.001388888886</v>
      </c>
      <c r="E819" t="str">
        <f t="shared" si="37"/>
        <v>07-04-2025 to 13-04-2025</v>
      </c>
      <c r="F819" t="str">
        <f>IF(COUNTIF('Top5'!I:I, G819) &gt; 0, "Yes", "No")</f>
        <v>No</v>
      </c>
      <c r="G819" t="str">
        <f t="shared" si="38"/>
        <v>07-04-2025 to 13-04-2025</v>
      </c>
    </row>
    <row r="820" spans="1:7">
      <c r="A820" s="1">
        <v>45754</v>
      </c>
      <c r="B820" s="6">
        <v>7.6388888888888886E-3</v>
      </c>
      <c r="C820" t="s">
        <v>23</v>
      </c>
      <c r="D820" s="7">
        <f t="shared" si="36"/>
        <v>45754.007638888892</v>
      </c>
      <c r="E820" t="str">
        <f t="shared" si="37"/>
        <v>07-04-2025 to 13-04-2025</v>
      </c>
      <c r="F820" t="str">
        <f>IF(COUNTIF('Top5'!I:I, G820) &gt; 0, "Yes", "No")</f>
        <v>No</v>
      </c>
      <c r="G820" t="str">
        <f t="shared" si="38"/>
        <v>07-04-2025 to 13-04-2025</v>
      </c>
    </row>
    <row r="821" spans="1:7">
      <c r="A821" s="1">
        <v>45754</v>
      </c>
      <c r="B821" s="6">
        <v>0.75138888888888888</v>
      </c>
      <c r="C821" t="s">
        <v>23</v>
      </c>
      <c r="D821" s="7">
        <f t="shared" si="36"/>
        <v>45754.751388888886</v>
      </c>
      <c r="E821" t="str">
        <f t="shared" si="37"/>
        <v>07-04-2025 to 13-04-2025</v>
      </c>
      <c r="F821" t="str">
        <f>IF(COUNTIF('Top5'!I:I, G821) &gt; 0, "Yes", "No")</f>
        <v>No</v>
      </c>
      <c r="G821" t="str">
        <f t="shared" si="38"/>
        <v>07-04-2025 to 13-04-2025</v>
      </c>
    </row>
    <row r="822" spans="1:7">
      <c r="A822" s="1">
        <v>45754</v>
      </c>
      <c r="B822" s="6">
        <v>0.75416666666666665</v>
      </c>
      <c r="C822" t="s">
        <v>23</v>
      </c>
      <c r="D822" s="7">
        <f t="shared" si="36"/>
        <v>45754.754166666666</v>
      </c>
      <c r="E822" t="str">
        <f t="shared" si="37"/>
        <v>07-04-2025 to 13-04-2025</v>
      </c>
      <c r="F822" t="str">
        <f>IF(COUNTIF('Top5'!I:I, G822) &gt; 0, "Yes", "No")</f>
        <v>No</v>
      </c>
      <c r="G822" t="str">
        <f t="shared" si="38"/>
        <v>07-04-2025 to 13-04-2025</v>
      </c>
    </row>
    <row r="823" spans="1:7">
      <c r="A823" s="1">
        <v>45754</v>
      </c>
      <c r="B823" s="6">
        <v>0.77986111111111112</v>
      </c>
      <c r="C823" t="s">
        <v>23</v>
      </c>
      <c r="D823" s="7">
        <f t="shared" si="36"/>
        <v>45754.779861111114</v>
      </c>
      <c r="E823" t="str">
        <f t="shared" si="37"/>
        <v>07-04-2025 to 13-04-2025</v>
      </c>
      <c r="F823" t="str">
        <f>IF(COUNTIF('Top5'!I:I, G823) &gt; 0, "Yes", "No")</f>
        <v>No</v>
      </c>
      <c r="G823" t="str">
        <f t="shared" si="38"/>
        <v>07-04-2025 to 13-04-2025</v>
      </c>
    </row>
    <row r="824" spans="1:7">
      <c r="A824" s="1">
        <v>45754</v>
      </c>
      <c r="B824" s="6">
        <v>0.98124999999999996</v>
      </c>
      <c r="C824" t="s">
        <v>23</v>
      </c>
      <c r="D824" s="7">
        <f t="shared" si="36"/>
        <v>45754.981249999997</v>
      </c>
      <c r="E824" t="str">
        <f t="shared" si="37"/>
        <v>07-04-2025 to 13-04-2025</v>
      </c>
      <c r="F824" t="str">
        <f>IF(COUNTIF('Top5'!I:I, G824) &gt; 0, "Yes", "No")</f>
        <v>No</v>
      </c>
      <c r="G824" t="str">
        <f t="shared" si="38"/>
        <v>07-04-2025 to 13-04-2025</v>
      </c>
    </row>
    <row r="825" spans="1:7">
      <c r="A825" s="1">
        <v>45754</v>
      </c>
      <c r="B825" s="6">
        <v>0.9819444444444444</v>
      </c>
      <c r="C825" t="s">
        <v>23</v>
      </c>
      <c r="D825" s="7">
        <f t="shared" si="36"/>
        <v>45754.981944444444</v>
      </c>
      <c r="E825" t="str">
        <f t="shared" si="37"/>
        <v>07-04-2025 to 13-04-2025</v>
      </c>
      <c r="F825" t="str">
        <f>IF(COUNTIF('Top5'!I:I, G825) &gt; 0, "Yes", "No")</f>
        <v>No</v>
      </c>
      <c r="G825" t="str">
        <f t="shared" si="38"/>
        <v>07-04-2025 to 13-04-2025</v>
      </c>
    </row>
    <row r="826" spans="1:7">
      <c r="A826" s="1">
        <v>45754</v>
      </c>
      <c r="B826" s="6">
        <v>0.98263888888888884</v>
      </c>
      <c r="C826" t="s">
        <v>23</v>
      </c>
      <c r="D826" s="7">
        <f t="shared" si="36"/>
        <v>45754.982638888891</v>
      </c>
      <c r="E826" t="str">
        <f t="shared" si="37"/>
        <v>07-04-2025 to 13-04-2025</v>
      </c>
      <c r="F826" t="str">
        <f>IF(COUNTIF('Top5'!I:I, G826) &gt; 0, "Yes", "No")</f>
        <v>No</v>
      </c>
      <c r="G826" t="str">
        <f t="shared" si="38"/>
        <v>07-04-2025 to 13-04-2025</v>
      </c>
    </row>
    <row r="827" spans="1:7">
      <c r="A827" s="1">
        <v>45755</v>
      </c>
      <c r="B827" s="6">
        <v>0.4375</v>
      </c>
      <c r="C827" t="s">
        <v>22</v>
      </c>
      <c r="D827" s="7">
        <f t="shared" si="36"/>
        <v>45755.4375</v>
      </c>
      <c r="E827" t="str">
        <f t="shared" si="37"/>
        <v>08-04-2025 to 14-04-2025</v>
      </c>
      <c r="F827" t="str">
        <f>IF(COUNTIF('Top5'!I:I, G827) &gt; 0, "Yes", "No")</f>
        <v>No</v>
      </c>
      <c r="G827" t="str">
        <f t="shared" si="38"/>
        <v>08-04-2025 to 14-04-2025</v>
      </c>
    </row>
    <row r="828" spans="1:7">
      <c r="A828" s="1">
        <v>45755</v>
      </c>
      <c r="B828" s="6">
        <v>0.4513888888888889</v>
      </c>
      <c r="C828" t="s">
        <v>22</v>
      </c>
      <c r="D828" s="7">
        <f t="shared" si="36"/>
        <v>45755.451388888891</v>
      </c>
      <c r="E828" t="str">
        <f t="shared" si="37"/>
        <v>08-04-2025 to 14-04-2025</v>
      </c>
      <c r="F828" t="str">
        <f>IF(COUNTIF('Top5'!I:I, G828) &gt; 0, "Yes", "No")</f>
        <v>No</v>
      </c>
      <c r="G828" t="str">
        <f t="shared" si="38"/>
        <v>08-04-2025 to 14-04-2025</v>
      </c>
    </row>
    <row r="829" spans="1:7">
      <c r="A829" s="1">
        <v>45755</v>
      </c>
      <c r="B829" s="6">
        <v>0.5541666666666667</v>
      </c>
      <c r="C829" t="s">
        <v>22</v>
      </c>
      <c r="D829" s="7">
        <f t="shared" si="36"/>
        <v>45755.554166666669</v>
      </c>
      <c r="E829" t="str">
        <f t="shared" si="37"/>
        <v>08-04-2025 to 14-04-2025</v>
      </c>
      <c r="F829" t="str">
        <f>IF(COUNTIF('Top5'!I:I, G829) &gt; 0, "Yes", "No")</f>
        <v>No</v>
      </c>
      <c r="G829" t="str">
        <f t="shared" si="38"/>
        <v>08-04-2025 to 14-04-2025</v>
      </c>
    </row>
    <row r="830" spans="1:7">
      <c r="A830" s="1">
        <v>45755</v>
      </c>
      <c r="B830" s="6">
        <v>0.5805555555555556</v>
      </c>
      <c r="C830" t="s">
        <v>22</v>
      </c>
      <c r="D830" s="7">
        <f t="shared" si="36"/>
        <v>45755.580555555556</v>
      </c>
      <c r="E830" t="str">
        <f t="shared" si="37"/>
        <v>08-04-2025 to 14-04-2025</v>
      </c>
      <c r="F830" t="str">
        <f>IF(COUNTIF('Top5'!I:I, G830) &gt; 0, "Yes", "No")</f>
        <v>No</v>
      </c>
      <c r="G830" t="str">
        <f t="shared" si="38"/>
        <v>08-04-2025 to 14-04-2025</v>
      </c>
    </row>
    <row r="831" spans="1:7">
      <c r="A831" s="1">
        <v>45755</v>
      </c>
      <c r="B831" s="6">
        <v>0.73750000000000004</v>
      </c>
      <c r="C831" t="s">
        <v>23</v>
      </c>
      <c r="D831" s="7">
        <f t="shared" si="36"/>
        <v>45755.737500000003</v>
      </c>
      <c r="E831" t="str">
        <f t="shared" si="37"/>
        <v>08-04-2025 to 14-04-2025</v>
      </c>
      <c r="F831" t="str">
        <f>IF(COUNTIF('Top5'!I:I, G831) &gt; 0, "Yes", "No")</f>
        <v>No</v>
      </c>
      <c r="G831" t="str">
        <f t="shared" si="38"/>
        <v>08-04-2025 to 14-04-2025</v>
      </c>
    </row>
    <row r="832" spans="1:7">
      <c r="A832" s="1">
        <v>45755</v>
      </c>
      <c r="B832" s="6">
        <v>0.94791666666666663</v>
      </c>
      <c r="C832" t="s">
        <v>23</v>
      </c>
      <c r="D832" s="7">
        <f t="shared" si="36"/>
        <v>45755.947916666664</v>
      </c>
      <c r="E832" t="str">
        <f t="shared" si="37"/>
        <v>08-04-2025 to 14-04-2025</v>
      </c>
      <c r="F832" t="str">
        <f>IF(COUNTIF('Top5'!I:I, G832) &gt; 0, "Yes", "No")</f>
        <v>No</v>
      </c>
      <c r="G832" t="str">
        <f t="shared" si="38"/>
        <v>08-04-2025 to 14-04-2025</v>
      </c>
    </row>
    <row r="833" spans="1:7">
      <c r="A833" s="1">
        <v>45755</v>
      </c>
      <c r="B833" s="6">
        <v>0.94861111111111107</v>
      </c>
      <c r="C833" t="s">
        <v>23</v>
      </c>
      <c r="D833" s="7">
        <f t="shared" si="36"/>
        <v>45755.948611111111</v>
      </c>
      <c r="E833" t="str">
        <f t="shared" si="37"/>
        <v>08-04-2025 to 14-04-2025</v>
      </c>
      <c r="F833" t="str">
        <f>IF(COUNTIF('Top5'!I:I, G833) &gt; 0, "Yes", "No")</f>
        <v>No</v>
      </c>
      <c r="G833" t="str">
        <f t="shared" si="38"/>
        <v>08-04-2025 to 14-04-2025</v>
      </c>
    </row>
    <row r="834" spans="1:7">
      <c r="A834" s="1">
        <v>45756</v>
      </c>
      <c r="B834" s="6">
        <v>0.375</v>
      </c>
      <c r="C834" t="s">
        <v>22</v>
      </c>
      <c r="D834" s="7">
        <f t="shared" si="36"/>
        <v>45756.375</v>
      </c>
      <c r="E834" t="str">
        <f t="shared" si="37"/>
        <v>09-04-2025 to 15-04-2025</v>
      </c>
      <c r="F834" t="str">
        <f>IF(COUNTIF('Top5'!I:I, G834) &gt; 0, "Yes", "No")</f>
        <v>No</v>
      </c>
      <c r="G834" t="str">
        <f t="shared" si="38"/>
        <v>09-04-2025 to 15-04-2025</v>
      </c>
    </row>
    <row r="835" spans="1:7">
      <c r="A835" s="1">
        <v>45756</v>
      </c>
      <c r="B835" s="6">
        <v>0.41388888888888886</v>
      </c>
      <c r="C835" t="s">
        <v>22</v>
      </c>
      <c r="D835" s="7">
        <f t="shared" ref="D835:D898" si="39">VALUE(A835) + VALUE(B835)</f>
        <v>45756.413888888892</v>
      </c>
      <c r="E835" t="str">
        <f t="shared" ref="E835:E898" si="40">TEXT(D835, "dd-mm-yyyy") &amp; " to " &amp; TEXT(D835+6, "dd-mm-yyyy")</f>
        <v>09-04-2025 to 15-04-2025</v>
      </c>
      <c r="F835" t="str">
        <f>IF(COUNTIF('Top5'!I:I, G835) &gt; 0, "Yes", "No")</f>
        <v>No</v>
      </c>
      <c r="G835" t="str">
        <f t="shared" ref="G835:G898" si="41">TRIM(E835)</f>
        <v>09-04-2025 to 15-04-2025</v>
      </c>
    </row>
    <row r="836" spans="1:7">
      <c r="A836" s="1">
        <v>45756</v>
      </c>
      <c r="B836" s="6">
        <v>0.41458333333333336</v>
      </c>
      <c r="C836" t="s">
        <v>22</v>
      </c>
      <c r="D836" s="7">
        <f t="shared" si="39"/>
        <v>45756.414583333331</v>
      </c>
      <c r="E836" t="str">
        <f t="shared" si="40"/>
        <v>09-04-2025 to 15-04-2025</v>
      </c>
      <c r="F836" t="str">
        <f>IF(COUNTIF('Top5'!I:I, G836) &gt; 0, "Yes", "No")</f>
        <v>No</v>
      </c>
      <c r="G836" t="str">
        <f t="shared" si="41"/>
        <v>09-04-2025 to 15-04-2025</v>
      </c>
    </row>
    <row r="837" spans="1:7">
      <c r="A837" s="1">
        <v>45756</v>
      </c>
      <c r="B837" s="6">
        <v>0.4152777777777778</v>
      </c>
      <c r="C837" t="s">
        <v>22</v>
      </c>
      <c r="D837" s="7">
        <f t="shared" si="39"/>
        <v>45756.415277777778</v>
      </c>
      <c r="E837" t="str">
        <f t="shared" si="40"/>
        <v>09-04-2025 to 15-04-2025</v>
      </c>
      <c r="F837" t="str">
        <f>IF(COUNTIF('Top5'!I:I, G837) &gt; 0, "Yes", "No")</f>
        <v>No</v>
      </c>
      <c r="G837" t="str">
        <f t="shared" si="41"/>
        <v>09-04-2025 to 15-04-2025</v>
      </c>
    </row>
    <row r="838" spans="1:7">
      <c r="A838" s="1">
        <v>45756</v>
      </c>
      <c r="B838" s="6">
        <v>0.42083333333333334</v>
      </c>
      <c r="C838" t="s">
        <v>22</v>
      </c>
      <c r="D838" s="7">
        <f t="shared" si="39"/>
        <v>45756.42083333333</v>
      </c>
      <c r="E838" t="str">
        <f t="shared" si="40"/>
        <v>09-04-2025 to 15-04-2025</v>
      </c>
      <c r="F838" t="str">
        <f>IF(COUNTIF('Top5'!I:I, G838) &gt; 0, "Yes", "No")</f>
        <v>No</v>
      </c>
      <c r="G838" t="str">
        <f t="shared" si="41"/>
        <v>09-04-2025 to 15-04-2025</v>
      </c>
    </row>
    <row r="839" spans="1:7">
      <c r="A839" s="1">
        <v>45756</v>
      </c>
      <c r="B839" s="6">
        <v>0.42499999999999999</v>
      </c>
      <c r="C839" t="s">
        <v>22</v>
      </c>
      <c r="D839" s="7">
        <f t="shared" si="39"/>
        <v>45756.425000000003</v>
      </c>
      <c r="E839" t="str">
        <f t="shared" si="40"/>
        <v>09-04-2025 to 15-04-2025</v>
      </c>
      <c r="F839" t="str">
        <f>IF(COUNTIF('Top5'!I:I, G839) &gt; 0, "Yes", "No")</f>
        <v>No</v>
      </c>
      <c r="G839" t="str">
        <f t="shared" si="41"/>
        <v>09-04-2025 to 15-04-2025</v>
      </c>
    </row>
    <row r="840" spans="1:7">
      <c r="A840" s="1">
        <v>45756</v>
      </c>
      <c r="B840" s="6">
        <v>0.51458333333333328</v>
      </c>
      <c r="C840" t="s">
        <v>22</v>
      </c>
      <c r="D840" s="7">
        <f t="shared" si="39"/>
        <v>45756.51458333333</v>
      </c>
      <c r="E840" t="str">
        <f t="shared" si="40"/>
        <v>09-04-2025 to 15-04-2025</v>
      </c>
      <c r="F840" t="str">
        <f>IF(COUNTIF('Top5'!I:I, G840) &gt; 0, "Yes", "No")</f>
        <v>No</v>
      </c>
      <c r="G840" t="str">
        <f t="shared" si="41"/>
        <v>09-04-2025 to 15-04-2025</v>
      </c>
    </row>
    <row r="841" spans="1:7">
      <c r="A841" s="1">
        <v>45756</v>
      </c>
      <c r="B841" s="6">
        <v>0.64166666666666672</v>
      </c>
      <c r="C841" t="s">
        <v>22</v>
      </c>
      <c r="D841" s="7">
        <f t="shared" si="39"/>
        <v>45756.64166666667</v>
      </c>
      <c r="E841" t="str">
        <f t="shared" si="40"/>
        <v>09-04-2025 to 15-04-2025</v>
      </c>
      <c r="F841" t="str">
        <f>IF(COUNTIF('Top5'!I:I, G841) &gt; 0, "Yes", "No")</f>
        <v>No</v>
      </c>
      <c r="G841" t="str">
        <f t="shared" si="41"/>
        <v>09-04-2025 to 15-04-2025</v>
      </c>
    </row>
    <row r="842" spans="1:7">
      <c r="A842" s="1">
        <v>45756</v>
      </c>
      <c r="B842" s="6">
        <v>0.64513888888888893</v>
      </c>
      <c r="C842" t="s">
        <v>22</v>
      </c>
      <c r="D842" s="7">
        <f t="shared" si="39"/>
        <v>45756.645138888889</v>
      </c>
      <c r="E842" t="str">
        <f t="shared" si="40"/>
        <v>09-04-2025 to 15-04-2025</v>
      </c>
      <c r="F842" t="str">
        <f>IF(COUNTIF('Top5'!I:I, G842) &gt; 0, "Yes", "No")</f>
        <v>No</v>
      </c>
      <c r="G842" t="str">
        <f t="shared" si="41"/>
        <v>09-04-2025 to 15-04-2025</v>
      </c>
    </row>
    <row r="843" spans="1:7">
      <c r="A843" s="1">
        <v>45756</v>
      </c>
      <c r="B843" s="6">
        <v>0.74236111111111114</v>
      </c>
      <c r="C843" t="s">
        <v>23</v>
      </c>
      <c r="D843" s="7">
        <f t="shared" si="39"/>
        <v>45756.742361111108</v>
      </c>
      <c r="E843" t="str">
        <f t="shared" si="40"/>
        <v>09-04-2025 to 15-04-2025</v>
      </c>
      <c r="F843" t="str">
        <f>IF(COUNTIF('Top5'!I:I, G843) &gt; 0, "Yes", "No")</f>
        <v>No</v>
      </c>
      <c r="G843" t="str">
        <f t="shared" si="41"/>
        <v>09-04-2025 to 15-04-2025</v>
      </c>
    </row>
    <row r="844" spans="1:7">
      <c r="A844" s="1">
        <v>45756</v>
      </c>
      <c r="B844" s="6">
        <v>0.75069444444444444</v>
      </c>
      <c r="C844" t="s">
        <v>23</v>
      </c>
      <c r="D844" s="7">
        <f t="shared" si="39"/>
        <v>45756.750694444447</v>
      </c>
      <c r="E844" t="str">
        <f t="shared" si="40"/>
        <v>09-04-2025 to 15-04-2025</v>
      </c>
      <c r="F844" t="str">
        <f>IF(COUNTIF('Top5'!I:I, G844) &gt; 0, "Yes", "No")</f>
        <v>No</v>
      </c>
      <c r="G844" t="str">
        <f t="shared" si="41"/>
        <v>09-04-2025 to 15-04-2025</v>
      </c>
    </row>
    <row r="845" spans="1:7">
      <c r="A845" s="1">
        <v>45756</v>
      </c>
      <c r="B845" s="6">
        <v>0.99930555555555556</v>
      </c>
      <c r="C845" t="s">
        <v>23</v>
      </c>
      <c r="D845" s="7">
        <f t="shared" si="39"/>
        <v>45756.999305555553</v>
      </c>
      <c r="E845" t="str">
        <f t="shared" si="40"/>
        <v>09-04-2025 to 15-04-2025</v>
      </c>
      <c r="F845" t="str">
        <f>IF(COUNTIF('Top5'!I:I, G845) &gt; 0, "Yes", "No")</f>
        <v>No</v>
      </c>
      <c r="G845" t="str">
        <f t="shared" si="41"/>
        <v>09-04-2025 to 15-04-2025</v>
      </c>
    </row>
    <row r="846" spans="1:7">
      <c r="A846" s="1">
        <v>45757</v>
      </c>
      <c r="B846" s="6">
        <v>5.5555555555555558E-3</v>
      </c>
      <c r="C846" t="s">
        <v>23</v>
      </c>
      <c r="D846" s="7">
        <f t="shared" si="39"/>
        <v>45757.005555555559</v>
      </c>
      <c r="E846" t="str">
        <f t="shared" si="40"/>
        <v>10-04-2025 to 16-04-2025</v>
      </c>
      <c r="F846" t="str">
        <f>IF(COUNTIF('Top5'!I:I, G846) &gt; 0, "Yes", "No")</f>
        <v>No</v>
      </c>
      <c r="G846" t="str">
        <f t="shared" si="41"/>
        <v>10-04-2025 to 16-04-2025</v>
      </c>
    </row>
    <row r="847" spans="1:7">
      <c r="A847" s="1">
        <v>45757</v>
      </c>
      <c r="B847" s="6">
        <v>5.5555555555555558E-3</v>
      </c>
      <c r="C847" t="s">
        <v>23</v>
      </c>
      <c r="D847" s="7">
        <f t="shared" si="39"/>
        <v>45757.005555555559</v>
      </c>
      <c r="E847" t="str">
        <f t="shared" si="40"/>
        <v>10-04-2025 to 16-04-2025</v>
      </c>
      <c r="F847" t="str">
        <f>IF(COUNTIF('Top5'!I:I, G847) &gt; 0, "Yes", "No")</f>
        <v>No</v>
      </c>
      <c r="G847" t="str">
        <f t="shared" si="41"/>
        <v>10-04-2025 to 16-04-2025</v>
      </c>
    </row>
    <row r="848" spans="1:7">
      <c r="A848" s="1">
        <v>45757</v>
      </c>
      <c r="B848" s="6">
        <v>7.6388888888888886E-3</v>
      </c>
      <c r="C848" t="s">
        <v>23</v>
      </c>
      <c r="D848" s="7">
        <f t="shared" si="39"/>
        <v>45757.007638888892</v>
      </c>
      <c r="E848" t="str">
        <f t="shared" si="40"/>
        <v>10-04-2025 to 16-04-2025</v>
      </c>
      <c r="F848" t="str">
        <f>IF(COUNTIF('Top5'!I:I, G848) &gt; 0, "Yes", "No")</f>
        <v>No</v>
      </c>
      <c r="G848" t="str">
        <f t="shared" si="41"/>
        <v>10-04-2025 to 16-04-2025</v>
      </c>
    </row>
    <row r="849" spans="1:7">
      <c r="A849" s="1">
        <v>45757</v>
      </c>
      <c r="B849" s="6">
        <v>8.3333333333333332E-3</v>
      </c>
      <c r="C849" t="s">
        <v>23</v>
      </c>
      <c r="D849" s="7">
        <f t="shared" si="39"/>
        <v>45757.008333333331</v>
      </c>
      <c r="E849" t="str">
        <f t="shared" si="40"/>
        <v>10-04-2025 to 16-04-2025</v>
      </c>
      <c r="F849" t="str">
        <f>IF(COUNTIF('Top5'!I:I, G849) &gt; 0, "Yes", "No")</f>
        <v>No</v>
      </c>
      <c r="G849" t="str">
        <f t="shared" si="41"/>
        <v>10-04-2025 to 16-04-2025</v>
      </c>
    </row>
    <row r="850" spans="1:7">
      <c r="A850" s="1">
        <v>45757</v>
      </c>
      <c r="B850" s="6">
        <v>8.3333333333333332E-3</v>
      </c>
      <c r="C850" t="s">
        <v>23</v>
      </c>
      <c r="D850" s="7">
        <f t="shared" si="39"/>
        <v>45757.008333333331</v>
      </c>
      <c r="E850" t="str">
        <f t="shared" si="40"/>
        <v>10-04-2025 to 16-04-2025</v>
      </c>
      <c r="F850" t="str">
        <f>IF(COUNTIF('Top5'!I:I, G850) &gt; 0, "Yes", "No")</f>
        <v>No</v>
      </c>
      <c r="G850" t="str">
        <f t="shared" si="41"/>
        <v>10-04-2025 to 16-04-2025</v>
      </c>
    </row>
    <row r="851" spans="1:7">
      <c r="A851" s="1">
        <v>45757</v>
      </c>
      <c r="B851" s="6">
        <v>1.1111111111111112E-2</v>
      </c>
      <c r="C851" t="s">
        <v>23</v>
      </c>
      <c r="D851" s="7">
        <f t="shared" si="39"/>
        <v>45757.011111111111</v>
      </c>
      <c r="E851" t="str">
        <f t="shared" si="40"/>
        <v>10-04-2025 to 16-04-2025</v>
      </c>
      <c r="F851" t="str">
        <f>IF(COUNTIF('Top5'!I:I, G851) &gt; 0, "Yes", "No")</f>
        <v>No</v>
      </c>
      <c r="G851" t="str">
        <f t="shared" si="41"/>
        <v>10-04-2025 to 16-04-2025</v>
      </c>
    </row>
    <row r="852" spans="1:7">
      <c r="A852" s="1">
        <v>45757</v>
      </c>
      <c r="B852" s="6">
        <v>2.013888888888889E-2</v>
      </c>
      <c r="C852" t="s">
        <v>23</v>
      </c>
      <c r="D852" s="7">
        <f t="shared" si="39"/>
        <v>45757.020138888889</v>
      </c>
      <c r="E852" t="str">
        <f t="shared" si="40"/>
        <v>10-04-2025 to 16-04-2025</v>
      </c>
      <c r="F852" t="str">
        <f>IF(COUNTIF('Top5'!I:I, G852) &gt; 0, "Yes", "No")</f>
        <v>No</v>
      </c>
      <c r="G852" t="str">
        <f t="shared" si="41"/>
        <v>10-04-2025 to 16-04-2025</v>
      </c>
    </row>
    <row r="853" spans="1:7">
      <c r="A853" s="1">
        <v>45757</v>
      </c>
      <c r="B853" s="6">
        <v>0.36388888888888887</v>
      </c>
      <c r="C853" t="s">
        <v>22</v>
      </c>
      <c r="D853" s="7">
        <f t="shared" si="39"/>
        <v>45757.363888888889</v>
      </c>
      <c r="E853" t="str">
        <f t="shared" si="40"/>
        <v>10-04-2025 to 16-04-2025</v>
      </c>
      <c r="F853" t="str">
        <f>IF(COUNTIF('Top5'!I:I, G853) &gt; 0, "Yes", "No")</f>
        <v>No</v>
      </c>
      <c r="G853" t="str">
        <f t="shared" si="41"/>
        <v>10-04-2025 to 16-04-2025</v>
      </c>
    </row>
    <row r="854" spans="1:7">
      <c r="A854" s="1">
        <v>45757</v>
      </c>
      <c r="B854" s="6">
        <v>0.42152777777777778</v>
      </c>
      <c r="C854" t="s">
        <v>22</v>
      </c>
      <c r="D854" s="7">
        <f t="shared" si="39"/>
        <v>45757.421527777777</v>
      </c>
      <c r="E854" t="str">
        <f t="shared" si="40"/>
        <v>10-04-2025 to 16-04-2025</v>
      </c>
      <c r="F854" t="str">
        <f>IF(COUNTIF('Top5'!I:I, G854) &gt; 0, "Yes", "No")</f>
        <v>No</v>
      </c>
      <c r="G854" t="str">
        <f t="shared" si="41"/>
        <v>10-04-2025 to 16-04-2025</v>
      </c>
    </row>
    <row r="855" spans="1:7">
      <c r="A855" s="1">
        <v>45757</v>
      </c>
      <c r="B855" s="6">
        <v>0.42291666666666666</v>
      </c>
      <c r="C855" t="s">
        <v>22</v>
      </c>
      <c r="D855" s="7">
        <f t="shared" si="39"/>
        <v>45757.42291666667</v>
      </c>
      <c r="E855" t="str">
        <f t="shared" si="40"/>
        <v>10-04-2025 to 16-04-2025</v>
      </c>
      <c r="F855" t="str">
        <f>IF(COUNTIF('Top5'!I:I, G855) &gt; 0, "Yes", "No")</f>
        <v>No</v>
      </c>
      <c r="G855" t="str">
        <f t="shared" si="41"/>
        <v>10-04-2025 to 16-04-2025</v>
      </c>
    </row>
    <row r="856" spans="1:7">
      <c r="A856" s="1">
        <v>45757</v>
      </c>
      <c r="B856" s="6">
        <v>0.4236111111111111</v>
      </c>
      <c r="C856" t="s">
        <v>22</v>
      </c>
      <c r="D856" s="7">
        <f t="shared" si="39"/>
        <v>45757.423611111109</v>
      </c>
      <c r="E856" t="str">
        <f t="shared" si="40"/>
        <v>10-04-2025 to 16-04-2025</v>
      </c>
      <c r="F856" t="str">
        <f>IF(COUNTIF('Top5'!I:I, G856) &gt; 0, "Yes", "No")</f>
        <v>No</v>
      </c>
      <c r="G856" t="str">
        <f t="shared" si="41"/>
        <v>10-04-2025 to 16-04-2025</v>
      </c>
    </row>
    <row r="857" spans="1:7">
      <c r="A857" s="1">
        <v>45757</v>
      </c>
      <c r="B857" s="6">
        <v>0.43888888888888888</v>
      </c>
      <c r="C857" t="s">
        <v>22</v>
      </c>
      <c r="D857" s="7">
        <f t="shared" si="39"/>
        <v>45757.438888888886</v>
      </c>
      <c r="E857" t="str">
        <f t="shared" si="40"/>
        <v>10-04-2025 to 16-04-2025</v>
      </c>
      <c r="F857" t="str">
        <f>IF(COUNTIF('Top5'!I:I, G857) &gt; 0, "Yes", "No")</f>
        <v>No</v>
      </c>
      <c r="G857" t="str">
        <f t="shared" si="41"/>
        <v>10-04-2025 to 16-04-2025</v>
      </c>
    </row>
    <row r="858" spans="1:7">
      <c r="A858" s="1">
        <v>45757</v>
      </c>
      <c r="B858" s="6">
        <v>0.57847222222222228</v>
      </c>
      <c r="C858" t="s">
        <v>22</v>
      </c>
      <c r="D858" s="7">
        <f t="shared" si="39"/>
        <v>45757.578472222223</v>
      </c>
      <c r="E858" t="str">
        <f t="shared" si="40"/>
        <v>10-04-2025 to 16-04-2025</v>
      </c>
      <c r="F858" t="str">
        <f>IF(COUNTIF('Top5'!I:I, G858) &gt; 0, "Yes", "No")</f>
        <v>No</v>
      </c>
      <c r="G858" t="str">
        <f t="shared" si="41"/>
        <v>10-04-2025 to 16-04-2025</v>
      </c>
    </row>
    <row r="859" spans="1:7">
      <c r="A859" s="1">
        <v>45757</v>
      </c>
      <c r="B859" s="6">
        <v>0.63958333333333328</v>
      </c>
      <c r="C859" t="s">
        <v>22</v>
      </c>
      <c r="D859" s="7">
        <f t="shared" si="39"/>
        <v>45757.63958333333</v>
      </c>
      <c r="E859" t="str">
        <f t="shared" si="40"/>
        <v>10-04-2025 to 16-04-2025</v>
      </c>
      <c r="F859" t="str">
        <f>IF(COUNTIF('Top5'!I:I, G859) &gt; 0, "Yes", "No")</f>
        <v>No</v>
      </c>
      <c r="G859" t="str">
        <f t="shared" si="41"/>
        <v>10-04-2025 to 16-04-2025</v>
      </c>
    </row>
    <row r="860" spans="1:7">
      <c r="A860" s="1">
        <v>45758</v>
      </c>
      <c r="B860" s="6">
        <v>2.0833333333333333E-3</v>
      </c>
      <c r="C860" t="s">
        <v>23</v>
      </c>
      <c r="D860" s="7">
        <f t="shared" si="39"/>
        <v>45758.002083333333</v>
      </c>
      <c r="E860" t="str">
        <f t="shared" si="40"/>
        <v>11-04-2025 to 17-04-2025</v>
      </c>
      <c r="F860" t="str">
        <f>IF(COUNTIF('Top5'!I:I, G860) &gt; 0, "Yes", "No")</f>
        <v>No</v>
      </c>
      <c r="G860" t="str">
        <f t="shared" si="41"/>
        <v>11-04-2025 to 17-04-2025</v>
      </c>
    </row>
    <row r="861" spans="1:7">
      <c r="A861" s="1">
        <v>45758</v>
      </c>
      <c r="B861" s="6">
        <v>2.7777777777777779E-3</v>
      </c>
      <c r="C861" t="s">
        <v>23</v>
      </c>
      <c r="D861" s="7">
        <f t="shared" si="39"/>
        <v>45758.00277777778</v>
      </c>
      <c r="E861" t="str">
        <f t="shared" si="40"/>
        <v>11-04-2025 to 17-04-2025</v>
      </c>
      <c r="F861" t="str">
        <f>IF(COUNTIF('Top5'!I:I, G861) &gt; 0, "Yes", "No")</f>
        <v>No</v>
      </c>
      <c r="G861" t="str">
        <f t="shared" si="41"/>
        <v>11-04-2025 to 17-04-2025</v>
      </c>
    </row>
    <row r="862" spans="1:7">
      <c r="A862" s="1">
        <v>45758</v>
      </c>
      <c r="B862" s="6">
        <v>5.5555555555555558E-3</v>
      </c>
      <c r="C862" t="s">
        <v>23</v>
      </c>
      <c r="D862" s="7">
        <f t="shared" si="39"/>
        <v>45758.005555555559</v>
      </c>
      <c r="E862" t="str">
        <f t="shared" si="40"/>
        <v>11-04-2025 to 17-04-2025</v>
      </c>
      <c r="F862" t="str">
        <f>IF(COUNTIF('Top5'!I:I, G862) &gt; 0, "Yes", "No")</f>
        <v>No</v>
      </c>
      <c r="G862" t="str">
        <f t="shared" si="41"/>
        <v>11-04-2025 to 17-04-2025</v>
      </c>
    </row>
    <row r="863" spans="1:7">
      <c r="A863" s="1">
        <v>45758</v>
      </c>
      <c r="B863" s="6">
        <v>0.52013888888888893</v>
      </c>
      <c r="C863" t="s">
        <v>22</v>
      </c>
      <c r="D863" s="7">
        <f t="shared" si="39"/>
        <v>45758.520138888889</v>
      </c>
      <c r="E863" t="str">
        <f t="shared" si="40"/>
        <v>11-04-2025 to 17-04-2025</v>
      </c>
      <c r="F863" t="str">
        <f>IF(COUNTIF('Top5'!I:I, G863) &gt; 0, "Yes", "No")</f>
        <v>No</v>
      </c>
      <c r="G863" t="str">
        <f t="shared" si="41"/>
        <v>11-04-2025 to 17-04-2025</v>
      </c>
    </row>
    <row r="864" spans="1:7">
      <c r="A864" s="1">
        <v>45758</v>
      </c>
      <c r="B864" s="6">
        <v>0.92291666666666672</v>
      </c>
      <c r="C864" t="s">
        <v>23</v>
      </c>
      <c r="D864" s="7">
        <f t="shared" si="39"/>
        <v>45758.92291666667</v>
      </c>
      <c r="E864" t="str">
        <f t="shared" si="40"/>
        <v>11-04-2025 to 17-04-2025</v>
      </c>
      <c r="F864" t="str">
        <f>IF(COUNTIF('Top5'!I:I, G864) &gt; 0, "Yes", "No")</f>
        <v>No</v>
      </c>
      <c r="G864" t="str">
        <f t="shared" si="41"/>
        <v>11-04-2025 to 17-04-2025</v>
      </c>
    </row>
    <row r="865" spans="1:7">
      <c r="A865" s="1">
        <v>45758</v>
      </c>
      <c r="B865" s="6">
        <v>0.98750000000000004</v>
      </c>
      <c r="C865" t="s">
        <v>23</v>
      </c>
      <c r="D865" s="7">
        <f t="shared" si="39"/>
        <v>45758.987500000003</v>
      </c>
      <c r="E865" t="str">
        <f t="shared" si="40"/>
        <v>11-04-2025 to 17-04-2025</v>
      </c>
      <c r="F865" t="str">
        <f>IF(COUNTIF('Top5'!I:I, G865) &gt; 0, "Yes", "No")</f>
        <v>No</v>
      </c>
      <c r="G865" t="str">
        <f t="shared" si="41"/>
        <v>11-04-2025 to 17-04-2025</v>
      </c>
    </row>
    <row r="866" spans="1:7">
      <c r="A866" s="1">
        <v>45759</v>
      </c>
      <c r="B866" s="6">
        <v>4.8611111111111112E-3</v>
      </c>
      <c r="C866" t="s">
        <v>23</v>
      </c>
      <c r="D866" s="7">
        <f t="shared" si="39"/>
        <v>45759.004861111112</v>
      </c>
      <c r="E866" t="str">
        <f t="shared" si="40"/>
        <v>12-04-2025 to 18-04-2025</v>
      </c>
      <c r="F866" t="str">
        <f>IF(COUNTIF('Top5'!I:I, G866) &gt; 0, "Yes", "No")</f>
        <v>No</v>
      </c>
      <c r="G866" t="str">
        <f t="shared" si="41"/>
        <v>12-04-2025 to 18-04-2025</v>
      </c>
    </row>
    <row r="867" spans="1:7">
      <c r="A867" s="1">
        <v>45759</v>
      </c>
      <c r="B867" s="6">
        <v>4.8611111111111112E-3</v>
      </c>
      <c r="C867" t="s">
        <v>23</v>
      </c>
      <c r="D867" s="7">
        <f t="shared" si="39"/>
        <v>45759.004861111112</v>
      </c>
      <c r="E867" t="str">
        <f t="shared" si="40"/>
        <v>12-04-2025 to 18-04-2025</v>
      </c>
      <c r="F867" t="str">
        <f>IF(COUNTIF('Top5'!I:I, G867) &gt; 0, "Yes", "No")</f>
        <v>No</v>
      </c>
      <c r="G867" t="str">
        <f t="shared" si="41"/>
        <v>12-04-2025 to 18-04-2025</v>
      </c>
    </row>
    <row r="868" spans="1:7">
      <c r="A868" s="1">
        <v>45759</v>
      </c>
      <c r="B868" s="6">
        <v>4.8611111111111112E-3</v>
      </c>
      <c r="C868" t="s">
        <v>23</v>
      </c>
      <c r="D868" s="7">
        <f t="shared" si="39"/>
        <v>45759.004861111112</v>
      </c>
      <c r="E868" t="str">
        <f t="shared" si="40"/>
        <v>12-04-2025 to 18-04-2025</v>
      </c>
      <c r="F868" t="str">
        <f>IF(COUNTIF('Top5'!I:I, G868) &gt; 0, "Yes", "No")</f>
        <v>No</v>
      </c>
      <c r="G868" t="str">
        <f t="shared" si="41"/>
        <v>12-04-2025 to 18-04-2025</v>
      </c>
    </row>
    <row r="869" spans="1:7">
      <c r="A869" s="1">
        <v>45759</v>
      </c>
      <c r="B869" s="6">
        <v>4.8611111111111112E-3</v>
      </c>
      <c r="C869" t="s">
        <v>23</v>
      </c>
      <c r="D869" s="7">
        <f t="shared" si="39"/>
        <v>45759.004861111112</v>
      </c>
      <c r="E869" t="str">
        <f t="shared" si="40"/>
        <v>12-04-2025 to 18-04-2025</v>
      </c>
      <c r="F869" t="str">
        <f>IF(COUNTIF('Top5'!I:I, G869) &gt; 0, "Yes", "No")</f>
        <v>No</v>
      </c>
      <c r="G869" t="str">
        <f t="shared" si="41"/>
        <v>12-04-2025 to 18-04-2025</v>
      </c>
    </row>
    <row r="870" spans="1:7">
      <c r="A870" s="1">
        <v>45759</v>
      </c>
      <c r="B870" s="6">
        <v>4.8611111111111112E-3</v>
      </c>
      <c r="C870" t="s">
        <v>23</v>
      </c>
      <c r="D870" s="7">
        <f t="shared" si="39"/>
        <v>45759.004861111112</v>
      </c>
      <c r="E870" t="str">
        <f t="shared" si="40"/>
        <v>12-04-2025 to 18-04-2025</v>
      </c>
      <c r="F870" t="str">
        <f>IF(COUNTIF('Top5'!I:I, G870) &gt; 0, "Yes", "No")</f>
        <v>No</v>
      </c>
      <c r="G870" t="str">
        <f t="shared" si="41"/>
        <v>12-04-2025 to 18-04-2025</v>
      </c>
    </row>
    <row r="871" spans="1:7">
      <c r="A871" s="1">
        <v>45759</v>
      </c>
      <c r="B871" s="6">
        <v>4.8611111111111112E-3</v>
      </c>
      <c r="C871" t="s">
        <v>23</v>
      </c>
      <c r="D871" s="7">
        <f t="shared" si="39"/>
        <v>45759.004861111112</v>
      </c>
      <c r="E871" t="str">
        <f t="shared" si="40"/>
        <v>12-04-2025 to 18-04-2025</v>
      </c>
      <c r="F871" t="str">
        <f>IF(COUNTIF('Top5'!I:I, G871) &gt; 0, "Yes", "No")</f>
        <v>No</v>
      </c>
      <c r="G871" t="str">
        <f t="shared" si="41"/>
        <v>12-04-2025 to 18-04-2025</v>
      </c>
    </row>
    <row r="872" spans="1:7">
      <c r="A872" s="1">
        <v>45759</v>
      </c>
      <c r="B872" s="6">
        <v>0.40486111111111112</v>
      </c>
      <c r="C872" t="s">
        <v>22</v>
      </c>
      <c r="D872" s="7">
        <f t="shared" si="39"/>
        <v>45759.404861111114</v>
      </c>
      <c r="E872" t="str">
        <f t="shared" si="40"/>
        <v>12-04-2025 to 18-04-2025</v>
      </c>
      <c r="F872" t="str">
        <f>IF(COUNTIF('Top5'!I:I, G872) &gt; 0, "Yes", "No")</f>
        <v>No</v>
      </c>
      <c r="G872" t="str">
        <f t="shared" si="41"/>
        <v>12-04-2025 to 18-04-2025</v>
      </c>
    </row>
    <row r="873" spans="1:7">
      <c r="A873" s="1">
        <v>45759</v>
      </c>
      <c r="B873" s="6">
        <v>0.40555555555555556</v>
      </c>
      <c r="C873" t="s">
        <v>22</v>
      </c>
      <c r="D873" s="7">
        <f t="shared" si="39"/>
        <v>45759.405555555553</v>
      </c>
      <c r="E873" t="str">
        <f t="shared" si="40"/>
        <v>12-04-2025 to 18-04-2025</v>
      </c>
      <c r="F873" t="str">
        <f>IF(COUNTIF('Top5'!I:I, G873) &gt; 0, "Yes", "No")</f>
        <v>No</v>
      </c>
      <c r="G873" t="str">
        <f t="shared" si="41"/>
        <v>12-04-2025 to 18-04-2025</v>
      </c>
    </row>
    <row r="874" spans="1:7">
      <c r="A874" s="1">
        <v>45759</v>
      </c>
      <c r="B874" s="6">
        <v>0.42291666666666666</v>
      </c>
      <c r="C874" t="s">
        <v>22</v>
      </c>
      <c r="D874" s="7">
        <f t="shared" si="39"/>
        <v>45759.42291666667</v>
      </c>
      <c r="E874" t="str">
        <f t="shared" si="40"/>
        <v>12-04-2025 to 18-04-2025</v>
      </c>
      <c r="F874" t="str">
        <f>IF(COUNTIF('Top5'!I:I, G874) &gt; 0, "Yes", "No")</f>
        <v>No</v>
      </c>
      <c r="G874" t="str">
        <f t="shared" si="41"/>
        <v>12-04-2025 to 18-04-2025</v>
      </c>
    </row>
    <row r="875" spans="1:7">
      <c r="A875" s="1">
        <v>45759</v>
      </c>
      <c r="B875" s="6">
        <v>0.42569444444444443</v>
      </c>
      <c r="C875" t="s">
        <v>22</v>
      </c>
      <c r="D875" s="7">
        <f t="shared" si="39"/>
        <v>45759.425694444442</v>
      </c>
      <c r="E875" t="str">
        <f t="shared" si="40"/>
        <v>12-04-2025 to 18-04-2025</v>
      </c>
      <c r="F875" t="str">
        <f>IF(COUNTIF('Top5'!I:I, G875) &gt; 0, "Yes", "No")</f>
        <v>No</v>
      </c>
      <c r="G875" t="str">
        <f t="shared" si="41"/>
        <v>12-04-2025 to 18-04-2025</v>
      </c>
    </row>
    <row r="876" spans="1:7">
      <c r="A876" s="1">
        <v>45759</v>
      </c>
      <c r="B876" s="6">
        <v>0.42708333333333331</v>
      </c>
      <c r="C876" t="s">
        <v>22</v>
      </c>
      <c r="D876" s="7">
        <f t="shared" si="39"/>
        <v>45759.427083333336</v>
      </c>
      <c r="E876" t="str">
        <f t="shared" si="40"/>
        <v>12-04-2025 to 18-04-2025</v>
      </c>
      <c r="F876" t="str">
        <f>IF(COUNTIF('Top5'!I:I, G876) &gt; 0, "Yes", "No")</f>
        <v>No</v>
      </c>
      <c r="G876" t="str">
        <f t="shared" si="41"/>
        <v>12-04-2025 to 18-04-2025</v>
      </c>
    </row>
    <row r="877" spans="1:7">
      <c r="A877" s="1">
        <v>45759</v>
      </c>
      <c r="B877" s="6">
        <v>0.79305555555555551</v>
      </c>
      <c r="C877" t="s">
        <v>23</v>
      </c>
      <c r="D877" s="7">
        <f t="shared" si="39"/>
        <v>45759.793055555558</v>
      </c>
      <c r="E877" t="str">
        <f t="shared" si="40"/>
        <v>12-04-2025 to 18-04-2025</v>
      </c>
      <c r="F877" t="str">
        <f>IF(COUNTIF('Top5'!I:I, G877) &gt; 0, "Yes", "No")</f>
        <v>No</v>
      </c>
      <c r="G877" t="str">
        <f t="shared" si="41"/>
        <v>12-04-2025 to 18-04-2025</v>
      </c>
    </row>
    <row r="878" spans="1:7">
      <c r="A878" s="1">
        <v>45760</v>
      </c>
      <c r="B878" s="6">
        <v>0.375</v>
      </c>
      <c r="C878" t="s">
        <v>22</v>
      </c>
      <c r="D878" s="7">
        <f t="shared" si="39"/>
        <v>45760.375</v>
      </c>
      <c r="E878" t="str">
        <f t="shared" si="40"/>
        <v>13-04-2025 to 19-04-2025</v>
      </c>
      <c r="F878" t="str">
        <f>IF(COUNTIF('Top5'!I:I, G878) &gt; 0, "Yes", "No")</f>
        <v>No</v>
      </c>
      <c r="G878" t="str">
        <f t="shared" si="41"/>
        <v>13-04-2025 to 19-04-2025</v>
      </c>
    </row>
    <row r="879" spans="1:7">
      <c r="A879" s="1">
        <v>45760</v>
      </c>
      <c r="B879" s="6">
        <v>0.37916666666666665</v>
      </c>
      <c r="C879" t="s">
        <v>22</v>
      </c>
      <c r="D879" s="7">
        <f t="shared" si="39"/>
        <v>45760.379166666666</v>
      </c>
      <c r="E879" t="str">
        <f t="shared" si="40"/>
        <v>13-04-2025 to 19-04-2025</v>
      </c>
      <c r="F879" t="str">
        <f>IF(COUNTIF('Top5'!I:I, G879) &gt; 0, "Yes", "No")</f>
        <v>No</v>
      </c>
      <c r="G879" t="str">
        <f t="shared" si="41"/>
        <v>13-04-2025 to 19-04-2025</v>
      </c>
    </row>
    <row r="880" spans="1:7">
      <c r="A880" s="1">
        <v>45760</v>
      </c>
      <c r="B880" s="6">
        <v>0.62430555555555556</v>
      </c>
      <c r="C880" t="s">
        <v>22</v>
      </c>
      <c r="D880" s="7">
        <f t="shared" si="39"/>
        <v>45760.624305555553</v>
      </c>
      <c r="E880" t="str">
        <f t="shared" si="40"/>
        <v>13-04-2025 to 19-04-2025</v>
      </c>
      <c r="F880" t="str">
        <f>IF(COUNTIF('Top5'!I:I, G880) &gt; 0, "Yes", "No")</f>
        <v>No</v>
      </c>
      <c r="G880" t="str">
        <f t="shared" si="41"/>
        <v>13-04-2025 to 19-04-2025</v>
      </c>
    </row>
    <row r="881" spans="1:7">
      <c r="A881" s="1">
        <v>45760</v>
      </c>
      <c r="B881" s="6">
        <v>0.625</v>
      </c>
      <c r="C881" t="s">
        <v>22</v>
      </c>
      <c r="D881" s="7">
        <f t="shared" si="39"/>
        <v>45760.625</v>
      </c>
      <c r="E881" t="str">
        <f t="shared" si="40"/>
        <v>13-04-2025 to 19-04-2025</v>
      </c>
      <c r="F881" t="str">
        <f>IF(COUNTIF('Top5'!I:I, G881) &gt; 0, "Yes", "No")</f>
        <v>No</v>
      </c>
      <c r="G881" t="str">
        <f t="shared" si="41"/>
        <v>13-04-2025 to 19-04-2025</v>
      </c>
    </row>
    <row r="882" spans="1:7">
      <c r="A882" s="1">
        <v>45760</v>
      </c>
      <c r="B882" s="6">
        <v>0.67291666666666672</v>
      </c>
      <c r="C882" t="s">
        <v>22</v>
      </c>
      <c r="D882" s="7">
        <f t="shared" si="39"/>
        <v>45760.67291666667</v>
      </c>
      <c r="E882" t="str">
        <f t="shared" si="40"/>
        <v>13-04-2025 to 19-04-2025</v>
      </c>
      <c r="F882" t="str">
        <f>IF(COUNTIF('Top5'!I:I, G882) &gt; 0, "Yes", "No")</f>
        <v>No</v>
      </c>
      <c r="G882" t="str">
        <f t="shared" si="41"/>
        <v>13-04-2025 to 19-04-2025</v>
      </c>
    </row>
    <row r="883" spans="1:7">
      <c r="A883" s="1">
        <v>45761</v>
      </c>
      <c r="B883" s="6">
        <v>0.50277777777777777</v>
      </c>
      <c r="C883" t="s">
        <v>22</v>
      </c>
      <c r="D883" s="7">
        <f t="shared" si="39"/>
        <v>45761.50277777778</v>
      </c>
      <c r="E883" t="str">
        <f t="shared" si="40"/>
        <v>14-04-2025 to 20-04-2025</v>
      </c>
      <c r="F883" t="str">
        <f>IF(COUNTIF('Top5'!I:I, G883) &gt; 0, "Yes", "No")</f>
        <v>No</v>
      </c>
      <c r="G883" t="str">
        <f t="shared" si="41"/>
        <v>14-04-2025 to 20-04-2025</v>
      </c>
    </row>
    <row r="884" spans="1:7">
      <c r="A884" s="1">
        <v>45761</v>
      </c>
      <c r="B884" s="6">
        <v>0.51736111111111116</v>
      </c>
      <c r="C884" t="s">
        <v>22</v>
      </c>
      <c r="D884" s="7">
        <f t="shared" si="39"/>
        <v>45761.517361111109</v>
      </c>
      <c r="E884" t="str">
        <f t="shared" si="40"/>
        <v>14-04-2025 to 20-04-2025</v>
      </c>
      <c r="F884" t="str">
        <f>IF(COUNTIF('Top5'!I:I, G884) &gt; 0, "Yes", "No")</f>
        <v>No</v>
      </c>
      <c r="G884" t="str">
        <f t="shared" si="41"/>
        <v>14-04-2025 to 20-04-2025</v>
      </c>
    </row>
    <row r="885" spans="1:7">
      <c r="A885" s="1">
        <v>45761</v>
      </c>
      <c r="B885" s="6">
        <v>0.5854166666666667</v>
      </c>
      <c r="C885" t="s">
        <v>22</v>
      </c>
      <c r="D885" s="7">
        <f t="shared" si="39"/>
        <v>45761.585416666669</v>
      </c>
      <c r="E885" t="str">
        <f t="shared" si="40"/>
        <v>14-04-2025 to 20-04-2025</v>
      </c>
      <c r="F885" t="str">
        <f>IF(COUNTIF('Top5'!I:I, G885) &gt; 0, "Yes", "No")</f>
        <v>No</v>
      </c>
      <c r="G885" t="str">
        <f t="shared" si="41"/>
        <v>14-04-2025 to 20-04-2025</v>
      </c>
    </row>
    <row r="886" spans="1:7">
      <c r="A886" s="1">
        <v>45761</v>
      </c>
      <c r="B886" s="6">
        <v>0.77013888888888893</v>
      </c>
      <c r="C886" t="s">
        <v>23</v>
      </c>
      <c r="D886" s="7">
        <f t="shared" si="39"/>
        <v>45761.770138888889</v>
      </c>
      <c r="E886" t="str">
        <f t="shared" si="40"/>
        <v>14-04-2025 to 20-04-2025</v>
      </c>
      <c r="F886" t="str">
        <f>IF(COUNTIF('Top5'!I:I, G886) &gt; 0, "Yes", "No")</f>
        <v>No</v>
      </c>
      <c r="G886" t="str">
        <f t="shared" si="41"/>
        <v>14-04-2025 to 20-04-2025</v>
      </c>
    </row>
    <row r="887" spans="1:7">
      <c r="A887" s="1">
        <v>45761</v>
      </c>
      <c r="B887" s="6">
        <v>0.77152777777777781</v>
      </c>
      <c r="C887" t="s">
        <v>23</v>
      </c>
      <c r="D887" s="7">
        <f t="shared" si="39"/>
        <v>45761.771527777775</v>
      </c>
      <c r="E887" t="str">
        <f t="shared" si="40"/>
        <v>14-04-2025 to 20-04-2025</v>
      </c>
      <c r="F887" t="str">
        <f>IF(COUNTIF('Top5'!I:I, G887) &gt; 0, "Yes", "No")</f>
        <v>No</v>
      </c>
      <c r="G887" t="str">
        <f t="shared" si="41"/>
        <v>14-04-2025 to 20-04-2025</v>
      </c>
    </row>
    <row r="888" spans="1:7">
      <c r="A888" s="1">
        <v>45761</v>
      </c>
      <c r="B888" s="6">
        <v>0.78472222222222221</v>
      </c>
      <c r="C888" t="s">
        <v>23</v>
      </c>
      <c r="D888" s="7">
        <f t="shared" si="39"/>
        <v>45761.784722222219</v>
      </c>
      <c r="E888" t="str">
        <f t="shared" si="40"/>
        <v>14-04-2025 to 20-04-2025</v>
      </c>
      <c r="F888" t="str">
        <f>IF(COUNTIF('Top5'!I:I, G888) &gt; 0, "Yes", "No")</f>
        <v>No</v>
      </c>
      <c r="G888" t="str">
        <f t="shared" si="41"/>
        <v>14-04-2025 to 20-04-2025</v>
      </c>
    </row>
    <row r="889" spans="1:7">
      <c r="A889" s="1">
        <v>45761</v>
      </c>
      <c r="B889" s="6">
        <v>0.85416666666666663</v>
      </c>
      <c r="C889" t="s">
        <v>23</v>
      </c>
      <c r="D889" s="7">
        <f t="shared" si="39"/>
        <v>45761.854166666664</v>
      </c>
      <c r="E889" t="str">
        <f t="shared" si="40"/>
        <v>14-04-2025 to 20-04-2025</v>
      </c>
      <c r="F889" t="str">
        <f>IF(COUNTIF('Top5'!I:I, G889) &gt; 0, "Yes", "No")</f>
        <v>No</v>
      </c>
      <c r="G889" t="str">
        <f t="shared" si="41"/>
        <v>14-04-2025 to 20-04-2025</v>
      </c>
    </row>
    <row r="890" spans="1:7">
      <c r="A890" s="1">
        <v>45762</v>
      </c>
      <c r="B890" s="6">
        <v>0.41666666666666669</v>
      </c>
      <c r="C890" t="s">
        <v>22</v>
      </c>
      <c r="D890" s="7">
        <f t="shared" si="39"/>
        <v>45762.416666666664</v>
      </c>
      <c r="E890" t="str">
        <f t="shared" si="40"/>
        <v>15-04-2025 to 21-04-2025</v>
      </c>
      <c r="F890" t="str">
        <f>IF(COUNTIF('Top5'!I:I, G890) &gt; 0, "Yes", "No")</f>
        <v>No</v>
      </c>
      <c r="G890" t="str">
        <f t="shared" si="41"/>
        <v>15-04-2025 to 21-04-2025</v>
      </c>
    </row>
    <row r="891" spans="1:7">
      <c r="A891" s="1">
        <v>45762</v>
      </c>
      <c r="B891" s="6">
        <v>0.45763888888888887</v>
      </c>
      <c r="C891" t="s">
        <v>22</v>
      </c>
      <c r="D891" s="7">
        <f t="shared" si="39"/>
        <v>45762.457638888889</v>
      </c>
      <c r="E891" t="str">
        <f t="shared" si="40"/>
        <v>15-04-2025 to 21-04-2025</v>
      </c>
      <c r="F891" t="str">
        <f>IF(COUNTIF('Top5'!I:I, G891) &gt; 0, "Yes", "No")</f>
        <v>No</v>
      </c>
      <c r="G891" t="str">
        <f t="shared" si="41"/>
        <v>15-04-2025 to 21-04-2025</v>
      </c>
    </row>
    <row r="892" spans="1:7">
      <c r="A892" s="1">
        <v>45762</v>
      </c>
      <c r="B892" s="6">
        <v>0.45763888888888887</v>
      </c>
      <c r="C892" t="s">
        <v>22</v>
      </c>
      <c r="D892" s="7">
        <f t="shared" si="39"/>
        <v>45762.457638888889</v>
      </c>
      <c r="E892" t="str">
        <f t="shared" si="40"/>
        <v>15-04-2025 to 21-04-2025</v>
      </c>
      <c r="F892" t="str">
        <f>IF(COUNTIF('Top5'!I:I, G892) &gt; 0, "Yes", "No")</f>
        <v>No</v>
      </c>
      <c r="G892" t="str">
        <f t="shared" si="41"/>
        <v>15-04-2025 to 21-04-2025</v>
      </c>
    </row>
    <row r="893" spans="1:7">
      <c r="A893" s="1">
        <v>45762</v>
      </c>
      <c r="B893" s="6">
        <v>0.6381944444444444</v>
      </c>
      <c r="C893" t="s">
        <v>22</v>
      </c>
      <c r="D893" s="7">
        <f t="shared" si="39"/>
        <v>45762.638194444444</v>
      </c>
      <c r="E893" t="str">
        <f t="shared" si="40"/>
        <v>15-04-2025 to 21-04-2025</v>
      </c>
      <c r="F893" t="str">
        <f>IF(COUNTIF('Top5'!I:I, G893) &gt; 0, "Yes", "No")</f>
        <v>No</v>
      </c>
      <c r="G893" t="str">
        <f t="shared" si="41"/>
        <v>15-04-2025 to 21-04-2025</v>
      </c>
    </row>
    <row r="894" spans="1:7">
      <c r="A894" s="1">
        <v>45762</v>
      </c>
      <c r="B894" s="6">
        <v>0.73888888888888893</v>
      </c>
      <c r="C894" t="s">
        <v>23</v>
      </c>
      <c r="D894" s="7">
        <f t="shared" si="39"/>
        <v>45762.738888888889</v>
      </c>
      <c r="E894" t="str">
        <f t="shared" si="40"/>
        <v>15-04-2025 to 21-04-2025</v>
      </c>
      <c r="F894" t="str">
        <f>IF(COUNTIF('Top5'!I:I, G894) &gt; 0, "Yes", "No")</f>
        <v>No</v>
      </c>
      <c r="G894" t="str">
        <f t="shared" si="41"/>
        <v>15-04-2025 to 21-04-2025</v>
      </c>
    </row>
    <row r="895" spans="1:7">
      <c r="A895" s="1">
        <v>45762</v>
      </c>
      <c r="B895" s="6">
        <v>0.7680555555555556</v>
      </c>
      <c r="C895" t="s">
        <v>23</v>
      </c>
      <c r="D895" s="7">
        <f t="shared" si="39"/>
        <v>45762.768055555556</v>
      </c>
      <c r="E895" t="str">
        <f t="shared" si="40"/>
        <v>15-04-2025 to 21-04-2025</v>
      </c>
      <c r="F895" t="str">
        <f>IF(COUNTIF('Top5'!I:I, G895) &gt; 0, "Yes", "No")</f>
        <v>No</v>
      </c>
      <c r="G895" t="str">
        <f t="shared" si="41"/>
        <v>15-04-2025 to 21-04-2025</v>
      </c>
    </row>
    <row r="896" spans="1:7">
      <c r="A896" s="1">
        <v>45763</v>
      </c>
      <c r="B896" s="6">
        <v>0.43055555555555558</v>
      </c>
      <c r="C896" t="s">
        <v>22</v>
      </c>
      <c r="D896" s="7">
        <f t="shared" si="39"/>
        <v>45763.430555555555</v>
      </c>
      <c r="E896" t="str">
        <f t="shared" si="40"/>
        <v>16-04-2025 to 22-04-2025</v>
      </c>
      <c r="F896" t="str">
        <f>IF(COUNTIF('Top5'!I:I, G896) &gt; 0, "Yes", "No")</f>
        <v>No</v>
      </c>
      <c r="G896" t="str">
        <f t="shared" si="41"/>
        <v>16-04-2025 to 22-04-2025</v>
      </c>
    </row>
    <row r="897" spans="1:7">
      <c r="A897" s="1">
        <v>45763</v>
      </c>
      <c r="B897" s="6">
        <v>0.44722222222222224</v>
      </c>
      <c r="C897" t="s">
        <v>22</v>
      </c>
      <c r="D897" s="7">
        <f t="shared" si="39"/>
        <v>45763.447222222225</v>
      </c>
      <c r="E897" t="str">
        <f t="shared" si="40"/>
        <v>16-04-2025 to 22-04-2025</v>
      </c>
      <c r="F897" t="str">
        <f>IF(COUNTIF('Top5'!I:I, G897) &gt; 0, "Yes", "No")</f>
        <v>No</v>
      </c>
      <c r="G897" t="str">
        <f t="shared" si="41"/>
        <v>16-04-2025 to 22-04-2025</v>
      </c>
    </row>
    <row r="898" spans="1:7">
      <c r="A898" s="1">
        <v>45763</v>
      </c>
      <c r="B898" s="6">
        <v>0.44791666666666669</v>
      </c>
      <c r="C898" t="s">
        <v>22</v>
      </c>
      <c r="D898" s="7">
        <f t="shared" si="39"/>
        <v>45763.447916666664</v>
      </c>
      <c r="E898" t="str">
        <f t="shared" si="40"/>
        <v>16-04-2025 to 22-04-2025</v>
      </c>
      <c r="F898" t="str">
        <f>IF(COUNTIF('Top5'!I:I, G898) &gt; 0, "Yes", "No")</f>
        <v>No</v>
      </c>
      <c r="G898" t="str">
        <f t="shared" si="41"/>
        <v>16-04-2025 to 22-04-2025</v>
      </c>
    </row>
    <row r="899" spans="1:7">
      <c r="A899" s="1">
        <v>45763</v>
      </c>
      <c r="B899" s="6">
        <v>0.53194444444444444</v>
      </c>
      <c r="C899" t="s">
        <v>22</v>
      </c>
      <c r="D899" s="7">
        <f t="shared" ref="D899:D962" si="42">VALUE(A899) + VALUE(B899)</f>
        <v>45763.531944444447</v>
      </c>
      <c r="E899" t="str">
        <f t="shared" ref="E899:E962" si="43">TEXT(D899, "dd-mm-yyyy") &amp; " to " &amp; TEXT(D899+6, "dd-mm-yyyy")</f>
        <v>16-04-2025 to 22-04-2025</v>
      </c>
      <c r="F899" t="str">
        <f>IF(COUNTIF('Top5'!I:I, G899) &gt; 0, "Yes", "No")</f>
        <v>No</v>
      </c>
      <c r="G899" t="str">
        <f t="shared" ref="G899:G962" si="44">TRIM(E899)</f>
        <v>16-04-2025 to 22-04-2025</v>
      </c>
    </row>
    <row r="900" spans="1:7">
      <c r="A900" s="1">
        <v>45763</v>
      </c>
      <c r="B900" s="6">
        <v>0.69166666666666665</v>
      </c>
      <c r="C900" t="s">
        <v>22</v>
      </c>
      <c r="D900" s="7">
        <f t="shared" si="42"/>
        <v>45763.691666666666</v>
      </c>
      <c r="E900" t="str">
        <f t="shared" si="43"/>
        <v>16-04-2025 to 22-04-2025</v>
      </c>
      <c r="F900" t="str">
        <f>IF(COUNTIF('Top5'!I:I, G900) &gt; 0, "Yes", "No")</f>
        <v>No</v>
      </c>
      <c r="G900" t="str">
        <f t="shared" si="44"/>
        <v>16-04-2025 to 22-04-2025</v>
      </c>
    </row>
    <row r="901" spans="1:7">
      <c r="A901" s="1">
        <v>45763</v>
      </c>
      <c r="B901" s="6">
        <v>0.74722222222222223</v>
      </c>
      <c r="C901" t="s">
        <v>23</v>
      </c>
      <c r="D901" s="7">
        <f t="shared" si="42"/>
        <v>45763.74722222222</v>
      </c>
      <c r="E901" t="str">
        <f t="shared" si="43"/>
        <v>16-04-2025 to 22-04-2025</v>
      </c>
      <c r="F901" t="str">
        <f>IF(COUNTIF('Top5'!I:I, G901) &gt; 0, "Yes", "No")</f>
        <v>No</v>
      </c>
      <c r="G901" t="str">
        <f t="shared" si="44"/>
        <v>16-04-2025 to 22-04-2025</v>
      </c>
    </row>
    <row r="902" spans="1:7">
      <c r="A902" s="1">
        <v>45763</v>
      </c>
      <c r="B902" s="6">
        <v>0.79652777777777772</v>
      </c>
      <c r="C902" t="s">
        <v>23</v>
      </c>
      <c r="D902" s="7">
        <f t="shared" si="42"/>
        <v>45763.796527777777</v>
      </c>
      <c r="E902" t="str">
        <f t="shared" si="43"/>
        <v>16-04-2025 to 22-04-2025</v>
      </c>
      <c r="F902" t="str">
        <f>IF(COUNTIF('Top5'!I:I, G902) &gt; 0, "Yes", "No")</f>
        <v>No</v>
      </c>
      <c r="G902" t="str">
        <f t="shared" si="44"/>
        <v>16-04-2025 to 22-04-2025</v>
      </c>
    </row>
    <row r="903" spans="1:7">
      <c r="A903" s="1">
        <v>45763</v>
      </c>
      <c r="B903" s="6">
        <v>0.94930555555555551</v>
      </c>
      <c r="C903" t="s">
        <v>23</v>
      </c>
      <c r="D903" s="7">
        <f t="shared" si="42"/>
        <v>45763.949305555558</v>
      </c>
      <c r="E903" t="str">
        <f t="shared" si="43"/>
        <v>16-04-2025 to 22-04-2025</v>
      </c>
      <c r="F903" t="str">
        <f>IF(COUNTIF('Top5'!I:I, G903) &gt; 0, "Yes", "No")</f>
        <v>No</v>
      </c>
      <c r="G903" t="str">
        <f t="shared" si="44"/>
        <v>16-04-2025 to 22-04-2025</v>
      </c>
    </row>
    <row r="904" spans="1:7">
      <c r="A904" s="1">
        <v>45763</v>
      </c>
      <c r="B904" s="6">
        <v>0.95694444444444449</v>
      </c>
      <c r="C904" t="s">
        <v>23</v>
      </c>
      <c r="D904" s="7">
        <f t="shared" si="42"/>
        <v>45763.956944444442</v>
      </c>
      <c r="E904" t="str">
        <f t="shared" si="43"/>
        <v>16-04-2025 to 22-04-2025</v>
      </c>
      <c r="F904" t="str">
        <f>IF(COUNTIF('Top5'!I:I, G904) &gt; 0, "Yes", "No")</f>
        <v>No</v>
      </c>
      <c r="G904" t="str">
        <f t="shared" si="44"/>
        <v>16-04-2025 to 22-04-2025</v>
      </c>
    </row>
    <row r="905" spans="1:7">
      <c r="A905" s="1">
        <v>45763</v>
      </c>
      <c r="B905" s="6">
        <v>0.97638888888888886</v>
      </c>
      <c r="C905" t="s">
        <v>23</v>
      </c>
      <c r="D905" s="7">
        <f t="shared" si="42"/>
        <v>45763.976388888892</v>
      </c>
      <c r="E905" t="str">
        <f t="shared" si="43"/>
        <v>16-04-2025 to 22-04-2025</v>
      </c>
      <c r="F905" t="str">
        <f>IF(COUNTIF('Top5'!I:I, G905) &gt; 0, "Yes", "No")</f>
        <v>No</v>
      </c>
      <c r="G905" t="str">
        <f t="shared" si="44"/>
        <v>16-04-2025 to 22-04-2025</v>
      </c>
    </row>
    <row r="906" spans="1:7">
      <c r="A906" s="1">
        <v>45764</v>
      </c>
      <c r="B906" s="6">
        <v>6.2500000000000003E-3</v>
      </c>
      <c r="C906" t="s">
        <v>23</v>
      </c>
      <c r="D906" s="7">
        <f t="shared" si="42"/>
        <v>45764.006249999999</v>
      </c>
      <c r="E906" t="str">
        <f t="shared" si="43"/>
        <v>17-04-2025 to 23-04-2025</v>
      </c>
      <c r="F906" t="str">
        <f>IF(COUNTIF('Top5'!I:I, G906) &gt; 0, "Yes", "No")</f>
        <v>No</v>
      </c>
      <c r="G906" t="str">
        <f t="shared" si="44"/>
        <v>17-04-2025 to 23-04-2025</v>
      </c>
    </row>
    <row r="907" spans="1:7">
      <c r="A907" s="1">
        <v>45764</v>
      </c>
      <c r="B907" s="6">
        <v>8.3333333333333332E-3</v>
      </c>
      <c r="C907" t="s">
        <v>23</v>
      </c>
      <c r="D907" s="7">
        <f t="shared" si="42"/>
        <v>45764.008333333331</v>
      </c>
      <c r="E907" t="str">
        <f t="shared" si="43"/>
        <v>17-04-2025 to 23-04-2025</v>
      </c>
      <c r="F907" t="str">
        <f>IF(COUNTIF('Top5'!I:I, G907) &gt; 0, "Yes", "No")</f>
        <v>No</v>
      </c>
      <c r="G907" t="str">
        <f t="shared" si="44"/>
        <v>17-04-2025 to 23-04-2025</v>
      </c>
    </row>
    <row r="908" spans="1:7">
      <c r="A908" s="1">
        <v>45764</v>
      </c>
      <c r="B908" s="6">
        <v>1.0416666666666666E-2</v>
      </c>
      <c r="C908" t="s">
        <v>23</v>
      </c>
      <c r="D908" s="7">
        <f t="shared" si="42"/>
        <v>45764.010416666664</v>
      </c>
      <c r="E908" t="str">
        <f t="shared" si="43"/>
        <v>17-04-2025 to 23-04-2025</v>
      </c>
      <c r="F908" t="str">
        <f>IF(COUNTIF('Top5'!I:I, G908) &gt; 0, "Yes", "No")</f>
        <v>No</v>
      </c>
      <c r="G908" t="str">
        <f t="shared" si="44"/>
        <v>17-04-2025 to 23-04-2025</v>
      </c>
    </row>
    <row r="909" spans="1:7">
      <c r="A909" s="1">
        <v>45764</v>
      </c>
      <c r="B909" s="6">
        <v>1.1111111111111112E-2</v>
      </c>
      <c r="C909" t="s">
        <v>23</v>
      </c>
      <c r="D909" s="7">
        <f t="shared" si="42"/>
        <v>45764.011111111111</v>
      </c>
      <c r="E909" t="str">
        <f t="shared" si="43"/>
        <v>17-04-2025 to 23-04-2025</v>
      </c>
      <c r="F909" t="str">
        <f>IF(COUNTIF('Top5'!I:I, G909) &gt; 0, "Yes", "No")</f>
        <v>No</v>
      </c>
      <c r="G909" t="str">
        <f t="shared" si="44"/>
        <v>17-04-2025 to 23-04-2025</v>
      </c>
    </row>
    <row r="910" spans="1:7">
      <c r="A910" s="1">
        <v>45764</v>
      </c>
      <c r="B910" s="6">
        <v>0.36805555555555558</v>
      </c>
      <c r="C910" t="s">
        <v>22</v>
      </c>
      <c r="D910" s="7">
        <f t="shared" si="42"/>
        <v>45764.368055555555</v>
      </c>
      <c r="E910" t="str">
        <f t="shared" si="43"/>
        <v>17-04-2025 to 23-04-2025</v>
      </c>
      <c r="F910" t="str">
        <f>IF(COUNTIF('Top5'!I:I, G910) &gt; 0, "Yes", "No")</f>
        <v>No</v>
      </c>
      <c r="G910" t="str">
        <f t="shared" si="44"/>
        <v>17-04-2025 to 23-04-2025</v>
      </c>
    </row>
    <row r="911" spans="1:7">
      <c r="A911" s="1">
        <v>45764</v>
      </c>
      <c r="B911" s="6">
        <v>0.36944444444444446</v>
      </c>
      <c r="C911" t="s">
        <v>22</v>
      </c>
      <c r="D911" s="7">
        <f t="shared" si="42"/>
        <v>45764.369444444441</v>
      </c>
      <c r="E911" t="str">
        <f t="shared" si="43"/>
        <v>17-04-2025 to 23-04-2025</v>
      </c>
      <c r="F911" t="str">
        <f>IF(COUNTIF('Top5'!I:I, G911) &gt; 0, "Yes", "No")</f>
        <v>No</v>
      </c>
      <c r="G911" t="str">
        <f t="shared" si="44"/>
        <v>17-04-2025 to 23-04-2025</v>
      </c>
    </row>
    <row r="912" spans="1:7">
      <c r="A912" s="1">
        <v>45764</v>
      </c>
      <c r="B912" s="6">
        <v>0.43402777777777779</v>
      </c>
      <c r="C912" t="s">
        <v>22</v>
      </c>
      <c r="D912" s="7">
        <f t="shared" si="42"/>
        <v>45764.434027777781</v>
      </c>
      <c r="E912" t="str">
        <f t="shared" si="43"/>
        <v>17-04-2025 to 23-04-2025</v>
      </c>
      <c r="F912" t="str">
        <f>IF(COUNTIF('Top5'!I:I, G912) &gt; 0, "Yes", "No")</f>
        <v>No</v>
      </c>
      <c r="G912" t="str">
        <f t="shared" si="44"/>
        <v>17-04-2025 to 23-04-2025</v>
      </c>
    </row>
    <row r="913" spans="1:7">
      <c r="A913" s="1">
        <v>45764</v>
      </c>
      <c r="B913" s="6">
        <v>0.43402777777777779</v>
      </c>
      <c r="C913" t="s">
        <v>22</v>
      </c>
      <c r="D913" s="7">
        <f t="shared" si="42"/>
        <v>45764.434027777781</v>
      </c>
      <c r="E913" t="str">
        <f t="shared" si="43"/>
        <v>17-04-2025 to 23-04-2025</v>
      </c>
      <c r="F913" t="str">
        <f>IF(COUNTIF('Top5'!I:I, G913) &gt; 0, "Yes", "No")</f>
        <v>No</v>
      </c>
      <c r="G913" t="str">
        <f t="shared" si="44"/>
        <v>17-04-2025 to 23-04-2025</v>
      </c>
    </row>
    <row r="914" spans="1:7">
      <c r="A914" s="1">
        <v>45764</v>
      </c>
      <c r="B914" s="6">
        <v>0.44513888888888886</v>
      </c>
      <c r="C914" t="s">
        <v>22</v>
      </c>
      <c r="D914" s="7">
        <f t="shared" si="42"/>
        <v>45764.445138888892</v>
      </c>
      <c r="E914" t="str">
        <f t="shared" si="43"/>
        <v>17-04-2025 to 23-04-2025</v>
      </c>
      <c r="F914" t="str">
        <f>IF(COUNTIF('Top5'!I:I, G914) &gt; 0, "Yes", "No")</f>
        <v>No</v>
      </c>
      <c r="G914" t="str">
        <f t="shared" si="44"/>
        <v>17-04-2025 to 23-04-2025</v>
      </c>
    </row>
    <row r="915" spans="1:7">
      <c r="A915" s="1">
        <v>45764</v>
      </c>
      <c r="B915" s="6">
        <v>0.4548611111111111</v>
      </c>
      <c r="C915" t="s">
        <v>22</v>
      </c>
      <c r="D915" s="7">
        <f t="shared" si="42"/>
        <v>45764.454861111109</v>
      </c>
      <c r="E915" t="str">
        <f t="shared" si="43"/>
        <v>17-04-2025 to 23-04-2025</v>
      </c>
      <c r="F915" t="str">
        <f>IF(COUNTIF('Top5'!I:I, G915) &gt; 0, "Yes", "No")</f>
        <v>No</v>
      </c>
      <c r="G915" t="str">
        <f t="shared" si="44"/>
        <v>17-04-2025 to 23-04-2025</v>
      </c>
    </row>
    <row r="916" spans="1:7">
      <c r="A916" s="1">
        <v>45764</v>
      </c>
      <c r="B916" s="6">
        <v>0.48958333333333331</v>
      </c>
      <c r="C916" t="s">
        <v>22</v>
      </c>
      <c r="D916" s="7">
        <f t="shared" si="42"/>
        <v>45764.489583333336</v>
      </c>
      <c r="E916" t="str">
        <f t="shared" si="43"/>
        <v>17-04-2025 to 23-04-2025</v>
      </c>
      <c r="F916" t="str">
        <f>IF(COUNTIF('Top5'!I:I, G916) &gt; 0, "Yes", "No")</f>
        <v>No</v>
      </c>
      <c r="G916" t="str">
        <f t="shared" si="44"/>
        <v>17-04-2025 to 23-04-2025</v>
      </c>
    </row>
    <row r="917" spans="1:7">
      <c r="A917" s="1">
        <v>45765</v>
      </c>
      <c r="B917" s="6">
        <v>0.43611111111111112</v>
      </c>
      <c r="C917" t="s">
        <v>22</v>
      </c>
      <c r="D917" s="7">
        <f t="shared" si="42"/>
        <v>45765.436111111114</v>
      </c>
      <c r="E917" t="str">
        <f t="shared" si="43"/>
        <v>18-04-2025 to 24-04-2025</v>
      </c>
      <c r="F917" t="str">
        <f>IF(COUNTIF('Top5'!I:I, G917) &gt; 0, "Yes", "No")</f>
        <v>No</v>
      </c>
      <c r="G917" t="str">
        <f t="shared" si="44"/>
        <v>18-04-2025 to 24-04-2025</v>
      </c>
    </row>
    <row r="918" spans="1:7">
      <c r="A918" s="1">
        <v>45765</v>
      </c>
      <c r="B918" s="6">
        <v>0.44166666666666665</v>
      </c>
      <c r="C918" t="s">
        <v>22</v>
      </c>
      <c r="D918" s="7">
        <f t="shared" si="42"/>
        <v>45765.441666666666</v>
      </c>
      <c r="E918" t="str">
        <f t="shared" si="43"/>
        <v>18-04-2025 to 24-04-2025</v>
      </c>
      <c r="F918" t="str">
        <f>IF(COUNTIF('Top5'!I:I, G918) &gt; 0, "Yes", "No")</f>
        <v>No</v>
      </c>
      <c r="G918" t="str">
        <f t="shared" si="44"/>
        <v>18-04-2025 to 24-04-2025</v>
      </c>
    </row>
    <row r="919" spans="1:7">
      <c r="A919" s="1">
        <v>45765</v>
      </c>
      <c r="B919" s="6">
        <v>0.44374999999999998</v>
      </c>
      <c r="C919" t="s">
        <v>22</v>
      </c>
      <c r="D919" s="7">
        <f t="shared" si="42"/>
        <v>45765.443749999999</v>
      </c>
      <c r="E919" t="str">
        <f t="shared" si="43"/>
        <v>18-04-2025 to 24-04-2025</v>
      </c>
      <c r="F919" t="str">
        <f>IF(COUNTIF('Top5'!I:I, G919) &gt; 0, "Yes", "No")</f>
        <v>No</v>
      </c>
      <c r="G919" t="str">
        <f t="shared" si="44"/>
        <v>18-04-2025 to 24-04-2025</v>
      </c>
    </row>
    <row r="920" spans="1:7">
      <c r="A920" s="1">
        <v>45765</v>
      </c>
      <c r="B920" s="6">
        <v>0.71388888888888891</v>
      </c>
      <c r="C920" t="s">
        <v>23</v>
      </c>
      <c r="D920" s="7">
        <f t="shared" si="42"/>
        <v>45765.713888888888</v>
      </c>
      <c r="E920" t="str">
        <f t="shared" si="43"/>
        <v>18-04-2025 to 24-04-2025</v>
      </c>
      <c r="F920" t="str">
        <f>IF(COUNTIF('Top5'!I:I, G920) &gt; 0, "Yes", "No")</f>
        <v>No</v>
      </c>
      <c r="G920" t="str">
        <f t="shared" si="44"/>
        <v>18-04-2025 to 24-04-2025</v>
      </c>
    </row>
    <row r="921" spans="1:7">
      <c r="A921" s="1">
        <v>45765</v>
      </c>
      <c r="B921" s="6">
        <v>0.90347222222222223</v>
      </c>
      <c r="C921" t="s">
        <v>23</v>
      </c>
      <c r="D921" s="7">
        <f t="shared" si="42"/>
        <v>45765.90347222222</v>
      </c>
      <c r="E921" t="str">
        <f t="shared" si="43"/>
        <v>18-04-2025 to 24-04-2025</v>
      </c>
      <c r="F921" t="str">
        <f>IF(COUNTIF('Top5'!I:I, G921) &gt; 0, "Yes", "No")</f>
        <v>No</v>
      </c>
      <c r="G921" t="str">
        <f t="shared" si="44"/>
        <v>18-04-2025 to 24-04-2025</v>
      </c>
    </row>
    <row r="922" spans="1:7">
      <c r="A922" s="1">
        <v>45766</v>
      </c>
      <c r="B922" s="6">
        <v>0.46597222222222223</v>
      </c>
      <c r="C922" t="s">
        <v>22</v>
      </c>
      <c r="D922" s="7">
        <f t="shared" si="42"/>
        <v>45766.46597222222</v>
      </c>
      <c r="E922" t="str">
        <f t="shared" si="43"/>
        <v>19-04-2025 to 25-04-2025</v>
      </c>
      <c r="F922" t="str">
        <f>IF(COUNTIF('Top5'!I:I, G922) &gt; 0, "Yes", "No")</f>
        <v>No</v>
      </c>
      <c r="G922" t="str">
        <f t="shared" si="44"/>
        <v>19-04-2025 to 25-04-2025</v>
      </c>
    </row>
    <row r="923" spans="1:7">
      <c r="A923" s="1">
        <v>45766</v>
      </c>
      <c r="B923" s="6">
        <v>0.47152777777777777</v>
      </c>
      <c r="C923" t="s">
        <v>22</v>
      </c>
      <c r="D923" s="7">
        <f t="shared" si="42"/>
        <v>45766.47152777778</v>
      </c>
      <c r="E923" t="str">
        <f t="shared" si="43"/>
        <v>19-04-2025 to 25-04-2025</v>
      </c>
      <c r="F923" t="str">
        <f>IF(COUNTIF('Top5'!I:I, G923) &gt; 0, "Yes", "No")</f>
        <v>No</v>
      </c>
      <c r="G923" t="str">
        <f t="shared" si="44"/>
        <v>19-04-2025 to 25-04-2025</v>
      </c>
    </row>
    <row r="924" spans="1:7">
      <c r="A924" s="1">
        <v>45766</v>
      </c>
      <c r="B924" s="6">
        <v>0.61597222222222225</v>
      </c>
      <c r="C924" t="s">
        <v>22</v>
      </c>
      <c r="D924" s="7">
        <f t="shared" si="42"/>
        <v>45766.615972222222</v>
      </c>
      <c r="E924" t="str">
        <f t="shared" si="43"/>
        <v>19-04-2025 to 25-04-2025</v>
      </c>
      <c r="F924" t="str">
        <f>IF(COUNTIF('Top5'!I:I, G924) &gt; 0, "Yes", "No")</f>
        <v>No</v>
      </c>
      <c r="G924" t="str">
        <f t="shared" si="44"/>
        <v>19-04-2025 to 25-04-2025</v>
      </c>
    </row>
    <row r="925" spans="1:7">
      <c r="A925" s="1">
        <v>45767</v>
      </c>
      <c r="B925" s="6">
        <v>0.44930555555555557</v>
      </c>
      <c r="C925" t="s">
        <v>22</v>
      </c>
      <c r="D925" s="7">
        <f t="shared" si="42"/>
        <v>45767.449305555558</v>
      </c>
      <c r="E925" t="str">
        <f t="shared" si="43"/>
        <v>20-04-2025 to 26-04-2025</v>
      </c>
      <c r="F925" t="str">
        <f>IF(COUNTIF('Top5'!I:I, G925) &gt; 0, "Yes", "No")</f>
        <v>No</v>
      </c>
      <c r="G925" t="str">
        <f t="shared" si="44"/>
        <v>20-04-2025 to 26-04-2025</v>
      </c>
    </row>
    <row r="926" spans="1:7">
      <c r="A926" s="1">
        <v>45767</v>
      </c>
      <c r="B926" s="6">
        <v>0.4597222222222222</v>
      </c>
      <c r="C926" t="s">
        <v>22</v>
      </c>
      <c r="D926" s="7">
        <f t="shared" si="42"/>
        <v>45767.459722222222</v>
      </c>
      <c r="E926" t="str">
        <f t="shared" si="43"/>
        <v>20-04-2025 to 26-04-2025</v>
      </c>
      <c r="F926" t="str">
        <f>IF(COUNTIF('Top5'!I:I, G926) &gt; 0, "Yes", "No")</f>
        <v>No</v>
      </c>
      <c r="G926" t="str">
        <f t="shared" si="44"/>
        <v>20-04-2025 to 26-04-2025</v>
      </c>
    </row>
    <row r="927" spans="1:7">
      <c r="A927" s="1">
        <v>45767</v>
      </c>
      <c r="B927" s="6">
        <v>0.48888888888888887</v>
      </c>
      <c r="C927" t="s">
        <v>22</v>
      </c>
      <c r="D927" s="7">
        <f t="shared" si="42"/>
        <v>45767.488888888889</v>
      </c>
      <c r="E927" t="str">
        <f t="shared" si="43"/>
        <v>20-04-2025 to 26-04-2025</v>
      </c>
      <c r="F927" t="str">
        <f>IF(COUNTIF('Top5'!I:I, G927) &gt; 0, "Yes", "No")</f>
        <v>No</v>
      </c>
      <c r="G927" t="str">
        <f t="shared" si="44"/>
        <v>20-04-2025 to 26-04-2025</v>
      </c>
    </row>
    <row r="928" spans="1:7">
      <c r="A928" s="1">
        <v>45768</v>
      </c>
      <c r="B928" s="6">
        <v>0.76736111111111116</v>
      </c>
      <c r="C928" t="s">
        <v>23</v>
      </c>
      <c r="D928" s="7">
        <f t="shared" si="42"/>
        <v>45768.767361111109</v>
      </c>
      <c r="E928" t="str">
        <f t="shared" si="43"/>
        <v>21-04-2025 to 27-04-2025</v>
      </c>
      <c r="F928" t="str">
        <f>IF(COUNTIF('Top5'!I:I, G928) &gt; 0, "Yes", "No")</f>
        <v>No</v>
      </c>
      <c r="G928" t="str">
        <f t="shared" si="44"/>
        <v>21-04-2025 to 27-04-2025</v>
      </c>
    </row>
    <row r="929" spans="1:7">
      <c r="A929" s="1">
        <v>45768</v>
      </c>
      <c r="B929" s="6">
        <v>0.7729166666666667</v>
      </c>
      <c r="C929" t="s">
        <v>23</v>
      </c>
      <c r="D929" s="7">
        <f t="shared" si="42"/>
        <v>45768.772916666669</v>
      </c>
      <c r="E929" t="str">
        <f t="shared" si="43"/>
        <v>21-04-2025 to 27-04-2025</v>
      </c>
      <c r="F929" t="str">
        <f>IF(COUNTIF('Top5'!I:I, G929) &gt; 0, "Yes", "No")</f>
        <v>No</v>
      </c>
      <c r="G929" t="str">
        <f t="shared" si="44"/>
        <v>21-04-2025 to 27-04-2025</v>
      </c>
    </row>
    <row r="930" spans="1:7">
      <c r="A930" s="1">
        <v>45768</v>
      </c>
      <c r="B930" s="6">
        <v>0.78263888888888888</v>
      </c>
      <c r="C930" t="s">
        <v>23</v>
      </c>
      <c r="D930" s="7">
        <f t="shared" si="42"/>
        <v>45768.782638888886</v>
      </c>
      <c r="E930" t="str">
        <f t="shared" si="43"/>
        <v>21-04-2025 to 27-04-2025</v>
      </c>
      <c r="F930" t="str">
        <f>IF(COUNTIF('Top5'!I:I, G930) &gt; 0, "Yes", "No")</f>
        <v>No</v>
      </c>
      <c r="G930" t="str">
        <f t="shared" si="44"/>
        <v>21-04-2025 to 27-04-2025</v>
      </c>
    </row>
    <row r="931" spans="1:7">
      <c r="A931" s="1">
        <v>45769</v>
      </c>
      <c r="B931" s="6">
        <v>0.4513888888888889</v>
      </c>
      <c r="C931" t="s">
        <v>22</v>
      </c>
      <c r="D931" s="7">
        <f t="shared" si="42"/>
        <v>45769.451388888891</v>
      </c>
      <c r="E931" t="str">
        <f t="shared" si="43"/>
        <v>22-04-2025 to 28-04-2025</v>
      </c>
      <c r="F931" t="str">
        <f>IF(COUNTIF('Top5'!I:I, G931) &gt; 0, "Yes", "No")</f>
        <v>No</v>
      </c>
      <c r="G931" t="str">
        <f t="shared" si="44"/>
        <v>22-04-2025 to 28-04-2025</v>
      </c>
    </row>
    <row r="932" spans="1:7">
      <c r="A932" s="1">
        <v>45769</v>
      </c>
      <c r="B932" s="6">
        <v>0.66527777777777775</v>
      </c>
      <c r="C932" t="s">
        <v>22</v>
      </c>
      <c r="D932" s="7">
        <f t="shared" si="42"/>
        <v>45769.665277777778</v>
      </c>
      <c r="E932" t="str">
        <f t="shared" si="43"/>
        <v>22-04-2025 to 28-04-2025</v>
      </c>
      <c r="F932" t="str">
        <f>IF(COUNTIF('Top5'!I:I, G932) &gt; 0, "Yes", "No")</f>
        <v>No</v>
      </c>
      <c r="G932" t="str">
        <f t="shared" si="44"/>
        <v>22-04-2025 to 28-04-2025</v>
      </c>
    </row>
    <row r="933" spans="1:7">
      <c r="A933" s="1">
        <v>45769</v>
      </c>
      <c r="B933" s="6">
        <v>0.76736111111111116</v>
      </c>
      <c r="C933" t="s">
        <v>23</v>
      </c>
      <c r="D933" s="7">
        <f t="shared" si="42"/>
        <v>45769.767361111109</v>
      </c>
      <c r="E933" t="str">
        <f t="shared" si="43"/>
        <v>22-04-2025 to 28-04-2025</v>
      </c>
      <c r="F933" t="str">
        <f>IF(COUNTIF('Top5'!I:I, G933) &gt; 0, "Yes", "No")</f>
        <v>No</v>
      </c>
      <c r="G933" t="str">
        <f t="shared" si="44"/>
        <v>22-04-2025 to 28-04-2025</v>
      </c>
    </row>
    <row r="934" spans="1:7">
      <c r="A934" s="1">
        <v>45769</v>
      </c>
      <c r="B934" s="6">
        <v>0.77500000000000002</v>
      </c>
      <c r="C934" t="s">
        <v>23</v>
      </c>
      <c r="D934" s="7">
        <f t="shared" si="42"/>
        <v>45769.775000000001</v>
      </c>
      <c r="E934" t="str">
        <f t="shared" si="43"/>
        <v>22-04-2025 to 28-04-2025</v>
      </c>
      <c r="F934" t="str">
        <f>IF(COUNTIF('Top5'!I:I, G934) &gt; 0, "Yes", "No")</f>
        <v>No</v>
      </c>
      <c r="G934" t="str">
        <f t="shared" si="44"/>
        <v>22-04-2025 to 28-04-2025</v>
      </c>
    </row>
    <row r="935" spans="1:7">
      <c r="A935" s="1">
        <v>45769</v>
      </c>
      <c r="B935" s="6">
        <v>0.80763888888888891</v>
      </c>
      <c r="C935" t="s">
        <v>23</v>
      </c>
      <c r="D935" s="7">
        <f t="shared" si="42"/>
        <v>45769.807638888888</v>
      </c>
      <c r="E935" t="str">
        <f t="shared" si="43"/>
        <v>22-04-2025 to 28-04-2025</v>
      </c>
      <c r="F935" t="str">
        <f>IF(COUNTIF('Top5'!I:I, G935) &gt; 0, "Yes", "No")</f>
        <v>No</v>
      </c>
      <c r="G935" t="str">
        <f t="shared" si="44"/>
        <v>22-04-2025 to 28-04-2025</v>
      </c>
    </row>
    <row r="936" spans="1:7">
      <c r="A936" s="1">
        <v>45769</v>
      </c>
      <c r="B936" s="6">
        <v>0.97361111111111109</v>
      </c>
      <c r="C936" t="s">
        <v>23</v>
      </c>
      <c r="D936" s="7">
        <f t="shared" si="42"/>
        <v>45769.973611111112</v>
      </c>
      <c r="E936" t="str">
        <f t="shared" si="43"/>
        <v>22-04-2025 to 28-04-2025</v>
      </c>
      <c r="F936" t="str">
        <f>IF(COUNTIF('Top5'!I:I, G936) &gt; 0, "Yes", "No")</f>
        <v>No</v>
      </c>
      <c r="G936" t="str">
        <f t="shared" si="44"/>
        <v>22-04-2025 to 28-04-2025</v>
      </c>
    </row>
    <row r="937" spans="1:7">
      <c r="A937" s="1">
        <v>45769</v>
      </c>
      <c r="B937" s="6">
        <v>0.9819444444444444</v>
      </c>
      <c r="C937" t="s">
        <v>23</v>
      </c>
      <c r="D937" s="7">
        <f t="shared" si="42"/>
        <v>45769.981944444444</v>
      </c>
      <c r="E937" t="str">
        <f t="shared" si="43"/>
        <v>22-04-2025 to 28-04-2025</v>
      </c>
      <c r="F937" t="str">
        <f>IF(COUNTIF('Top5'!I:I, G937) &gt; 0, "Yes", "No")</f>
        <v>No</v>
      </c>
      <c r="G937" t="str">
        <f t="shared" si="44"/>
        <v>22-04-2025 to 28-04-2025</v>
      </c>
    </row>
    <row r="938" spans="1:7">
      <c r="A938" s="1">
        <v>45770</v>
      </c>
      <c r="B938" s="6">
        <v>0.43333333333333335</v>
      </c>
      <c r="C938" t="s">
        <v>22</v>
      </c>
      <c r="D938" s="7">
        <f t="shared" si="42"/>
        <v>45770.433333333334</v>
      </c>
      <c r="E938" t="str">
        <f t="shared" si="43"/>
        <v>23-04-2025 to 29-04-2025</v>
      </c>
      <c r="F938" t="str">
        <f>IF(COUNTIF('Top5'!I:I, G938) &gt; 0, "Yes", "No")</f>
        <v>No</v>
      </c>
      <c r="G938" t="str">
        <f t="shared" si="44"/>
        <v>23-04-2025 to 29-04-2025</v>
      </c>
    </row>
    <row r="939" spans="1:7">
      <c r="A939" s="1">
        <v>45770</v>
      </c>
      <c r="B939" s="6">
        <v>0.43680555555555556</v>
      </c>
      <c r="C939" t="s">
        <v>22</v>
      </c>
      <c r="D939" s="7">
        <f t="shared" si="42"/>
        <v>45770.436805555553</v>
      </c>
      <c r="E939" t="str">
        <f t="shared" si="43"/>
        <v>23-04-2025 to 29-04-2025</v>
      </c>
      <c r="F939" t="str">
        <f>IF(COUNTIF('Top5'!I:I, G939) &gt; 0, "Yes", "No")</f>
        <v>No</v>
      </c>
      <c r="G939" t="str">
        <f t="shared" si="44"/>
        <v>23-04-2025 to 29-04-2025</v>
      </c>
    </row>
    <row r="940" spans="1:7">
      <c r="A940" s="1">
        <v>45770</v>
      </c>
      <c r="B940" s="6">
        <v>0.49652777777777779</v>
      </c>
      <c r="C940" t="s">
        <v>22</v>
      </c>
      <c r="D940" s="7">
        <f t="shared" si="42"/>
        <v>45770.496527777781</v>
      </c>
      <c r="E940" t="str">
        <f t="shared" si="43"/>
        <v>23-04-2025 to 29-04-2025</v>
      </c>
      <c r="F940" t="str">
        <f>IF(COUNTIF('Top5'!I:I, G940) &gt; 0, "Yes", "No")</f>
        <v>No</v>
      </c>
      <c r="G940" t="str">
        <f t="shared" si="44"/>
        <v>23-04-2025 to 29-04-2025</v>
      </c>
    </row>
    <row r="941" spans="1:7">
      <c r="A941" s="1">
        <v>45770</v>
      </c>
      <c r="B941" s="6">
        <v>0.49861111111111112</v>
      </c>
      <c r="C941" t="s">
        <v>22</v>
      </c>
      <c r="D941" s="7">
        <f t="shared" si="42"/>
        <v>45770.498611111114</v>
      </c>
      <c r="E941" t="str">
        <f t="shared" si="43"/>
        <v>23-04-2025 to 29-04-2025</v>
      </c>
      <c r="F941" t="str">
        <f>IF(COUNTIF('Top5'!I:I, G941) &gt; 0, "Yes", "No")</f>
        <v>No</v>
      </c>
      <c r="G941" t="str">
        <f t="shared" si="44"/>
        <v>23-04-2025 to 29-04-2025</v>
      </c>
    </row>
    <row r="942" spans="1:7">
      <c r="A942" s="1">
        <v>45770</v>
      </c>
      <c r="B942" s="6">
        <v>0.49930555555555556</v>
      </c>
      <c r="C942" t="s">
        <v>22</v>
      </c>
      <c r="D942" s="7">
        <f t="shared" si="42"/>
        <v>45770.499305555553</v>
      </c>
      <c r="E942" t="str">
        <f t="shared" si="43"/>
        <v>23-04-2025 to 29-04-2025</v>
      </c>
      <c r="F942" t="str">
        <f>IF(COUNTIF('Top5'!I:I, G942) &gt; 0, "Yes", "No")</f>
        <v>No</v>
      </c>
      <c r="G942" t="str">
        <f t="shared" si="44"/>
        <v>23-04-2025 to 29-04-2025</v>
      </c>
    </row>
    <row r="943" spans="1:7">
      <c r="A943" s="1">
        <v>45770</v>
      </c>
      <c r="B943" s="6">
        <v>0.51388888888888884</v>
      </c>
      <c r="C943" t="s">
        <v>22</v>
      </c>
      <c r="D943" s="7">
        <f t="shared" si="42"/>
        <v>45770.513888888891</v>
      </c>
      <c r="E943" t="str">
        <f t="shared" si="43"/>
        <v>23-04-2025 to 29-04-2025</v>
      </c>
      <c r="F943" t="str">
        <f>IF(COUNTIF('Top5'!I:I, G943) &gt; 0, "Yes", "No")</f>
        <v>No</v>
      </c>
      <c r="G943" t="str">
        <f t="shared" si="44"/>
        <v>23-04-2025 to 29-04-2025</v>
      </c>
    </row>
    <row r="944" spans="1:7">
      <c r="A944" s="1">
        <v>45770</v>
      </c>
      <c r="B944" s="6">
        <v>0.51388888888888884</v>
      </c>
      <c r="C944" t="s">
        <v>22</v>
      </c>
      <c r="D944" s="7">
        <f t="shared" si="42"/>
        <v>45770.513888888891</v>
      </c>
      <c r="E944" t="str">
        <f t="shared" si="43"/>
        <v>23-04-2025 to 29-04-2025</v>
      </c>
      <c r="F944" t="str">
        <f>IF(COUNTIF('Top5'!I:I, G944) &gt; 0, "Yes", "No")</f>
        <v>No</v>
      </c>
      <c r="G944" t="str">
        <f t="shared" si="44"/>
        <v>23-04-2025 to 29-04-2025</v>
      </c>
    </row>
    <row r="945" spans="1:7">
      <c r="A945" s="1">
        <v>45770</v>
      </c>
      <c r="B945" s="6">
        <v>0.51458333333333328</v>
      </c>
      <c r="C945" t="s">
        <v>22</v>
      </c>
      <c r="D945" s="7">
        <f t="shared" si="42"/>
        <v>45770.51458333333</v>
      </c>
      <c r="E945" t="str">
        <f t="shared" si="43"/>
        <v>23-04-2025 to 29-04-2025</v>
      </c>
      <c r="F945" t="str">
        <f>IF(COUNTIF('Top5'!I:I, G945) &gt; 0, "Yes", "No")</f>
        <v>No</v>
      </c>
      <c r="G945" t="str">
        <f t="shared" si="44"/>
        <v>23-04-2025 to 29-04-2025</v>
      </c>
    </row>
    <row r="946" spans="1:7">
      <c r="A946" s="1">
        <v>45770</v>
      </c>
      <c r="B946" s="6">
        <v>0.51666666666666672</v>
      </c>
      <c r="C946" t="s">
        <v>22</v>
      </c>
      <c r="D946" s="7">
        <f t="shared" si="42"/>
        <v>45770.51666666667</v>
      </c>
      <c r="E946" t="str">
        <f t="shared" si="43"/>
        <v>23-04-2025 to 29-04-2025</v>
      </c>
      <c r="F946" t="str">
        <f>IF(COUNTIF('Top5'!I:I, G946) &gt; 0, "Yes", "No")</f>
        <v>No</v>
      </c>
      <c r="G946" t="str">
        <f t="shared" si="44"/>
        <v>23-04-2025 to 29-04-2025</v>
      </c>
    </row>
    <row r="947" spans="1:7">
      <c r="A947" s="1">
        <v>45770</v>
      </c>
      <c r="B947" s="6">
        <v>0.51736111111111116</v>
      </c>
      <c r="C947" t="s">
        <v>22</v>
      </c>
      <c r="D947" s="7">
        <f t="shared" si="42"/>
        <v>45770.517361111109</v>
      </c>
      <c r="E947" t="str">
        <f t="shared" si="43"/>
        <v>23-04-2025 to 29-04-2025</v>
      </c>
      <c r="F947" t="str">
        <f>IF(COUNTIF('Top5'!I:I, G947) &gt; 0, "Yes", "No")</f>
        <v>No</v>
      </c>
      <c r="G947" t="str">
        <f t="shared" si="44"/>
        <v>23-04-2025 to 29-04-2025</v>
      </c>
    </row>
    <row r="948" spans="1:7">
      <c r="A948" s="1">
        <v>45770</v>
      </c>
      <c r="B948" s="6">
        <v>0.5180555555555556</v>
      </c>
      <c r="C948" t="s">
        <v>22</v>
      </c>
      <c r="D948" s="7">
        <f t="shared" si="42"/>
        <v>45770.518055555556</v>
      </c>
      <c r="E948" t="str">
        <f t="shared" si="43"/>
        <v>23-04-2025 to 29-04-2025</v>
      </c>
      <c r="F948" t="str">
        <f>IF(COUNTIF('Top5'!I:I, G948) &gt; 0, "Yes", "No")</f>
        <v>No</v>
      </c>
      <c r="G948" t="str">
        <f t="shared" si="44"/>
        <v>23-04-2025 to 29-04-2025</v>
      </c>
    </row>
    <row r="949" spans="1:7">
      <c r="A949" s="1">
        <v>45770</v>
      </c>
      <c r="B949" s="6">
        <v>0.5180555555555556</v>
      </c>
      <c r="C949" t="s">
        <v>22</v>
      </c>
      <c r="D949" s="7">
        <f t="shared" si="42"/>
        <v>45770.518055555556</v>
      </c>
      <c r="E949" t="str">
        <f t="shared" si="43"/>
        <v>23-04-2025 to 29-04-2025</v>
      </c>
      <c r="F949" t="str">
        <f>IF(COUNTIF('Top5'!I:I, G949) &gt; 0, "Yes", "No")</f>
        <v>No</v>
      </c>
      <c r="G949" t="str">
        <f t="shared" si="44"/>
        <v>23-04-2025 to 29-04-2025</v>
      </c>
    </row>
    <row r="950" spans="1:7">
      <c r="A950" s="1">
        <v>45770</v>
      </c>
      <c r="B950" s="6">
        <v>0.5180555555555556</v>
      </c>
      <c r="C950" t="s">
        <v>22</v>
      </c>
      <c r="D950" s="7">
        <f t="shared" si="42"/>
        <v>45770.518055555556</v>
      </c>
      <c r="E950" t="str">
        <f t="shared" si="43"/>
        <v>23-04-2025 to 29-04-2025</v>
      </c>
      <c r="F950" t="str">
        <f>IF(COUNTIF('Top5'!I:I, G950) &gt; 0, "Yes", "No")</f>
        <v>No</v>
      </c>
      <c r="G950" t="str">
        <f t="shared" si="44"/>
        <v>23-04-2025 to 29-04-2025</v>
      </c>
    </row>
    <row r="951" spans="1:7">
      <c r="A951" s="1">
        <v>45770</v>
      </c>
      <c r="B951" s="6">
        <v>0.51875000000000004</v>
      </c>
      <c r="C951" t="s">
        <v>22</v>
      </c>
      <c r="D951" s="7">
        <f t="shared" si="42"/>
        <v>45770.518750000003</v>
      </c>
      <c r="E951" t="str">
        <f t="shared" si="43"/>
        <v>23-04-2025 to 29-04-2025</v>
      </c>
      <c r="F951" t="str">
        <f>IF(COUNTIF('Top5'!I:I, G951) &gt; 0, "Yes", "No")</f>
        <v>No</v>
      </c>
      <c r="G951" t="str">
        <f t="shared" si="44"/>
        <v>23-04-2025 to 29-04-2025</v>
      </c>
    </row>
    <row r="952" spans="1:7">
      <c r="A952" s="1">
        <v>45770</v>
      </c>
      <c r="B952" s="6">
        <v>0.52777777777777779</v>
      </c>
      <c r="C952" t="s">
        <v>22</v>
      </c>
      <c r="D952" s="7">
        <f t="shared" si="42"/>
        <v>45770.527777777781</v>
      </c>
      <c r="E952" t="str">
        <f t="shared" si="43"/>
        <v>23-04-2025 to 29-04-2025</v>
      </c>
      <c r="F952" t="str">
        <f>IF(COUNTIF('Top5'!I:I, G952) &gt; 0, "Yes", "No")</f>
        <v>No</v>
      </c>
      <c r="G952" t="str">
        <f t="shared" si="44"/>
        <v>23-04-2025 to 29-04-2025</v>
      </c>
    </row>
    <row r="953" spans="1:7">
      <c r="A953" s="1">
        <v>45770</v>
      </c>
      <c r="B953" s="6">
        <v>0.52916666666666667</v>
      </c>
      <c r="C953" t="s">
        <v>22</v>
      </c>
      <c r="D953" s="7">
        <f t="shared" si="42"/>
        <v>45770.529166666667</v>
      </c>
      <c r="E953" t="str">
        <f t="shared" si="43"/>
        <v>23-04-2025 to 29-04-2025</v>
      </c>
      <c r="F953" t="str">
        <f>IF(COUNTIF('Top5'!I:I, G953) &gt; 0, "Yes", "No")</f>
        <v>No</v>
      </c>
      <c r="G953" t="str">
        <f t="shared" si="44"/>
        <v>23-04-2025 to 29-04-2025</v>
      </c>
    </row>
    <row r="954" spans="1:7">
      <c r="A954" s="1">
        <v>45770</v>
      </c>
      <c r="B954" s="6">
        <v>0.53055555555555556</v>
      </c>
      <c r="C954" t="s">
        <v>22</v>
      </c>
      <c r="D954" s="7">
        <f t="shared" si="42"/>
        <v>45770.530555555553</v>
      </c>
      <c r="E954" t="str">
        <f t="shared" si="43"/>
        <v>23-04-2025 to 29-04-2025</v>
      </c>
      <c r="F954" t="str">
        <f>IF(COUNTIF('Top5'!I:I, G954) &gt; 0, "Yes", "No")</f>
        <v>No</v>
      </c>
      <c r="G954" t="str">
        <f t="shared" si="44"/>
        <v>23-04-2025 to 29-04-2025</v>
      </c>
    </row>
    <row r="955" spans="1:7">
      <c r="A955" s="1">
        <v>45770</v>
      </c>
      <c r="B955" s="6">
        <v>0.53125</v>
      </c>
      <c r="C955" t="s">
        <v>22</v>
      </c>
      <c r="D955" s="7">
        <f t="shared" si="42"/>
        <v>45770.53125</v>
      </c>
      <c r="E955" t="str">
        <f t="shared" si="43"/>
        <v>23-04-2025 to 29-04-2025</v>
      </c>
      <c r="F955" t="str">
        <f>IF(COUNTIF('Top5'!I:I, G955) &gt; 0, "Yes", "No")</f>
        <v>No</v>
      </c>
      <c r="G955" t="str">
        <f t="shared" si="44"/>
        <v>23-04-2025 to 29-04-2025</v>
      </c>
    </row>
    <row r="956" spans="1:7">
      <c r="A956" s="1">
        <v>45770</v>
      </c>
      <c r="B956" s="6">
        <v>0.61805555555555558</v>
      </c>
      <c r="C956" t="s">
        <v>22</v>
      </c>
      <c r="D956" s="7">
        <f t="shared" si="42"/>
        <v>45770.618055555555</v>
      </c>
      <c r="E956" t="str">
        <f t="shared" si="43"/>
        <v>23-04-2025 to 29-04-2025</v>
      </c>
      <c r="F956" t="str">
        <f>IF(COUNTIF('Top5'!I:I, G956) &gt; 0, "Yes", "No")</f>
        <v>No</v>
      </c>
      <c r="G956" t="str">
        <f t="shared" si="44"/>
        <v>23-04-2025 to 29-04-2025</v>
      </c>
    </row>
    <row r="957" spans="1:7">
      <c r="A957" s="1">
        <v>45770</v>
      </c>
      <c r="B957" s="6">
        <v>0.72499999999999998</v>
      </c>
      <c r="C957" t="s">
        <v>23</v>
      </c>
      <c r="D957" s="7">
        <f t="shared" si="42"/>
        <v>45770.724999999999</v>
      </c>
      <c r="E957" t="str">
        <f t="shared" si="43"/>
        <v>23-04-2025 to 29-04-2025</v>
      </c>
      <c r="F957" t="str">
        <f>IF(COUNTIF('Top5'!I:I, G957) &gt; 0, "Yes", "No")</f>
        <v>No</v>
      </c>
      <c r="G957" t="str">
        <f t="shared" si="44"/>
        <v>23-04-2025 to 29-04-2025</v>
      </c>
    </row>
    <row r="958" spans="1:7">
      <c r="A958" s="1">
        <v>45771</v>
      </c>
      <c r="B958" s="6">
        <v>0.58750000000000002</v>
      </c>
      <c r="C958" t="s">
        <v>22</v>
      </c>
      <c r="D958" s="7">
        <f t="shared" si="42"/>
        <v>45771.587500000001</v>
      </c>
      <c r="E958" t="str">
        <f t="shared" si="43"/>
        <v>24-04-2025 to 30-04-2025</v>
      </c>
      <c r="F958" t="str">
        <f>IF(COUNTIF('Top5'!I:I, G958) &gt; 0, "Yes", "No")</f>
        <v>No</v>
      </c>
      <c r="G958" t="str">
        <f t="shared" si="44"/>
        <v>24-04-2025 to 30-04-2025</v>
      </c>
    </row>
    <row r="959" spans="1:7">
      <c r="A959" s="1">
        <v>45771</v>
      </c>
      <c r="B959" s="6">
        <v>0.65277777777777779</v>
      </c>
      <c r="C959" t="s">
        <v>22</v>
      </c>
      <c r="D959" s="7">
        <f t="shared" si="42"/>
        <v>45771.652777777781</v>
      </c>
      <c r="E959" t="str">
        <f t="shared" si="43"/>
        <v>24-04-2025 to 30-04-2025</v>
      </c>
      <c r="F959" t="str">
        <f>IF(COUNTIF('Top5'!I:I, G959) &gt; 0, "Yes", "No")</f>
        <v>No</v>
      </c>
      <c r="G959" t="str">
        <f t="shared" si="44"/>
        <v>24-04-2025 to 30-04-2025</v>
      </c>
    </row>
    <row r="960" spans="1:7">
      <c r="A960" s="1">
        <v>45771</v>
      </c>
      <c r="B960" s="6">
        <v>0.85</v>
      </c>
      <c r="C960" t="s">
        <v>23</v>
      </c>
      <c r="D960" s="7">
        <f t="shared" si="42"/>
        <v>45771.85</v>
      </c>
      <c r="E960" t="str">
        <f t="shared" si="43"/>
        <v>24-04-2025 to 30-04-2025</v>
      </c>
      <c r="F960" t="str">
        <f>IF(COUNTIF('Top5'!I:I, G960) &gt; 0, "Yes", "No")</f>
        <v>No</v>
      </c>
      <c r="G960" t="str">
        <f t="shared" si="44"/>
        <v>24-04-2025 to 30-04-2025</v>
      </c>
    </row>
    <row r="961" spans="1:7">
      <c r="A961" s="1">
        <v>45771</v>
      </c>
      <c r="B961" s="6">
        <v>0.87847222222222221</v>
      </c>
      <c r="C961" t="s">
        <v>23</v>
      </c>
      <c r="D961" s="7">
        <f t="shared" si="42"/>
        <v>45771.878472222219</v>
      </c>
      <c r="E961" t="str">
        <f t="shared" si="43"/>
        <v>24-04-2025 to 30-04-2025</v>
      </c>
      <c r="F961" t="str">
        <f>IF(COUNTIF('Top5'!I:I, G961) &gt; 0, "Yes", "No")</f>
        <v>No</v>
      </c>
      <c r="G961" t="str">
        <f t="shared" si="44"/>
        <v>24-04-2025 to 30-04-2025</v>
      </c>
    </row>
    <row r="962" spans="1:7">
      <c r="A962" s="1">
        <v>45772</v>
      </c>
      <c r="B962" s="6">
        <v>0.4375</v>
      </c>
      <c r="C962" t="s">
        <v>22</v>
      </c>
      <c r="D962" s="7">
        <f t="shared" si="42"/>
        <v>45772.4375</v>
      </c>
      <c r="E962" t="str">
        <f t="shared" si="43"/>
        <v>25-04-2025 to 01-05-2025</v>
      </c>
      <c r="F962" t="str">
        <f>IF(COUNTIF('Top5'!I:I, G962) &gt; 0, "Yes", "No")</f>
        <v>No</v>
      </c>
      <c r="G962" t="str">
        <f t="shared" si="44"/>
        <v>25-04-2025 to 01-05-2025</v>
      </c>
    </row>
    <row r="963" spans="1:7">
      <c r="A963" s="1">
        <v>45772</v>
      </c>
      <c r="B963" s="6">
        <v>0.4548611111111111</v>
      </c>
      <c r="C963" t="s">
        <v>22</v>
      </c>
      <c r="D963" s="7">
        <f t="shared" ref="D963:D1001" si="45">VALUE(A963) + VALUE(B963)</f>
        <v>45772.454861111109</v>
      </c>
      <c r="E963" t="str">
        <f t="shared" ref="E963:E1001" si="46">TEXT(D963, "dd-mm-yyyy") &amp; " to " &amp; TEXT(D963+6, "dd-mm-yyyy")</f>
        <v>25-04-2025 to 01-05-2025</v>
      </c>
      <c r="F963" t="str">
        <f>IF(COUNTIF('Top5'!I:I, G963) &gt; 0, "Yes", "No")</f>
        <v>No</v>
      </c>
      <c r="G963" t="str">
        <f t="shared" ref="G963:G1001" si="47">TRIM(E963)</f>
        <v>25-04-2025 to 01-05-2025</v>
      </c>
    </row>
    <row r="964" spans="1:7">
      <c r="A964" s="1">
        <v>45772</v>
      </c>
      <c r="B964" s="6">
        <v>0.93055555555555558</v>
      </c>
      <c r="C964" t="s">
        <v>23</v>
      </c>
      <c r="D964" s="7">
        <f t="shared" si="45"/>
        <v>45772.930555555555</v>
      </c>
      <c r="E964" t="str">
        <f t="shared" si="46"/>
        <v>25-04-2025 to 01-05-2025</v>
      </c>
      <c r="F964" t="str">
        <f>IF(COUNTIF('Top5'!I:I, G964) &gt; 0, "Yes", "No")</f>
        <v>No</v>
      </c>
      <c r="G964" t="str">
        <f t="shared" si="47"/>
        <v>25-04-2025 to 01-05-2025</v>
      </c>
    </row>
    <row r="965" spans="1:7">
      <c r="A965" s="1">
        <v>45772</v>
      </c>
      <c r="B965" s="6">
        <v>0.93055555555555558</v>
      </c>
      <c r="C965" t="s">
        <v>23</v>
      </c>
      <c r="D965" s="7">
        <f t="shared" si="45"/>
        <v>45772.930555555555</v>
      </c>
      <c r="E965" t="str">
        <f t="shared" si="46"/>
        <v>25-04-2025 to 01-05-2025</v>
      </c>
      <c r="F965" t="str">
        <f>IF(COUNTIF('Top5'!I:I, G965) &gt; 0, "Yes", "No")</f>
        <v>No</v>
      </c>
      <c r="G965" t="str">
        <f t="shared" si="47"/>
        <v>25-04-2025 to 01-05-2025</v>
      </c>
    </row>
    <row r="966" spans="1:7">
      <c r="A966" s="1">
        <v>45773</v>
      </c>
      <c r="B966" s="6">
        <v>0.44374999999999998</v>
      </c>
      <c r="C966" t="s">
        <v>22</v>
      </c>
      <c r="D966" s="7">
        <f t="shared" si="45"/>
        <v>45773.443749999999</v>
      </c>
      <c r="E966" t="str">
        <f t="shared" si="46"/>
        <v>26-04-2025 to 02-05-2025</v>
      </c>
      <c r="F966" t="str">
        <f>IF(COUNTIF('Top5'!I:I, G966) &gt; 0, "Yes", "No")</f>
        <v>No</v>
      </c>
      <c r="G966" t="str">
        <f t="shared" si="47"/>
        <v>26-04-2025 to 02-05-2025</v>
      </c>
    </row>
    <row r="967" spans="1:7">
      <c r="A967" s="1">
        <v>45773</v>
      </c>
      <c r="B967" s="6">
        <v>0.4597222222222222</v>
      </c>
      <c r="C967" t="s">
        <v>22</v>
      </c>
      <c r="D967" s="7">
        <f t="shared" si="45"/>
        <v>45773.459722222222</v>
      </c>
      <c r="E967" t="str">
        <f t="shared" si="46"/>
        <v>26-04-2025 to 02-05-2025</v>
      </c>
      <c r="F967" t="str">
        <f>IF(COUNTIF('Top5'!I:I, G967) &gt; 0, "Yes", "No")</f>
        <v>No</v>
      </c>
      <c r="G967" t="str">
        <f t="shared" si="47"/>
        <v>26-04-2025 to 02-05-2025</v>
      </c>
    </row>
    <row r="968" spans="1:7">
      <c r="A968" s="1">
        <v>45773</v>
      </c>
      <c r="B968" s="6">
        <v>0.46180555555555558</v>
      </c>
      <c r="C968" t="s">
        <v>22</v>
      </c>
      <c r="D968" s="7">
        <f t="shared" si="45"/>
        <v>45773.461805555555</v>
      </c>
      <c r="E968" t="str">
        <f t="shared" si="46"/>
        <v>26-04-2025 to 02-05-2025</v>
      </c>
      <c r="F968" t="str">
        <f>IF(COUNTIF('Top5'!I:I, G968) &gt; 0, "Yes", "No")</f>
        <v>No</v>
      </c>
      <c r="G968" t="str">
        <f t="shared" si="47"/>
        <v>26-04-2025 to 02-05-2025</v>
      </c>
    </row>
    <row r="969" spans="1:7">
      <c r="A969" s="1">
        <v>45773</v>
      </c>
      <c r="B969" s="6">
        <v>0.80277777777777781</v>
      </c>
      <c r="C969" t="s">
        <v>23</v>
      </c>
      <c r="D969" s="7">
        <f t="shared" si="45"/>
        <v>45773.802777777775</v>
      </c>
      <c r="E969" t="str">
        <f t="shared" si="46"/>
        <v>26-04-2025 to 02-05-2025</v>
      </c>
      <c r="F969" t="str">
        <f>IF(COUNTIF('Top5'!I:I, G969) &gt; 0, "Yes", "No")</f>
        <v>No</v>
      </c>
      <c r="G969" t="str">
        <f t="shared" si="47"/>
        <v>26-04-2025 to 02-05-2025</v>
      </c>
    </row>
    <row r="970" spans="1:7">
      <c r="A970" s="1">
        <v>45774</v>
      </c>
      <c r="B970" s="6">
        <v>6.9444444444444447E-4</v>
      </c>
      <c r="C970" t="s">
        <v>23</v>
      </c>
      <c r="D970" s="7">
        <f t="shared" si="45"/>
        <v>45774.000694444447</v>
      </c>
      <c r="E970" t="str">
        <f t="shared" si="46"/>
        <v>27-04-2025 to 03-05-2025</v>
      </c>
      <c r="F970" t="str">
        <f>IF(COUNTIF('Top5'!I:I, G970) &gt; 0, "Yes", "No")</f>
        <v>No</v>
      </c>
      <c r="G970" t="str">
        <f t="shared" si="47"/>
        <v>27-04-2025 to 03-05-2025</v>
      </c>
    </row>
    <row r="971" spans="1:7">
      <c r="A971" s="1">
        <v>45774</v>
      </c>
      <c r="B971" s="6">
        <v>0.59236111111111112</v>
      </c>
      <c r="C971" t="s">
        <v>22</v>
      </c>
      <c r="D971" s="7">
        <f t="shared" si="45"/>
        <v>45774.592361111114</v>
      </c>
      <c r="E971" t="str">
        <f t="shared" si="46"/>
        <v>27-04-2025 to 03-05-2025</v>
      </c>
      <c r="F971" t="str">
        <f>IF(COUNTIF('Top5'!I:I, G971) &gt; 0, "Yes", "No")</f>
        <v>No</v>
      </c>
      <c r="G971" t="str">
        <f t="shared" si="47"/>
        <v>27-04-2025 to 03-05-2025</v>
      </c>
    </row>
    <row r="972" spans="1:7">
      <c r="A972" s="1">
        <v>45774</v>
      </c>
      <c r="B972" s="6">
        <v>0.59513888888888888</v>
      </c>
      <c r="C972" t="s">
        <v>22</v>
      </c>
      <c r="D972" s="7">
        <f t="shared" si="45"/>
        <v>45774.595138888886</v>
      </c>
      <c r="E972" t="str">
        <f t="shared" si="46"/>
        <v>27-04-2025 to 03-05-2025</v>
      </c>
      <c r="F972" t="str">
        <f>IF(COUNTIF('Top5'!I:I, G972) &gt; 0, "Yes", "No")</f>
        <v>No</v>
      </c>
      <c r="G972" t="str">
        <f t="shared" si="47"/>
        <v>27-04-2025 to 03-05-2025</v>
      </c>
    </row>
    <row r="973" spans="1:7">
      <c r="A973" s="1">
        <v>45774</v>
      </c>
      <c r="B973" s="6">
        <v>0.75902777777777775</v>
      </c>
      <c r="C973" t="s">
        <v>23</v>
      </c>
      <c r="D973" s="7">
        <f t="shared" si="45"/>
        <v>45774.759027777778</v>
      </c>
      <c r="E973" t="str">
        <f t="shared" si="46"/>
        <v>27-04-2025 to 03-05-2025</v>
      </c>
      <c r="F973" t="str">
        <f>IF(COUNTIF('Top5'!I:I, G973) &gt; 0, "Yes", "No")</f>
        <v>No</v>
      </c>
      <c r="G973" t="str">
        <f t="shared" si="47"/>
        <v>27-04-2025 to 03-05-2025</v>
      </c>
    </row>
    <row r="974" spans="1:7">
      <c r="A974" s="1">
        <v>45774</v>
      </c>
      <c r="B974" s="6">
        <v>0.77569444444444446</v>
      </c>
      <c r="C974" t="s">
        <v>23</v>
      </c>
      <c r="D974" s="7">
        <f t="shared" si="45"/>
        <v>45774.775694444441</v>
      </c>
      <c r="E974" t="str">
        <f t="shared" si="46"/>
        <v>27-04-2025 to 03-05-2025</v>
      </c>
      <c r="F974" t="str">
        <f>IF(COUNTIF('Top5'!I:I, G974) &gt; 0, "Yes", "No")</f>
        <v>No</v>
      </c>
      <c r="G974" t="str">
        <f t="shared" si="47"/>
        <v>27-04-2025 to 03-05-2025</v>
      </c>
    </row>
    <row r="975" spans="1:7">
      <c r="A975" s="1">
        <v>45774</v>
      </c>
      <c r="B975" s="6">
        <v>0.98124999999999996</v>
      </c>
      <c r="C975" t="s">
        <v>23</v>
      </c>
      <c r="D975" s="7">
        <f t="shared" si="45"/>
        <v>45774.981249999997</v>
      </c>
      <c r="E975" t="str">
        <f t="shared" si="46"/>
        <v>27-04-2025 to 03-05-2025</v>
      </c>
      <c r="F975" t="str">
        <f>IF(COUNTIF('Top5'!I:I, G975) &gt; 0, "Yes", "No")</f>
        <v>No</v>
      </c>
      <c r="G975" t="str">
        <f t="shared" si="47"/>
        <v>27-04-2025 to 03-05-2025</v>
      </c>
    </row>
    <row r="976" spans="1:7">
      <c r="A976" s="1">
        <v>45775</v>
      </c>
      <c r="B976" s="6">
        <v>3.472222222222222E-3</v>
      </c>
      <c r="C976" t="s">
        <v>23</v>
      </c>
      <c r="D976" s="7">
        <f t="shared" si="45"/>
        <v>45775.003472222219</v>
      </c>
      <c r="E976" t="str">
        <f t="shared" si="46"/>
        <v>28-04-2025 to 04-05-2025</v>
      </c>
      <c r="F976" t="str">
        <f>IF(COUNTIF('Top5'!I:I, G976) &gt; 0, "Yes", "No")</f>
        <v>No</v>
      </c>
      <c r="G976" t="str">
        <f t="shared" si="47"/>
        <v>28-04-2025 to 04-05-2025</v>
      </c>
    </row>
    <row r="977" spans="1:7">
      <c r="A977" s="1">
        <v>45775</v>
      </c>
      <c r="B977" s="6">
        <v>0.49027777777777776</v>
      </c>
      <c r="C977" t="s">
        <v>22</v>
      </c>
      <c r="D977" s="7">
        <f t="shared" si="45"/>
        <v>45775.490277777775</v>
      </c>
      <c r="E977" t="str">
        <f t="shared" si="46"/>
        <v>28-04-2025 to 04-05-2025</v>
      </c>
      <c r="F977" t="str">
        <f>IF(COUNTIF('Top5'!I:I, G977) &gt; 0, "Yes", "No")</f>
        <v>No</v>
      </c>
      <c r="G977" t="str">
        <f t="shared" si="47"/>
        <v>28-04-2025 to 04-05-2025</v>
      </c>
    </row>
    <row r="978" spans="1:7">
      <c r="A978" s="1">
        <v>45775</v>
      </c>
      <c r="B978" s="6">
        <v>0.49305555555555558</v>
      </c>
      <c r="C978" t="s">
        <v>22</v>
      </c>
      <c r="D978" s="7">
        <f t="shared" si="45"/>
        <v>45775.493055555555</v>
      </c>
      <c r="E978" t="str">
        <f t="shared" si="46"/>
        <v>28-04-2025 to 04-05-2025</v>
      </c>
      <c r="F978" t="str">
        <f>IF(COUNTIF('Top5'!I:I, G978) &gt; 0, "Yes", "No")</f>
        <v>No</v>
      </c>
      <c r="G978" t="str">
        <f t="shared" si="47"/>
        <v>28-04-2025 to 04-05-2025</v>
      </c>
    </row>
    <row r="979" spans="1:7">
      <c r="A979" s="1">
        <v>45775</v>
      </c>
      <c r="B979" s="6">
        <v>0.49375000000000002</v>
      </c>
      <c r="C979" t="s">
        <v>22</v>
      </c>
      <c r="D979" s="7">
        <f t="shared" si="45"/>
        <v>45775.493750000001</v>
      </c>
      <c r="E979" t="str">
        <f t="shared" si="46"/>
        <v>28-04-2025 to 04-05-2025</v>
      </c>
      <c r="F979" t="str">
        <f>IF(COUNTIF('Top5'!I:I, G979) &gt; 0, "Yes", "No")</f>
        <v>No</v>
      </c>
      <c r="G979" t="str">
        <f t="shared" si="47"/>
        <v>28-04-2025 to 04-05-2025</v>
      </c>
    </row>
    <row r="980" spans="1:7">
      <c r="A980" s="1">
        <v>45775</v>
      </c>
      <c r="B980" s="6">
        <v>0.50486111111111109</v>
      </c>
      <c r="C980" t="s">
        <v>22</v>
      </c>
      <c r="D980" s="7">
        <f t="shared" si="45"/>
        <v>45775.504861111112</v>
      </c>
      <c r="E980" t="str">
        <f t="shared" si="46"/>
        <v>28-04-2025 to 04-05-2025</v>
      </c>
      <c r="F980" t="str">
        <f>IF(COUNTIF('Top5'!I:I, G980) &gt; 0, "Yes", "No")</f>
        <v>No</v>
      </c>
      <c r="G980" t="str">
        <f t="shared" si="47"/>
        <v>28-04-2025 to 04-05-2025</v>
      </c>
    </row>
    <row r="981" spans="1:7">
      <c r="A981" s="1">
        <v>45775</v>
      </c>
      <c r="B981" s="6">
        <v>0.50486111111111109</v>
      </c>
      <c r="C981" t="s">
        <v>22</v>
      </c>
      <c r="D981" s="7">
        <f t="shared" si="45"/>
        <v>45775.504861111112</v>
      </c>
      <c r="E981" t="str">
        <f t="shared" si="46"/>
        <v>28-04-2025 to 04-05-2025</v>
      </c>
      <c r="F981" t="str">
        <f>IF(COUNTIF('Top5'!I:I, G981) &gt; 0, "Yes", "No")</f>
        <v>No</v>
      </c>
      <c r="G981" t="str">
        <f t="shared" si="47"/>
        <v>28-04-2025 to 04-05-2025</v>
      </c>
    </row>
    <row r="982" spans="1:7">
      <c r="A982" s="1">
        <v>45775</v>
      </c>
      <c r="B982" s="6">
        <v>0.65208333333333335</v>
      </c>
      <c r="C982" t="s">
        <v>22</v>
      </c>
      <c r="D982" s="7">
        <f t="shared" si="45"/>
        <v>45775.652083333334</v>
      </c>
      <c r="E982" t="str">
        <f t="shared" si="46"/>
        <v>28-04-2025 to 04-05-2025</v>
      </c>
      <c r="F982" t="str">
        <f>IF(COUNTIF('Top5'!I:I, G982) &gt; 0, "Yes", "No")</f>
        <v>No</v>
      </c>
      <c r="G982" t="str">
        <f t="shared" si="47"/>
        <v>28-04-2025 to 04-05-2025</v>
      </c>
    </row>
    <row r="983" spans="1:7">
      <c r="A983" s="1">
        <v>45775</v>
      </c>
      <c r="B983" s="6">
        <v>0.66249999999999998</v>
      </c>
      <c r="C983" t="s">
        <v>22</v>
      </c>
      <c r="D983" s="7">
        <f t="shared" si="45"/>
        <v>45775.662499999999</v>
      </c>
      <c r="E983" t="str">
        <f t="shared" si="46"/>
        <v>28-04-2025 to 04-05-2025</v>
      </c>
      <c r="F983" t="str">
        <f>IF(COUNTIF('Top5'!I:I, G983) &gt; 0, "Yes", "No")</f>
        <v>No</v>
      </c>
      <c r="G983" t="str">
        <f t="shared" si="47"/>
        <v>28-04-2025 to 04-05-2025</v>
      </c>
    </row>
    <row r="984" spans="1:7">
      <c r="A984" s="1">
        <v>45775</v>
      </c>
      <c r="B984" s="6">
        <v>0.70208333333333328</v>
      </c>
      <c r="C984" t="s">
        <v>22</v>
      </c>
      <c r="D984" s="7">
        <f t="shared" si="45"/>
        <v>45775.70208333333</v>
      </c>
      <c r="E984" t="str">
        <f t="shared" si="46"/>
        <v>28-04-2025 to 04-05-2025</v>
      </c>
      <c r="F984" t="str">
        <f>IF(COUNTIF('Top5'!I:I, G984) &gt; 0, "Yes", "No")</f>
        <v>No</v>
      </c>
      <c r="G984" t="str">
        <f t="shared" si="47"/>
        <v>28-04-2025 to 04-05-2025</v>
      </c>
    </row>
    <row r="985" spans="1:7">
      <c r="A985" s="1">
        <v>45775</v>
      </c>
      <c r="B985" s="6">
        <v>0.8979166666666667</v>
      </c>
      <c r="C985" t="s">
        <v>23</v>
      </c>
      <c r="D985" s="7">
        <f t="shared" si="45"/>
        <v>45775.897916666669</v>
      </c>
      <c r="E985" t="str">
        <f t="shared" si="46"/>
        <v>28-04-2025 to 04-05-2025</v>
      </c>
      <c r="F985" t="str">
        <f>IF(COUNTIF('Top5'!I:I, G985) &gt; 0, "Yes", "No")</f>
        <v>No</v>
      </c>
      <c r="G985" t="str">
        <f t="shared" si="47"/>
        <v>28-04-2025 to 04-05-2025</v>
      </c>
    </row>
    <row r="986" spans="1:7">
      <c r="A986" s="1">
        <v>45775</v>
      </c>
      <c r="B986" s="6">
        <v>0.90138888888888891</v>
      </c>
      <c r="C986" t="s">
        <v>23</v>
      </c>
      <c r="D986" s="7">
        <f t="shared" si="45"/>
        <v>45775.901388888888</v>
      </c>
      <c r="E986" t="str">
        <f t="shared" si="46"/>
        <v>28-04-2025 to 04-05-2025</v>
      </c>
      <c r="F986" t="str">
        <f>IF(COUNTIF('Top5'!I:I, G986) &gt; 0, "Yes", "No")</f>
        <v>No</v>
      </c>
      <c r="G986" t="str">
        <f t="shared" si="47"/>
        <v>28-04-2025 to 04-05-2025</v>
      </c>
    </row>
    <row r="987" spans="1:7">
      <c r="A987" s="1">
        <v>45775</v>
      </c>
      <c r="B987" s="6">
        <v>0.90208333333333335</v>
      </c>
      <c r="C987" t="s">
        <v>23</v>
      </c>
      <c r="D987" s="7">
        <f t="shared" si="45"/>
        <v>45775.902083333334</v>
      </c>
      <c r="E987" t="str">
        <f t="shared" si="46"/>
        <v>28-04-2025 to 04-05-2025</v>
      </c>
      <c r="F987" t="str">
        <f>IF(COUNTIF('Top5'!I:I, G987) &gt; 0, "Yes", "No")</f>
        <v>No</v>
      </c>
      <c r="G987" t="str">
        <f t="shared" si="47"/>
        <v>28-04-2025 to 04-05-2025</v>
      </c>
    </row>
    <row r="988" spans="1:7">
      <c r="A988" s="1">
        <v>45776</v>
      </c>
      <c r="B988" s="6">
        <v>2.0833333333333333E-3</v>
      </c>
      <c r="C988" t="s">
        <v>23</v>
      </c>
      <c r="D988" s="7">
        <f t="shared" si="45"/>
        <v>45776.002083333333</v>
      </c>
      <c r="E988" t="str">
        <f t="shared" si="46"/>
        <v>29-04-2025 to 05-05-2025</v>
      </c>
      <c r="F988" t="str">
        <f>IF(COUNTIF('Top5'!I:I, G988) &gt; 0, "Yes", "No")</f>
        <v>No</v>
      </c>
      <c r="G988" t="str">
        <f t="shared" si="47"/>
        <v>29-04-2025 to 05-05-2025</v>
      </c>
    </row>
    <row r="989" spans="1:7">
      <c r="A989" s="1">
        <v>45776</v>
      </c>
      <c r="B989" s="6">
        <v>2.0833333333333333E-3</v>
      </c>
      <c r="C989" t="s">
        <v>23</v>
      </c>
      <c r="D989" s="7">
        <f t="shared" si="45"/>
        <v>45776.002083333333</v>
      </c>
      <c r="E989" t="str">
        <f t="shared" si="46"/>
        <v>29-04-2025 to 05-05-2025</v>
      </c>
      <c r="F989" t="str">
        <f>IF(COUNTIF('Top5'!I:I, G989) &gt; 0, "Yes", "No")</f>
        <v>No</v>
      </c>
      <c r="G989" t="str">
        <f t="shared" si="47"/>
        <v>29-04-2025 to 05-05-2025</v>
      </c>
    </row>
    <row r="990" spans="1:7">
      <c r="A990" s="1">
        <v>45776</v>
      </c>
      <c r="B990" s="6">
        <v>2.0833333333333333E-3</v>
      </c>
      <c r="C990" t="s">
        <v>23</v>
      </c>
      <c r="D990" s="7">
        <f t="shared" si="45"/>
        <v>45776.002083333333</v>
      </c>
      <c r="E990" t="str">
        <f t="shared" si="46"/>
        <v>29-04-2025 to 05-05-2025</v>
      </c>
      <c r="F990" t="str">
        <f>IF(COUNTIF('Top5'!I:I, G990) &gt; 0, "Yes", "No")</f>
        <v>No</v>
      </c>
      <c r="G990" t="str">
        <f t="shared" si="47"/>
        <v>29-04-2025 to 05-05-2025</v>
      </c>
    </row>
    <row r="991" spans="1:7">
      <c r="A991" s="1">
        <v>45776</v>
      </c>
      <c r="B991" s="6">
        <v>0.75972222222222219</v>
      </c>
      <c r="C991" t="s">
        <v>23</v>
      </c>
      <c r="D991" s="7">
        <f t="shared" si="45"/>
        <v>45776.759722222225</v>
      </c>
      <c r="E991" t="str">
        <f t="shared" si="46"/>
        <v>29-04-2025 to 05-05-2025</v>
      </c>
      <c r="F991" t="str">
        <f>IF(COUNTIF('Top5'!I:I, G991) &gt; 0, "Yes", "No")</f>
        <v>No</v>
      </c>
      <c r="G991" t="str">
        <f t="shared" si="47"/>
        <v>29-04-2025 to 05-05-2025</v>
      </c>
    </row>
    <row r="992" spans="1:7">
      <c r="A992" s="1">
        <v>45777</v>
      </c>
      <c r="B992" s="6">
        <v>0.41597222222222224</v>
      </c>
      <c r="C992" t="s">
        <v>22</v>
      </c>
      <c r="D992" s="7">
        <f t="shared" si="45"/>
        <v>45777.415972222225</v>
      </c>
      <c r="E992" t="str">
        <f t="shared" si="46"/>
        <v>30-04-2025 to 06-05-2025</v>
      </c>
      <c r="F992" t="str">
        <f>IF(COUNTIF('Top5'!I:I, G992) &gt; 0, "Yes", "No")</f>
        <v>No</v>
      </c>
      <c r="G992" t="str">
        <f t="shared" si="47"/>
        <v>30-04-2025 to 06-05-2025</v>
      </c>
    </row>
    <row r="993" spans="1:7">
      <c r="A993" s="1">
        <v>45777</v>
      </c>
      <c r="B993" s="6">
        <v>0.53125</v>
      </c>
      <c r="C993" t="s">
        <v>22</v>
      </c>
      <c r="D993" s="7">
        <f t="shared" si="45"/>
        <v>45777.53125</v>
      </c>
      <c r="E993" t="str">
        <f t="shared" si="46"/>
        <v>30-04-2025 to 06-05-2025</v>
      </c>
      <c r="F993" t="str">
        <f>IF(COUNTIF('Top5'!I:I, G993) &gt; 0, "Yes", "No")</f>
        <v>No</v>
      </c>
      <c r="G993" t="str">
        <f t="shared" si="47"/>
        <v>30-04-2025 to 06-05-2025</v>
      </c>
    </row>
    <row r="994" spans="1:7">
      <c r="A994" s="1">
        <v>45777</v>
      </c>
      <c r="B994" s="6">
        <v>0.57013888888888886</v>
      </c>
      <c r="C994" t="s">
        <v>22</v>
      </c>
      <c r="D994" s="7">
        <f t="shared" si="45"/>
        <v>45777.570138888892</v>
      </c>
      <c r="E994" t="str">
        <f t="shared" si="46"/>
        <v>30-04-2025 to 06-05-2025</v>
      </c>
      <c r="F994" t="str">
        <f>IF(COUNTIF('Top5'!I:I, G994) &gt; 0, "Yes", "No")</f>
        <v>No</v>
      </c>
      <c r="G994" t="str">
        <f t="shared" si="47"/>
        <v>30-04-2025 to 06-05-2025</v>
      </c>
    </row>
    <row r="995" spans="1:7">
      <c r="A995" s="1">
        <v>45777</v>
      </c>
      <c r="B995" s="6">
        <v>0.5708333333333333</v>
      </c>
      <c r="C995" t="s">
        <v>22</v>
      </c>
      <c r="D995" s="7">
        <f t="shared" si="45"/>
        <v>45777.570833333331</v>
      </c>
      <c r="E995" t="str">
        <f t="shared" si="46"/>
        <v>30-04-2025 to 06-05-2025</v>
      </c>
      <c r="F995" t="str">
        <f>IF(COUNTIF('Top5'!I:I, G995) &gt; 0, "Yes", "No")</f>
        <v>No</v>
      </c>
      <c r="G995" t="str">
        <f t="shared" si="47"/>
        <v>30-04-2025 to 06-05-2025</v>
      </c>
    </row>
    <row r="996" spans="1:7">
      <c r="A996" s="1">
        <v>45777</v>
      </c>
      <c r="B996" s="6">
        <v>0.57430555555555551</v>
      </c>
      <c r="C996" t="s">
        <v>22</v>
      </c>
      <c r="D996" s="7">
        <f t="shared" si="45"/>
        <v>45777.574305555558</v>
      </c>
      <c r="E996" t="str">
        <f t="shared" si="46"/>
        <v>30-04-2025 to 06-05-2025</v>
      </c>
      <c r="F996" t="str">
        <f>IF(COUNTIF('Top5'!I:I, G996) &gt; 0, "Yes", "No")</f>
        <v>No</v>
      </c>
      <c r="G996" t="str">
        <f t="shared" si="47"/>
        <v>30-04-2025 to 06-05-2025</v>
      </c>
    </row>
    <row r="997" spans="1:7">
      <c r="A997" s="1">
        <v>45777</v>
      </c>
      <c r="B997" s="6">
        <v>0.59513888888888888</v>
      </c>
      <c r="C997" t="s">
        <v>22</v>
      </c>
      <c r="D997" s="7">
        <f t="shared" si="45"/>
        <v>45777.595138888886</v>
      </c>
      <c r="E997" t="str">
        <f t="shared" si="46"/>
        <v>30-04-2025 to 06-05-2025</v>
      </c>
      <c r="F997" t="str">
        <f>IF(COUNTIF('Top5'!I:I, G997) &gt; 0, "Yes", "No")</f>
        <v>No</v>
      </c>
      <c r="G997" t="str">
        <f t="shared" si="47"/>
        <v>30-04-2025 to 06-05-2025</v>
      </c>
    </row>
    <row r="998" spans="1:7">
      <c r="A998" s="1">
        <v>45777</v>
      </c>
      <c r="B998" s="6">
        <v>0.80694444444444446</v>
      </c>
      <c r="C998" t="s">
        <v>23</v>
      </c>
      <c r="D998" s="7">
        <f t="shared" si="45"/>
        <v>45777.806944444441</v>
      </c>
      <c r="E998" t="str">
        <f t="shared" si="46"/>
        <v>30-04-2025 to 06-05-2025</v>
      </c>
      <c r="F998" t="str">
        <f>IF(COUNTIF('Top5'!I:I, G998) &gt; 0, "Yes", "No")</f>
        <v>No</v>
      </c>
      <c r="G998" t="str">
        <f t="shared" si="47"/>
        <v>30-04-2025 to 06-05-2025</v>
      </c>
    </row>
    <row r="999" spans="1:7">
      <c r="A999" s="1">
        <v>45777</v>
      </c>
      <c r="B999" s="6">
        <v>0.80833333333333335</v>
      </c>
      <c r="C999" t="s">
        <v>23</v>
      </c>
      <c r="D999" s="7">
        <f t="shared" si="45"/>
        <v>45777.808333333334</v>
      </c>
      <c r="E999" t="str">
        <f t="shared" si="46"/>
        <v>30-04-2025 to 06-05-2025</v>
      </c>
      <c r="F999" t="str">
        <f>IF(COUNTIF('Top5'!I:I, G999) &gt; 0, "Yes", "No")</f>
        <v>No</v>
      </c>
      <c r="G999" t="str">
        <f t="shared" si="47"/>
        <v>30-04-2025 to 06-05-2025</v>
      </c>
    </row>
    <row r="1000" spans="1:7">
      <c r="A1000" s="1">
        <v>45777</v>
      </c>
      <c r="B1000" s="6">
        <v>0.80902777777777779</v>
      </c>
      <c r="C1000" t="s">
        <v>23</v>
      </c>
      <c r="D1000" s="7">
        <f t="shared" si="45"/>
        <v>45777.809027777781</v>
      </c>
      <c r="E1000" t="str">
        <f t="shared" si="46"/>
        <v>30-04-2025 to 06-05-2025</v>
      </c>
      <c r="F1000" t="str">
        <f>IF(COUNTIF('Top5'!I:I, G1000) &gt; 0, "Yes", "No")</f>
        <v>No</v>
      </c>
      <c r="G1000" t="str">
        <f t="shared" si="47"/>
        <v>30-04-2025 to 06-05-2025</v>
      </c>
    </row>
    <row r="1001" spans="1:7">
      <c r="A1001" s="1">
        <v>45777</v>
      </c>
      <c r="B1001" s="6">
        <v>0.81388888888888888</v>
      </c>
      <c r="C1001" t="s">
        <v>23</v>
      </c>
      <c r="D1001" s="7">
        <f t="shared" si="45"/>
        <v>45777.813888888886</v>
      </c>
      <c r="E1001" t="str">
        <f t="shared" si="46"/>
        <v>30-04-2025 to 06-05-2025</v>
      </c>
      <c r="F1001" t="str">
        <f>IF(COUNTIF('Top5'!I:I, G1001) &gt; 0, "Yes", "No")</f>
        <v>No</v>
      </c>
      <c r="G1001" t="str">
        <f t="shared" si="47"/>
        <v>30-04-2025 to 06-05-2025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60753-5770-49BC-9EC3-BD376766AD5C}">
  <dimension ref="A1:J1332"/>
  <sheetViews>
    <sheetView topLeftCell="A964" workbookViewId="0">
      <selection activeCell="C2" sqref="C2:C1001"/>
    </sheetView>
  </sheetViews>
  <sheetFormatPr defaultRowHeight="14.4"/>
  <cols>
    <col min="1" max="1" width="10.33203125" bestFit="1" customWidth="1"/>
    <col min="2" max="2" width="5.5546875" bestFit="1" customWidth="1"/>
    <col min="3" max="3" width="13.44140625" bestFit="1" customWidth="1"/>
    <col min="4" max="4" width="22.6640625" bestFit="1" customWidth="1"/>
    <col min="5" max="5" width="24.33203125" customWidth="1"/>
    <col min="6" max="6" width="10.44140625" customWidth="1"/>
    <col min="7" max="7" width="10.77734375" bestFit="1" customWidth="1"/>
    <col min="8" max="9" width="24" bestFit="1" customWidth="1"/>
  </cols>
  <sheetData>
    <row r="1" spans="1:10">
      <c r="A1" t="s">
        <v>25</v>
      </c>
      <c r="B1" t="s">
        <v>26</v>
      </c>
      <c r="C1" t="s">
        <v>27</v>
      </c>
      <c r="D1" t="s">
        <v>66</v>
      </c>
      <c r="E1" t="s">
        <v>67</v>
      </c>
      <c r="F1" t="s">
        <v>0</v>
      </c>
      <c r="G1" t="s">
        <v>1</v>
      </c>
      <c r="H1" t="s">
        <v>31</v>
      </c>
      <c r="I1" t="s">
        <v>56</v>
      </c>
    </row>
    <row r="2" spans="1:10">
      <c r="A2" s="1">
        <v>45597</v>
      </c>
      <c r="B2" s="6">
        <v>0.4548611111111111</v>
      </c>
      <c r="C2" s="10" t="s">
        <v>22</v>
      </c>
      <c r="D2" t="str" cm="1">
        <f t="array" ref="D2">INDEX($H$2:$H$35, MATCH(1, (A2 &gt;= $F$2:$F$35) * (A2 &lt;= $G$2:$G$35), 0))</f>
        <v>01-11-2024 to 07-11-2024</v>
      </c>
      <c r="E2" t="str">
        <f>IF(COUNTIF('Top5'!I:I, D2) &gt; 0, "Yes", "No")</f>
        <v>No</v>
      </c>
      <c r="F2" s="1">
        <v>45597</v>
      </c>
      <c r="G2" s="1">
        <v>45603</v>
      </c>
      <c r="H2" s="5" t="str">
        <f>TEXT(F2, "dd-mm-yyyy") &amp; " to " &amp; TEXT(G2, "dd-mm-yyyy")</f>
        <v>01-11-2024 to 07-11-2024</v>
      </c>
      <c r="I2" s="8" t="str">
        <f>I17</f>
        <v>01-11-2024 to 07-11-2024</v>
      </c>
      <c r="J2" t="s">
        <v>65</v>
      </c>
    </row>
    <row r="3" spans="1:10">
      <c r="A3" s="1">
        <v>45597</v>
      </c>
      <c r="B3" s="6">
        <v>0.88749999999999996</v>
      </c>
      <c r="C3" s="10" t="s">
        <v>70</v>
      </c>
      <c r="D3" t="str" cm="1">
        <f t="array" ref="D3">INDEX($H$2:$H$35, MATCH(1, (A3 &gt;= $F$2:$F$35) * (A3 &lt;= $G$2:$G$35), 0))</f>
        <v>01-11-2024 to 07-11-2024</v>
      </c>
      <c r="E3" t="str">
        <f>IF(COUNTIF('Top5'!I:I, D3) &gt; 0, "Yes", "No")</f>
        <v>No</v>
      </c>
      <c r="F3" s="1">
        <v>45604</v>
      </c>
      <c r="G3" s="1">
        <v>45610</v>
      </c>
      <c r="H3" s="5" t="str">
        <f t="shared" ref="H3:H33" si="0">TEXT(F3, "dd-mm-yyyy") &amp; " to " &amp; TEXT(G3, "dd-mm-yyyy")</f>
        <v>08-11-2024 to 14-11-2024</v>
      </c>
      <c r="I3" s="8" t="str" cm="1">
        <f t="array" ref="I3">_xlfn.IFS(
  DAY(A3)&lt;=7, "01-" &amp; TEXT(A3,"mm-yyyy") &amp; " to 07-" &amp; TEXT(A3,"mm-yyyy"),
  DAY(A3)&lt;=14, "08-" &amp; TEXT(A3,"mm-yyyy") &amp; " to 14-" &amp; TEXT(A3,"mm-yyyy"),
  DAY(A3)&lt;=21, "15-" &amp; TEXT(A3,"mm-yyyy") &amp; " to 21-" &amp; TEXT(A3,"mm-yyyy"),
  DAY(A3)&lt;=28, "22-" &amp; TEXT(A3,"mm-yyyy") &amp; " to 28-" &amp; TEXT(A3,"mm-yyyy"),
  DAY(A3)&gt;28,  "29-" &amp; TEXT(A3,"mm-yyyy") &amp; " to " &amp; TEXT(EOMONTH(A3,0),"dd-mm-yyyy")
)</f>
        <v>01-11-2024 to 07-11-2024</v>
      </c>
    </row>
    <row r="4" spans="1:10">
      <c r="A4" s="1">
        <v>45597</v>
      </c>
      <c r="B4" s="6">
        <v>0.90972222222222221</v>
      </c>
      <c r="C4" s="10" t="s">
        <v>70</v>
      </c>
      <c r="D4" t="str" cm="1">
        <f t="array" ref="D4">INDEX($H$2:$H$35, MATCH(1, (A4 &gt;= $F$2:$F$35) * (A4 &lt;= $G$2:$G$35), 0))</f>
        <v>01-11-2024 to 07-11-2024</v>
      </c>
      <c r="E4" t="str">
        <f>IF(COUNTIF('Top5'!I:I, D4) &gt; 0, "Yes", "No")</f>
        <v>No</v>
      </c>
      <c r="F4" s="1">
        <v>45611</v>
      </c>
      <c r="G4" s="1">
        <v>45617</v>
      </c>
      <c r="H4" s="5" t="str">
        <f t="shared" si="0"/>
        <v>15-11-2024 to 21-11-2024</v>
      </c>
      <c r="I4" s="8" t="str" cm="1">
        <f t="array" ref="I4">_xlfn.IFS(
  DAY(A4)&lt;=7, "01-" &amp; TEXT(A4,"mm-yyyy") &amp; " to 07-" &amp; TEXT(A4,"mm-yyyy"),
  DAY(A4)&lt;=14, "08-" &amp; TEXT(A4,"mm-yyyy") &amp; " to 14-" &amp; TEXT(A4,"mm-yyyy"),
  DAY(A4)&lt;=21, "15-" &amp; TEXT(A4,"mm-yyyy") &amp; " to 21-" &amp; TEXT(A4,"mm-yyyy"),
  DAY(A4)&lt;=28, "22-" &amp; TEXT(A4,"mm-yyyy") &amp; " to 28-" &amp; TEXT(A4,"mm-yyyy"),
  DAY(A4)&gt;28,  "29-" &amp; TEXT(A4,"mm-yyyy") &amp; " to " &amp; TEXT(EOMONTH(A4,0),"dd-mm-yyyy")
)</f>
        <v>01-11-2024 to 07-11-2024</v>
      </c>
    </row>
    <row r="5" spans="1:10">
      <c r="A5" s="1">
        <v>45598</v>
      </c>
      <c r="B5" s="6">
        <v>0.33611111111111114</v>
      </c>
      <c r="C5" s="10" t="s">
        <v>22</v>
      </c>
      <c r="D5" t="str" cm="1">
        <f t="array" ref="D5">INDEX($H$2:$H$35, MATCH(1, (A5 &gt;= $F$2:$F$35) * (A5 &lt;= $G$2:$G$35), 0))</f>
        <v>01-11-2024 to 07-11-2024</v>
      </c>
      <c r="E5" t="str">
        <f>IF(COUNTIF('Top5'!I:I, D5) &gt; 0, "Yes", "No")</f>
        <v>No</v>
      </c>
      <c r="F5" s="1">
        <v>45618</v>
      </c>
      <c r="G5" s="1">
        <v>45624</v>
      </c>
      <c r="H5" s="5" t="str">
        <f t="shared" si="0"/>
        <v>22-11-2024 to 28-11-2024</v>
      </c>
      <c r="I5" s="8" t="str" cm="1">
        <f t="array" ref="I5">_xlfn.IFS(
  DAY(A5)&lt;=7, "01-" &amp; TEXT(A5,"mm-yyyy") &amp; " to 07-" &amp; TEXT(A5,"mm-yyyy"),
  DAY(A5)&lt;=14, "08-" &amp; TEXT(A5,"mm-yyyy") &amp; " to 14-" &amp; TEXT(A5,"mm-yyyy"),
  DAY(A5)&lt;=21, "15-" &amp; TEXT(A5,"mm-yyyy") &amp; " to 21-" &amp; TEXT(A5,"mm-yyyy"),
  DAY(A5)&lt;=28, "22-" &amp; TEXT(A5,"mm-yyyy") &amp; " to 28-" &amp; TEXT(A5,"mm-yyyy"),
  DAY(A5)&gt;28,  "29-" &amp; TEXT(A5,"mm-yyyy") &amp; " to " &amp; TEXT(EOMONTH(A5,0),"dd-mm-yyyy")
)</f>
        <v>01-11-2024 to 07-11-2024</v>
      </c>
    </row>
    <row r="6" spans="1:10">
      <c r="A6" s="1">
        <v>45598</v>
      </c>
      <c r="B6" s="6">
        <v>0.56180555555555556</v>
      </c>
      <c r="C6" s="10" t="s">
        <v>71</v>
      </c>
      <c r="D6" t="str" cm="1">
        <f t="array" ref="D6">INDEX($H$2:$H$35, MATCH(1, (A6 &gt;= $F$2:$F$35) * (A6 &lt;= $G$2:$G$35), 0))</f>
        <v>01-11-2024 to 07-11-2024</v>
      </c>
      <c r="E6" t="str">
        <f>IF(COUNTIF('Top5'!I:I, D6) &gt; 0, "Yes", "No")</f>
        <v>No</v>
      </c>
      <c r="F6" s="1">
        <v>45625</v>
      </c>
      <c r="G6" s="1">
        <v>45626</v>
      </c>
      <c r="H6" s="5" t="str">
        <f t="shared" si="0"/>
        <v>29-11-2024 to 30-11-2024</v>
      </c>
      <c r="I6" s="8" t="str" cm="1">
        <f t="array" ref="I6">_xlfn.IFS(
  DAY(A6)&lt;=7, "01-" &amp; TEXT(A6,"mm-yyyy") &amp; " to 07-" &amp; TEXT(A6,"mm-yyyy"),
  DAY(A6)&lt;=14, "08-" &amp; TEXT(A6,"mm-yyyy") &amp; " to 14-" &amp; TEXT(A6,"mm-yyyy"),
  DAY(A6)&lt;=21, "15-" &amp; TEXT(A6,"mm-yyyy") &amp; " to 21-" &amp; TEXT(A6,"mm-yyyy"),
  DAY(A6)&lt;=28, "22-" &amp; TEXT(A6,"mm-yyyy") &amp; " to 28-" &amp; TEXT(A6,"mm-yyyy"),
  DAY(A6)&gt;28,  "29-" &amp; TEXT(A6,"mm-yyyy") &amp; " to " &amp; TEXT(EOMONTH(A6,0),"dd-mm-yyyy")
)</f>
        <v>01-11-2024 to 07-11-2024</v>
      </c>
    </row>
    <row r="7" spans="1:10">
      <c r="A7" s="1">
        <v>45598</v>
      </c>
      <c r="B7" s="6">
        <v>0.66874999999999996</v>
      </c>
      <c r="C7" s="10" t="s">
        <v>71</v>
      </c>
      <c r="D7" t="str" cm="1">
        <f t="array" ref="D7">INDEX($H$2:$H$35, MATCH(1, (A7 &gt;= $F$2:$F$35) * (A7 &lt;= $G$2:$G$35), 0))</f>
        <v>01-11-2024 to 07-11-2024</v>
      </c>
      <c r="E7" t="str">
        <f>IF(COUNTIF('Top5'!I:I, D7) &gt; 0, "Yes", "No")</f>
        <v>No</v>
      </c>
      <c r="F7" s="1">
        <v>45627</v>
      </c>
      <c r="G7" s="1">
        <v>45633</v>
      </c>
      <c r="H7" s="5" t="str">
        <f t="shared" si="0"/>
        <v>01-12-2024 to 07-12-2024</v>
      </c>
      <c r="I7" s="8" t="str" cm="1">
        <f t="array" ref="I7">_xlfn.IFS(
  DAY(A7)&lt;=7, "01-" &amp; TEXT(A7,"mm-yyyy") &amp; " to 07-" &amp; TEXT(A7,"mm-yyyy"),
  DAY(A7)&lt;=14, "08-" &amp; TEXT(A7,"mm-yyyy") &amp; " to 14-" &amp; TEXT(A7,"mm-yyyy"),
  DAY(A7)&lt;=21, "15-" &amp; TEXT(A7,"mm-yyyy") &amp; " to 21-" &amp; TEXT(A7,"mm-yyyy"),
  DAY(A7)&lt;=28, "22-" &amp; TEXT(A7,"mm-yyyy") &amp; " to 28-" &amp; TEXT(A7,"mm-yyyy"),
  DAY(A7)&gt;28,  "29-" &amp; TEXT(A7,"mm-yyyy") &amp; " to " &amp; TEXT(EOMONTH(A7,0),"dd-mm-yyyy")
)</f>
        <v>01-11-2024 to 07-11-2024</v>
      </c>
    </row>
    <row r="8" spans="1:10">
      <c r="A8" s="1">
        <v>45599</v>
      </c>
      <c r="B8" s="6">
        <v>0.40138888888888891</v>
      </c>
      <c r="C8" s="10" t="s">
        <v>22</v>
      </c>
      <c r="D8" t="str" cm="1">
        <f t="array" ref="D8">INDEX($H$2:$H$35, MATCH(1, (A8 &gt;= $F$2:$F$35) * (A8 &lt;= $G$2:$G$35), 0))</f>
        <v>01-11-2024 to 07-11-2024</v>
      </c>
      <c r="E8" t="str">
        <f>IF(COUNTIF('Top5'!I:I, D8) &gt; 0, "Yes", "No")</f>
        <v>No</v>
      </c>
      <c r="F8" s="1">
        <v>45634</v>
      </c>
      <c r="G8" s="1">
        <v>45640</v>
      </c>
      <c r="H8" s="5" t="str">
        <f t="shared" si="0"/>
        <v>08-12-2024 to 14-12-2024</v>
      </c>
      <c r="I8" s="8" t="str" cm="1">
        <f t="array" ref="I8">_xlfn.IFS(
  DAY(A8)&lt;=7, "01-" &amp; TEXT(A8,"mm-yyyy") &amp; " to 07-" &amp; TEXT(A8,"mm-yyyy"),
  DAY(A8)&lt;=14, "08-" &amp; TEXT(A8,"mm-yyyy") &amp; " to 14-" &amp; TEXT(A8,"mm-yyyy"),
  DAY(A8)&lt;=21, "15-" &amp; TEXT(A8,"mm-yyyy") &amp; " to 21-" &amp; TEXT(A8,"mm-yyyy"),
  DAY(A8)&lt;=28, "22-" &amp; TEXT(A8,"mm-yyyy") &amp; " to 28-" &amp; TEXT(A8,"mm-yyyy"),
  DAY(A8)&gt;28,  "29-" &amp; TEXT(A8,"mm-yyyy") &amp; " to " &amp; TEXT(EOMONTH(A8,0),"dd-mm-yyyy")
)</f>
        <v>01-11-2024 to 07-11-2024</v>
      </c>
    </row>
    <row r="9" spans="1:10">
      <c r="A9" s="1">
        <v>45599</v>
      </c>
      <c r="B9" s="6">
        <v>0.40208333333333335</v>
      </c>
      <c r="C9" s="10" t="s">
        <v>22</v>
      </c>
      <c r="D9" t="str" cm="1">
        <f t="array" ref="D9">INDEX($H$2:$H$35, MATCH(1, (A9 &gt;= $F$2:$F$35) * (A9 &lt;= $G$2:$G$35), 0))</f>
        <v>01-11-2024 to 07-11-2024</v>
      </c>
      <c r="E9" t="str">
        <f>IF(COUNTIF('Top5'!I:I, D9) &gt; 0, "Yes", "No")</f>
        <v>No</v>
      </c>
      <c r="F9" s="1">
        <v>45641</v>
      </c>
      <c r="G9" s="1">
        <v>45647</v>
      </c>
      <c r="H9" s="5" t="str">
        <f t="shared" si="0"/>
        <v>15-12-2024 to 21-12-2024</v>
      </c>
      <c r="I9" s="8" t="str" cm="1">
        <f t="array" ref="I9">_xlfn.IFS(
  DAY(A9)&lt;=7, "01-" &amp; TEXT(A9,"mm-yyyy") &amp; " to 07-" &amp; TEXT(A9,"mm-yyyy"),
  DAY(A9)&lt;=14, "08-" &amp; TEXT(A9,"mm-yyyy") &amp; " to 14-" &amp; TEXT(A9,"mm-yyyy"),
  DAY(A9)&lt;=21, "15-" &amp; TEXT(A9,"mm-yyyy") &amp; " to 21-" &amp; TEXT(A9,"mm-yyyy"),
  DAY(A9)&lt;=28, "22-" &amp; TEXT(A9,"mm-yyyy") &amp; " to 28-" &amp; TEXT(A9,"mm-yyyy"),
  DAY(A9)&gt;28,  "29-" &amp; TEXT(A9,"mm-yyyy") &amp; " to " &amp; TEXT(EOMONTH(A9,0),"dd-mm-yyyy")
)</f>
        <v>01-11-2024 to 07-11-2024</v>
      </c>
    </row>
    <row r="10" spans="1:10">
      <c r="A10" s="1">
        <v>45599</v>
      </c>
      <c r="B10" s="6">
        <v>0.41597222222222224</v>
      </c>
      <c r="C10" s="10" t="s">
        <v>22</v>
      </c>
      <c r="D10" t="str" cm="1">
        <f t="array" ref="D10">INDEX($H$2:$H$35, MATCH(1, (A10 &gt;= $F$2:$F$35) * (A10 &lt;= $G$2:$G$35), 0))</f>
        <v>01-11-2024 to 07-11-2024</v>
      </c>
      <c r="E10" t="str">
        <f>IF(COUNTIF('Top5'!I:I, D10) &gt; 0, "Yes", "No")</f>
        <v>No</v>
      </c>
      <c r="F10" s="1">
        <v>45648</v>
      </c>
      <c r="G10" s="1">
        <v>45654</v>
      </c>
      <c r="H10" s="5" t="str">
        <f t="shared" si="0"/>
        <v>22-12-2024 to 28-12-2024</v>
      </c>
      <c r="I10" s="8" t="str" cm="1">
        <f t="array" ref="I10">_xlfn.IFS(
  DAY(A10)&lt;=7, "01-" &amp; TEXT(A10,"mm-yyyy") &amp; " to 07-" &amp; TEXT(A10,"mm-yyyy"),
  DAY(A10)&lt;=14, "08-" &amp; TEXT(A10,"mm-yyyy") &amp; " to 14-" &amp; TEXT(A10,"mm-yyyy"),
  DAY(A10)&lt;=21, "15-" &amp; TEXT(A10,"mm-yyyy") &amp; " to 21-" &amp; TEXT(A10,"mm-yyyy"),
  DAY(A10)&lt;=28, "22-" &amp; TEXT(A10,"mm-yyyy") &amp; " to 28-" &amp; TEXT(A10,"mm-yyyy"),
  DAY(A10)&gt;28,  "29-" &amp; TEXT(A10,"mm-yyyy") &amp; " to " &amp; TEXT(EOMONTH(A10,0),"dd-mm-yyyy")
)</f>
        <v>01-11-2024 to 07-11-2024</v>
      </c>
    </row>
    <row r="11" spans="1:10">
      <c r="A11" s="1">
        <v>45599</v>
      </c>
      <c r="B11" s="6">
        <v>0.50694444444444442</v>
      </c>
      <c r="C11" s="10" t="s">
        <v>71</v>
      </c>
      <c r="D11" t="str" cm="1">
        <f t="array" ref="D11">INDEX($H$2:$H$35, MATCH(1, (A11 &gt;= $F$2:$F$35) * (A11 &lt;= $G$2:$G$35), 0))</f>
        <v>01-11-2024 to 07-11-2024</v>
      </c>
      <c r="E11" t="str">
        <f>IF(COUNTIF('Top5'!I:I, D11) &gt; 0, "Yes", "No")</f>
        <v>No</v>
      </c>
      <c r="F11" s="1">
        <v>45655</v>
      </c>
      <c r="G11" s="1">
        <v>45657</v>
      </c>
      <c r="H11" s="5" t="str">
        <f t="shared" si="0"/>
        <v>29-12-2024 to 31-12-2024</v>
      </c>
      <c r="I11" s="8" t="str" cm="1">
        <f t="array" ref="I11">_xlfn.IFS(
  DAY(A11)&lt;=7, "01-" &amp; TEXT(A11,"mm-yyyy") &amp; " to 07-" &amp; TEXT(A11,"mm-yyyy"),
  DAY(A11)&lt;=14, "08-" &amp; TEXT(A11,"mm-yyyy") &amp; " to 14-" &amp; TEXT(A11,"mm-yyyy"),
  DAY(A11)&lt;=21, "15-" &amp; TEXT(A11,"mm-yyyy") &amp; " to 21-" &amp; TEXT(A11,"mm-yyyy"),
  DAY(A11)&lt;=28, "22-" &amp; TEXT(A11,"mm-yyyy") &amp; " to 28-" &amp; TEXT(A11,"mm-yyyy"),
  DAY(A11)&gt;28,  "29-" &amp; TEXT(A11,"mm-yyyy") &amp; " to " &amp; TEXT(EOMONTH(A11,0),"dd-mm-yyyy")
)</f>
        <v>01-11-2024 to 07-11-2024</v>
      </c>
    </row>
    <row r="12" spans="1:10">
      <c r="A12" s="1">
        <v>45599</v>
      </c>
      <c r="B12" s="6">
        <v>0.5756944444444444</v>
      </c>
      <c r="C12" s="10" t="s">
        <v>71</v>
      </c>
      <c r="D12" t="str" cm="1">
        <f t="array" ref="D12">INDEX($H$2:$H$35, MATCH(1, (A12 &gt;= $F$2:$F$35) * (A12 &lt;= $G$2:$G$35), 0))</f>
        <v>01-11-2024 to 07-11-2024</v>
      </c>
      <c r="E12" t="str">
        <f>IF(COUNTIF('Top5'!I:I, D12) &gt; 0, "Yes", "No")</f>
        <v>No</v>
      </c>
      <c r="F12" s="1">
        <v>45658</v>
      </c>
      <c r="G12" s="1">
        <v>45664</v>
      </c>
      <c r="H12" s="5" t="str">
        <f t="shared" si="0"/>
        <v>01-01-2025 to 07-01-2025</v>
      </c>
      <c r="I12" s="8" t="str" cm="1">
        <f t="array" ref="I12">_xlfn.IFS(
  DAY(A12)&lt;=7, "01-" &amp; TEXT(A12,"mm-yyyy") &amp; " to 07-" &amp; TEXT(A12,"mm-yyyy"),
  DAY(A12)&lt;=14, "08-" &amp; TEXT(A12,"mm-yyyy") &amp; " to 14-" &amp; TEXT(A12,"mm-yyyy"),
  DAY(A12)&lt;=21, "15-" &amp; TEXT(A12,"mm-yyyy") &amp; " to 21-" &amp; TEXT(A12,"mm-yyyy"),
  DAY(A12)&lt;=28, "22-" &amp; TEXT(A12,"mm-yyyy") &amp; " to 28-" &amp; TEXT(A12,"mm-yyyy"),
  DAY(A12)&gt;28,  "29-" &amp; TEXT(A12,"mm-yyyy") &amp; " to " &amp; TEXT(EOMONTH(A12,0),"dd-mm-yyyy")
)</f>
        <v>01-11-2024 to 07-11-2024</v>
      </c>
    </row>
    <row r="13" spans="1:10">
      <c r="A13" s="1">
        <v>45599</v>
      </c>
      <c r="B13" s="6">
        <v>0.59097222222222223</v>
      </c>
      <c r="C13" s="10" t="s">
        <v>71</v>
      </c>
      <c r="D13" t="str" cm="1">
        <f t="array" ref="D13">INDEX($H$2:$H$35, MATCH(1, (A13 &gt;= $F$2:$F$35) * (A13 &lt;= $G$2:$G$35), 0))</f>
        <v>01-11-2024 to 07-11-2024</v>
      </c>
      <c r="E13" t="str">
        <f>IF(COUNTIF('Top5'!I:I, D13) &gt; 0, "Yes", "No")</f>
        <v>No</v>
      </c>
      <c r="F13" s="1">
        <v>45665</v>
      </c>
      <c r="G13" s="1">
        <v>45671</v>
      </c>
      <c r="H13" s="5" t="str">
        <f t="shared" si="0"/>
        <v>08-01-2025 to 14-01-2025</v>
      </c>
      <c r="I13" s="8" t="str" cm="1">
        <f t="array" ref="I13">_xlfn.IFS(
  DAY(A13)&lt;=7, "01-" &amp; TEXT(A13,"mm-yyyy") &amp; " to 07-" &amp; TEXT(A13,"mm-yyyy"),
  DAY(A13)&lt;=14, "08-" &amp; TEXT(A13,"mm-yyyy") &amp; " to 14-" &amp; TEXT(A13,"mm-yyyy"),
  DAY(A13)&lt;=21, "15-" &amp; TEXT(A13,"mm-yyyy") &amp; " to 21-" &amp; TEXT(A13,"mm-yyyy"),
  DAY(A13)&lt;=28, "22-" &amp; TEXT(A13,"mm-yyyy") &amp; " to 28-" &amp; TEXT(A13,"mm-yyyy"),
  DAY(A13)&gt;28,  "29-" &amp; TEXT(A13,"mm-yyyy") &amp; " to " &amp; TEXT(EOMONTH(A13,0),"dd-mm-yyyy")
)</f>
        <v>01-11-2024 to 07-11-2024</v>
      </c>
    </row>
    <row r="14" spans="1:10">
      <c r="A14" s="1">
        <v>45599</v>
      </c>
      <c r="B14" s="6">
        <v>0.72291666666666665</v>
      </c>
      <c r="C14" s="10" t="s">
        <v>70</v>
      </c>
      <c r="D14" t="str" cm="1">
        <f t="array" ref="D14">INDEX($H$2:$H$35, MATCH(1, (A14 &gt;= $F$2:$F$35) * (A14 &lt;= $G$2:$G$35), 0))</f>
        <v>01-11-2024 to 07-11-2024</v>
      </c>
      <c r="E14" t="str">
        <f>IF(COUNTIF('Top5'!I:I, D14) &gt; 0, "Yes", "No")</f>
        <v>No</v>
      </c>
      <c r="F14" s="1">
        <v>45672</v>
      </c>
      <c r="G14" s="1">
        <v>45678</v>
      </c>
      <c r="H14" s="5" t="str">
        <f t="shared" si="0"/>
        <v>15-01-2025 to 21-01-2025</v>
      </c>
      <c r="I14" s="8" t="str" cm="1">
        <f t="array" ref="I14">_xlfn.IFS(
  DAY(A14)&lt;=7, "01-" &amp; TEXT(A14,"mm-yyyy") &amp; " to 07-" &amp; TEXT(A14,"mm-yyyy"),
  DAY(A14)&lt;=14, "08-" &amp; TEXT(A14,"mm-yyyy") &amp; " to 14-" &amp; TEXT(A14,"mm-yyyy"),
  DAY(A14)&lt;=21, "15-" &amp; TEXT(A14,"mm-yyyy") &amp; " to 21-" &amp; TEXT(A14,"mm-yyyy"),
  DAY(A14)&lt;=28, "22-" &amp; TEXT(A14,"mm-yyyy") &amp; " to 28-" &amp; TEXT(A14,"mm-yyyy"),
  DAY(A14)&gt;28,  "29-" &amp; TEXT(A14,"mm-yyyy") &amp; " to " &amp; TEXT(EOMONTH(A14,0),"dd-mm-yyyy")
)</f>
        <v>01-11-2024 to 07-11-2024</v>
      </c>
    </row>
    <row r="15" spans="1:10">
      <c r="A15" s="1">
        <v>45599</v>
      </c>
      <c r="B15" s="6">
        <v>0.73402777777777772</v>
      </c>
      <c r="C15" s="10" t="s">
        <v>70</v>
      </c>
      <c r="D15" t="str" cm="1">
        <f t="array" ref="D15">INDEX($H$2:$H$35, MATCH(1, (A15 &gt;= $F$2:$F$35) * (A15 &lt;= $G$2:$G$35), 0))</f>
        <v>01-11-2024 to 07-11-2024</v>
      </c>
      <c r="E15" t="str">
        <f>IF(COUNTIF('Top5'!I:I, D15) &gt; 0, "Yes", "No")</f>
        <v>No</v>
      </c>
      <c r="F15" s="1">
        <v>45679</v>
      </c>
      <c r="G15" s="1">
        <v>45685</v>
      </c>
      <c r="H15" s="5" t="str">
        <f t="shared" si="0"/>
        <v>22-01-2025 to 28-01-2025</v>
      </c>
      <c r="I15" s="8" t="str" cm="1">
        <f t="array" ref="I15">_xlfn.IFS(
  DAY(A15)&lt;=7, "01-" &amp; TEXT(A15,"mm-yyyy") &amp; " to 07-" &amp; TEXT(A15,"mm-yyyy"),
  DAY(A15)&lt;=14, "08-" &amp; TEXT(A15,"mm-yyyy") &amp; " to 14-" &amp; TEXT(A15,"mm-yyyy"),
  DAY(A15)&lt;=21, "15-" &amp; TEXT(A15,"mm-yyyy") &amp; " to 21-" &amp; TEXT(A15,"mm-yyyy"),
  DAY(A15)&lt;=28, "22-" &amp; TEXT(A15,"mm-yyyy") &amp; " to 28-" &amp; TEXT(A15,"mm-yyyy"),
  DAY(A15)&gt;28,  "29-" &amp; TEXT(A15,"mm-yyyy") &amp; " to " &amp; TEXT(EOMONTH(A15,0),"dd-mm-yyyy")
)</f>
        <v>01-11-2024 to 07-11-2024</v>
      </c>
    </row>
    <row r="16" spans="1:10">
      <c r="A16" s="1">
        <v>45600</v>
      </c>
      <c r="B16" s="6">
        <v>0.39513888888888887</v>
      </c>
      <c r="C16" s="10" t="s">
        <v>22</v>
      </c>
      <c r="D16" t="str" cm="1">
        <f t="array" ref="D16">INDEX($H$2:$H$35, MATCH(1, (A16 &gt;= $F$2:$F$35) * (A16 &lt;= $G$2:$G$35), 0))</f>
        <v>01-11-2024 to 07-11-2024</v>
      </c>
      <c r="E16" t="str">
        <f>IF(COUNTIF('Top5'!I:I, D16) &gt; 0, "Yes", "No")</f>
        <v>No</v>
      </c>
      <c r="F16" s="1">
        <v>45686</v>
      </c>
      <c r="G16" s="1">
        <v>45688</v>
      </c>
      <c r="H16" s="5" t="str">
        <f t="shared" si="0"/>
        <v>29-01-2025 to 31-01-2025</v>
      </c>
      <c r="I16" s="8" t="str" cm="1">
        <f t="array" ref="I16">_xlfn.IFS(
  DAY(A16)&lt;=7, "01-" &amp; TEXT(A16,"mm-yyyy") &amp; " to 07-" &amp; TEXT(A16,"mm-yyyy"),
  DAY(A16)&lt;=14, "08-" &amp; TEXT(A16,"mm-yyyy") &amp; " to 14-" &amp; TEXT(A16,"mm-yyyy"),
  DAY(A16)&lt;=21, "15-" &amp; TEXT(A16,"mm-yyyy") &amp; " to 21-" &amp; TEXT(A16,"mm-yyyy"),
  DAY(A16)&lt;=28, "22-" &amp; TEXT(A16,"mm-yyyy") &amp; " to 28-" &amp; TEXT(A16,"mm-yyyy"),
  DAY(A16)&gt;28,  "29-" &amp; TEXT(A16,"mm-yyyy") &amp; " to " &amp; TEXT(EOMONTH(A16,0),"dd-mm-yyyy")
)</f>
        <v>01-11-2024 to 07-11-2024</v>
      </c>
    </row>
    <row r="17" spans="1:9">
      <c r="A17" s="1">
        <v>45600</v>
      </c>
      <c r="B17" s="6">
        <v>0.81527777777777777</v>
      </c>
      <c r="C17" s="10" t="s">
        <v>70</v>
      </c>
      <c r="D17" t="str" cm="1">
        <f t="array" ref="D17">INDEX($H$2:$H$35, MATCH(1, (A17 &gt;= $F$2:$F$35) * (A17 &lt;= $G$2:$G$35), 0))</f>
        <v>01-11-2024 to 07-11-2024</v>
      </c>
      <c r="E17" t="str">
        <f>IF(COUNTIF('Top5'!I:I, D17) &gt; 0, "Yes", "No")</f>
        <v>No</v>
      </c>
      <c r="F17" s="1">
        <v>45689</v>
      </c>
      <c r="G17" s="1">
        <v>45695</v>
      </c>
      <c r="H17" s="5" t="str">
        <f t="shared" si="0"/>
        <v>01-02-2025 to 07-02-2025</v>
      </c>
      <c r="I17" s="8" t="str" cm="1">
        <f t="array" ref="I17">_xlfn.IFS(
  DAY(A17)&lt;=7, "01-" &amp; TEXT(A17,"mm-yyyy") &amp; " to 07-" &amp; TEXT(A17,"mm-yyyy"),
  DAY(A17)&lt;=14, "08-" &amp; TEXT(A17,"mm-yyyy") &amp; " to 14-" &amp; TEXT(A17,"mm-yyyy"),
  DAY(A17)&lt;=21, "15-" &amp; TEXT(A17,"mm-yyyy") &amp; " to 21-" &amp; TEXT(A17,"mm-yyyy"),
  DAY(A17)&lt;=28, "22-" &amp; TEXT(A17,"mm-yyyy") &amp; " to 28-" &amp; TEXT(A17,"mm-yyyy"),
  DAY(A17)&gt;28,  "29-" &amp; TEXT(A17,"mm-yyyy") &amp; " to " &amp; TEXT(EOMONTH(A17,0),"dd-mm-yyyy")
)</f>
        <v>01-11-2024 to 07-11-2024</v>
      </c>
    </row>
    <row r="18" spans="1:9">
      <c r="A18" s="1">
        <v>45600</v>
      </c>
      <c r="B18" s="6">
        <v>0.84930555555555554</v>
      </c>
      <c r="C18" s="10" t="s">
        <v>70</v>
      </c>
      <c r="D18" t="str" cm="1">
        <f t="array" ref="D18">INDEX($H$2:$H$35, MATCH(1, (A18 &gt;= $F$2:$F$35) * (A18 &lt;= $G$2:$G$35), 0))</f>
        <v>01-11-2024 to 07-11-2024</v>
      </c>
      <c r="E18" t="str">
        <f>IF(COUNTIF('Top5'!I:I, D18) &gt; 0, "Yes", "No")</f>
        <v>No</v>
      </c>
      <c r="F18" s="1">
        <v>45696</v>
      </c>
      <c r="G18" s="1">
        <v>45702</v>
      </c>
      <c r="H18" s="5" t="str">
        <f t="shared" si="0"/>
        <v>08-02-2025 to 14-02-2025</v>
      </c>
      <c r="I18" s="8" t="str" cm="1">
        <f t="array" ref="I18">_xlfn.IFS(
  DAY(A18)&lt;=7, "01-" &amp; TEXT(A18,"mm-yyyy") &amp; " to 07-" &amp; TEXT(A18,"mm-yyyy"),
  DAY(A18)&lt;=14, "08-" &amp; TEXT(A18,"mm-yyyy") &amp; " to 14-" &amp; TEXT(A18,"mm-yyyy"),
  DAY(A18)&lt;=21, "15-" &amp; TEXT(A18,"mm-yyyy") &amp; " to 21-" &amp; TEXT(A18,"mm-yyyy"),
  DAY(A18)&lt;=28, "22-" &amp; TEXT(A18,"mm-yyyy") &amp; " to 28-" &amp; TEXT(A18,"mm-yyyy"),
  DAY(A18)&gt;28,  "29-" &amp; TEXT(A18,"mm-yyyy") &amp; " to " &amp; TEXT(EOMONTH(A18,0),"dd-mm-yyyy")
)</f>
        <v>01-11-2024 to 07-11-2024</v>
      </c>
    </row>
    <row r="19" spans="1:9">
      <c r="A19" s="1">
        <v>45600</v>
      </c>
      <c r="B19" s="6">
        <v>0.85347222222222219</v>
      </c>
      <c r="C19" s="10" t="s">
        <v>70</v>
      </c>
      <c r="D19" t="str" cm="1">
        <f t="array" ref="D19">INDEX($H$2:$H$35, MATCH(1, (A19 &gt;= $F$2:$F$35) * (A19 &lt;= $G$2:$G$35), 0))</f>
        <v>01-11-2024 to 07-11-2024</v>
      </c>
      <c r="E19" t="str">
        <f>IF(COUNTIF('Top5'!I:I, D19) &gt; 0, "Yes", "No")</f>
        <v>No</v>
      </c>
      <c r="F19" s="1">
        <v>45703</v>
      </c>
      <c r="G19" s="1">
        <v>45709</v>
      </c>
      <c r="H19" s="5" t="str">
        <f t="shared" si="0"/>
        <v>15-02-2025 to 21-02-2025</v>
      </c>
      <c r="I19" s="8" t="str" cm="1">
        <f t="array" ref="I19">_xlfn.IFS(
  DAY(A19)&lt;=7, "01-" &amp; TEXT(A19,"mm-yyyy") &amp; " to 07-" &amp; TEXT(A19,"mm-yyyy"),
  DAY(A19)&lt;=14, "08-" &amp; TEXT(A19,"mm-yyyy") &amp; " to 14-" &amp; TEXT(A19,"mm-yyyy"),
  DAY(A19)&lt;=21, "15-" &amp; TEXT(A19,"mm-yyyy") &amp; " to 21-" &amp; TEXT(A19,"mm-yyyy"),
  DAY(A19)&lt;=28, "22-" &amp; TEXT(A19,"mm-yyyy") &amp; " to 28-" &amp; TEXT(A19,"mm-yyyy"),
  DAY(A19)&gt;28,  "29-" &amp; TEXT(A19,"mm-yyyy") &amp; " to " &amp; TEXT(EOMONTH(A19,0),"dd-mm-yyyy")
)</f>
        <v>01-11-2024 to 07-11-2024</v>
      </c>
    </row>
    <row r="20" spans="1:9">
      <c r="A20" s="1">
        <v>45601</v>
      </c>
      <c r="B20" s="6">
        <v>0.47013888888888888</v>
      </c>
      <c r="C20" s="10" t="s">
        <v>22</v>
      </c>
      <c r="D20" t="str" cm="1">
        <f t="array" ref="D20">INDEX($H$2:$H$35, MATCH(1, (A20 &gt;= $F$2:$F$35) * (A20 &lt;= $G$2:$G$35), 0))</f>
        <v>01-11-2024 to 07-11-2024</v>
      </c>
      <c r="E20" t="str">
        <f>IF(COUNTIF('Top5'!I:I, D20) &gt; 0, "Yes", "No")</f>
        <v>No</v>
      </c>
      <c r="F20" s="1">
        <v>45710</v>
      </c>
      <c r="G20" s="1">
        <v>45716</v>
      </c>
      <c r="H20" s="5" t="str">
        <f t="shared" si="0"/>
        <v>22-02-2025 to 28-02-2025</v>
      </c>
      <c r="I20" s="8" t="str" cm="1">
        <f t="array" ref="I20">_xlfn.IFS(
  DAY(A20)&lt;=7, "01-" &amp; TEXT(A20,"mm-yyyy") &amp; " to 07-" &amp; TEXT(A20,"mm-yyyy"),
  DAY(A20)&lt;=14, "08-" &amp; TEXT(A20,"mm-yyyy") &amp; " to 14-" &amp; TEXT(A20,"mm-yyyy"),
  DAY(A20)&lt;=21, "15-" &amp; TEXT(A20,"mm-yyyy") &amp; " to 21-" &amp; TEXT(A20,"mm-yyyy"),
  DAY(A20)&lt;=28, "22-" &amp; TEXT(A20,"mm-yyyy") &amp; " to 28-" &amp; TEXT(A20,"mm-yyyy"),
  DAY(A20)&gt;28,  "29-" &amp; TEXT(A20,"mm-yyyy") &amp; " to " &amp; TEXT(EOMONTH(A20,0),"dd-mm-yyyy")
)</f>
        <v>01-11-2024 to 07-11-2024</v>
      </c>
    </row>
    <row r="21" spans="1:9">
      <c r="A21" s="1">
        <v>45601</v>
      </c>
      <c r="B21" s="6">
        <v>0.6166666666666667</v>
      </c>
      <c r="C21" s="10" t="s">
        <v>71</v>
      </c>
      <c r="D21" t="str" cm="1">
        <f t="array" ref="D21">INDEX($H$2:$H$35, MATCH(1, (A21 &gt;= $F$2:$F$35) * (A21 &lt;= $G$2:$G$35), 0))</f>
        <v>01-11-2024 to 07-11-2024</v>
      </c>
      <c r="E21" t="str">
        <f>IF(COUNTIF('Top5'!I:I, D21) &gt; 0, "Yes", "No")</f>
        <v>No</v>
      </c>
      <c r="F21" s="1">
        <v>45717</v>
      </c>
      <c r="G21" s="1">
        <v>45723</v>
      </c>
      <c r="H21" s="5" t="str">
        <f t="shared" si="0"/>
        <v>01-03-2025 to 07-03-2025</v>
      </c>
      <c r="I21" s="8" t="str" cm="1">
        <f t="array" ref="I21">_xlfn.IFS(
  DAY(A21)&lt;=7, "01-" &amp; TEXT(A21,"mm-yyyy") &amp; " to 07-" &amp; TEXT(A21,"mm-yyyy"),
  DAY(A21)&lt;=14, "08-" &amp; TEXT(A21,"mm-yyyy") &amp; " to 14-" &amp; TEXT(A21,"mm-yyyy"),
  DAY(A21)&lt;=21, "15-" &amp; TEXT(A21,"mm-yyyy") &amp; " to 21-" &amp; TEXT(A21,"mm-yyyy"),
  DAY(A21)&lt;=28, "22-" &amp; TEXT(A21,"mm-yyyy") &amp; " to 28-" &amp; TEXT(A21,"mm-yyyy"),
  DAY(A21)&gt;28,  "29-" &amp; TEXT(A21,"mm-yyyy") &amp; " to " &amp; TEXT(EOMONTH(A21,0),"dd-mm-yyyy")
)</f>
        <v>01-11-2024 to 07-11-2024</v>
      </c>
    </row>
    <row r="22" spans="1:9">
      <c r="A22" s="1">
        <v>45603</v>
      </c>
      <c r="B22" s="6">
        <v>0.37361111111111112</v>
      </c>
      <c r="C22" s="10" t="s">
        <v>22</v>
      </c>
      <c r="D22" t="str" cm="1">
        <f t="array" ref="D22">INDEX($H$2:$H$35, MATCH(1, (A22 &gt;= $F$2:$F$35) * (A22 &lt;= $G$2:$G$35), 0))</f>
        <v>01-11-2024 to 07-11-2024</v>
      </c>
      <c r="E22" t="str">
        <f>IF(COUNTIF('Top5'!I:I, D22) &gt; 0, "Yes", "No")</f>
        <v>No</v>
      </c>
      <c r="F22" s="1">
        <v>45724</v>
      </c>
      <c r="G22" s="1">
        <v>45730</v>
      </c>
      <c r="H22" s="5" t="str">
        <f t="shared" si="0"/>
        <v>08-03-2025 to 14-03-2025</v>
      </c>
      <c r="I22" s="8" t="str" cm="1">
        <f t="array" ref="I22">_xlfn.IFS(
  DAY(A22)&lt;=7, "01-" &amp; TEXT(A22,"mm-yyyy") &amp; " to 07-" &amp; TEXT(A22,"mm-yyyy"),
  DAY(A22)&lt;=14, "08-" &amp; TEXT(A22,"mm-yyyy") &amp; " to 14-" &amp; TEXT(A22,"mm-yyyy"),
  DAY(A22)&lt;=21, "15-" &amp; TEXT(A22,"mm-yyyy") &amp; " to 21-" &amp; TEXT(A22,"mm-yyyy"),
  DAY(A22)&lt;=28, "22-" &amp; TEXT(A22,"mm-yyyy") &amp; " to 28-" &amp; TEXT(A22,"mm-yyyy"),
  DAY(A22)&gt;28,  "29-" &amp; TEXT(A22,"mm-yyyy") &amp; " to " &amp; TEXT(EOMONTH(A22,0),"dd-mm-yyyy")
)</f>
        <v>01-11-2024 to 07-11-2024</v>
      </c>
    </row>
    <row r="23" spans="1:9">
      <c r="A23" s="1">
        <v>45604</v>
      </c>
      <c r="B23" s="6">
        <v>0.76527777777777772</v>
      </c>
      <c r="C23" s="10" t="s">
        <v>70</v>
      </c>
      <c r="D23" t="str" cm="1">
        <f t="array" ref="D23">INDEX($H$2:$H$35, MATCH(1, (A23 &gt;= $F$2:$F$35) * (A23 &lt;= $G$2:$G$35), 0))</f>
        <v>08-11-2024 to 14-11-2024</v>
      </c>
      <c r="E23" t="str">
        <f>IF(COUNTIF('Top5'!I:I, D23) &gt; 0, "Yes", "No")</f>
        <v>No</v>
      </c>
      <c r="F23" s="1">
        <v>45731</v>
      </c>
      <c r="G23" s="1">
        <v>45737</v>
      </c>
      <c r="H23" s="5" t="str">
        <f t="shared" si="0"/>
        <v>15-03-2025 to 21-03-2025</v>
      </c>
      <c r="I23" s="8" t="str" cm="1">
        <f t="array" ref="I23">_xlfn.IFS(
  DAY(A23)&lt;=7, "01-" &amp; TEXT(A23,"mm-yyyy") &amp; " to 07-" &amp; TEXT(A23,"mm-yyyy"),
  DAY(A23)&lt;=14, "08-" &amp; TEXT(A23,"mm-yyyy") &amp; " to 14-" &amp; TEXT(A23,"mm-yyyy"),
  DAY(A23)&lt;=21, "15-" &amp; TEXT(A23,"mm-yyyy") &amp; " to 21-" &amp; TEXT(A23,"mm-yyyy"),
  DAY(A23)&lt;=28, "22-" &amp; TEXT(A23,"mm-yyyy") &amp; " to 28-" &amp; TEXT(A23,"mm-yyyy"),
  DAY(A23)&gt;28,  "29-" &amp; TEXT(A23,"mm-yyyy") &amp; " to " &amp; TEXT(EOMONTH(A23,0),"dd-mm-yyyy")
)</f>
        <v>08-11-2024 to 14-11-2024</v>
      </c>
    </row>
    <row r="24" spans="1:9">
      <c r="A24" s="1">
        <v>45604</v>
      </c>
      <c r="B24" s="6">
        <v>0.78402777777777777</v>
      </c>
      <c r="C24" s="10" t="s">
        <v>70</v>
      </c>
      <c r="D24" t="str" cm="1">
        <f t="array" ref="D24">INDEX($H$2:$H$35, MATCH(1, (A24 &gt;= $F$2:$F$35) * (A24 &lt;= $G$2:$G$35), 0))</f>
        <v>08-11-2024 to 14-11-2024</v>
      </c>
      <c r="E24" t="str">
        <f>IF(COUNTIF('Top5'!I:I, D24) &gt; 0, "Yes", "No")</f>
        <v>No</v>
      </c>
      <c r="F24" s="1">
        <v>45738</v>
      </c>
      <c r="G24" s="1">
        <v>45744</v>
      </c>
      <c r="H24" s="5" t="str">
        <f t="shared" si="0"/>
        <v>22-03-2025 to 28-03-2025</v>
      </c>
      <c r="I24" s="8" t="str" cm="1">
        <f t="array" ref="I24">_xlfn.IFS(
  DAY(A24)&lt;=7, "01-" &amp; TEXT(A24,"mm-yyyy") &amp; " to 07-" &amp; TEXT(A24,"mm-yyyy"),
  DAY(A24)&lt;=14, "08-" &amp; TEXT(A24,"mm-yyyy") &amp; " to 14-" &amp; TEXT(A24,"mm-yyyy"),
  DAY(A24)&lt;=21, "15-" &amp; TEXT(A24,"mm-yyyy") &amp; " to 21-" &amp; TEXT(A24,"mm-yyyy"),
  DAY(A24)&lt;=28, "22-" &amp; TEXT(A24,"mm-yyyy") &amp; " to 28-" &amp; TEXT(A24,"mm-yyyy"),
  DAY(A24)&gt;28,  "29-" &amp; TEXT(A24,"mm-yyyy") &amp; " to " &amp; TEXT(EOMONTH(A24,0),"dd-mm-yyyy")
)</f>
        <v>08-11-2024 to 14-11-2024</v>
      </c>
    </row>
    <row r="25" spans="1:9">
      <c r="A25" s="1">
        <v>45605</v>
      </c>
      <c r="B25" s="6">
        <v>0.6333333333333333</v>
      </c>
      <c r="C25" s="10" t="s">
        <v>71</v>
      </c>
      <c r="D25" t="str" cm="1">
        <f t="array" ref="D25">INDEX($H$2:$H$35, MATCH(1, (A25 &gt;= $F$2:$F$35) * (A25 &lt;= $G$2:$G$35), 0))</f>
        <v>08-11-2024 to 14-11-2024</v>
      </c>
      <c r="E25" t="str">
        <f>IF(COUNTIF('Top5'!I:I, D25) &gt; 0, "Yes", "No")</f>
        <v>No</v>
      </c>
      <c r="F25" s="1">
        <v>45745</v>
      </c>
      <c r="G25" s="1">
        <v>45747</v>
      </c>
      <c r="H25" s="5" t="str">
        <f t="shared" si="0"/>
        <v>29-03-2025 to 31-03-2025</v>
      </c>
      <c r="I25" s="8" t="str" cm="1">
        <f t="array" ref="I25">_xlfn.IFS(
  DAY(A25)&lt;=7, "01-" &amp; TEXT(A25,"mm-yyyy") &amp; " to 07-" &amp; TEXT(A25,"mm-yyyy"),
  DAY(A25)&lt;=14, "08-" &amp; TEXT(A25,"mm-yyyy") &amp; " to 14-" &amp; TEXT(A25,"mm-yyyy"),
  DAY(A25)&lt;=21, "15-" &amp; TEXT(A25,"mm-yyyy") &amp; " to 21-" &amp; TEXT(A25,"mm-yyyy"),
  DAY(A25)&lt;=28, "22-" &amp; TEXT(A25,"mm-yyyy") &amp; " to 28-" &amp; TEXT(A25,"mm-yyyy"),
  DAY(A25)&gt;28,  "29-" &amp; TEXT(A25,"mm-yyyy") &amp; " to " &amp; TEXT(EOMONTH(A25,0),"dd-mm-yyyy")
)</f>
        <v>08-11-2024 to 14-11-2024</v>
      </c>
    </row>
    <row r="26" spans="1:9">
      <c r="A26" s="1">
        <v>45606</v>
      </c>
      <c r="B26" s="6">
        <v>0.52986111111111112</v>
      </c>
      <c r="C26" s="10" t="s">
        <v>71</v>
      </c>
      <c r="D26" t="str" cm="1">
        <f t="array" ref="D26">INDEX($H$2:$H$35, MATCH(1, (A26 &gt;= $F$2:$F$35) * (A26 &lt;= $G$2:$G$35), 0))</f>
        <v>08-11-2024 to 14-11-2024</v>
      </c>
      <c r="E26" t="str">
        <f>IF(COUNTIF('Top5'!I:I, D26) &gt; 0, "Yes", "No")</f>
        <v>No</v>
      </c>
      <c r="F26" s="1">
        <v>45748</v>
      </c>
      <c r="G26" s="1">
        <v>45754</v>
      </c>
      <c r="H26" s="5" t="str">
        <f t="shared" si="0"/>
        <v>01-04-2025 to 07-04-2025</v>
      </c>
      <c r="I26" s="8" t="str" cm="1">
        <f t="array" ref="I26">_xlfn.IFS(
  DAY(A26)&lt;=7, "01-" &amp; TEXT(A26,"mm-yyyy") &amp; " to 07-" &amp; TEXT(A26,"mm-yyyy"),
  DAY(A26)&lt;=14, "08-" &amp; TEXT(A26,"mm-yyyy") &amp; " to 14-" &amp; TEXT(A26,"mm-yyyy"),
  DAY(A26)&lt;=21, "15-" &amp; TEXT(A26,"mm-yyyy") &amp; " to 21-" &amp; TEXT(A26,"mm-yyyy"),
  DAY(A26)&lt;=28, "22-" &amp; TEXT(A26,"mm-yyyy") &amp; " to 28-" &amp; TEXT(A26,"mm-yyyy"),
  DAY(A26)&gt;28,  "29-" &amp; TEXT(A26,"mm-yyyy") &amp; " to " &amp; TEXT(EOMONTH(A26,0),"dd-mm-yyyy")
)</f>
        <v>08-11-2024 to 14-11-2024</v>
      </c>
    </row>
    <row r="27" spans="1:9">
      <c r="A27" s="1">
        <v>45606</v>
      </c>
      <c r="B27" s="6">
        <v>0.54722222222222228</v>
      </c>
      <c r="C27" s="10" t="s">
        <v>71</v>
      </c>
      <c r="D27" t="str" cm="1">
        <f t="array" ref="D27">INDEX($H$2:$H$35, MATCH(1, (A27 &gt;= $F$2:$F$35) * (A27 &lt;= $G$2:$G$35), 0))</f>
        <v>08-11-2024 to 14-11-2024</v>
      </c>
      <c r="E27" t="str">
        <f>IF(COUNTIF('Top5'!I:I, D27) &gt; 0, "Yes", "No")</f>
        <v>No</v>
      </c>
      <c r="F27" s="1">
        <v>45755</v>
      </c>
      <c r="G27" s="1">
        <v>45761</v>
      </c>
      <c r="H27" s="5" t="str">
        <f t="shared" si="0"/>
        <v>08-04-2025 to 14-04-2025</v>
      </c>
      <c r="I27" s="8" t="str" cm="1">
        <f t="array" ref="I27">_xlfn.IFS(
  DAY(A27)&lt;=7, "01-" &amp; TEXT(A27,"mm-yyyy") &amp; " to 07-" &amp; TEXT(A27,"mm-yyyy"),
  DAY(A27)&lt;=14, "08-" &amp; TEXT(A27,"mm-yyyy") &amp; " to 14-" &amp; TEXT(A27,"mm-yyyy"),
  DAY(A27)&lt;=21, "15-" &amp; TEXT(A27,"mm-yyyy") &amp; " to 21-" &amp; TEXT(A27,"mm-yyyy"),
  DAY(A27)&lt;=28, "22-" &amp; TEXT(A27,"mm-yyyy") &amp; " to 28-" &amp; TEXT(A27,"mm-yyyy"),
  DAY(A27)&gt;28,  "29-" &amp; TEXT(A27,"mm-yyyy") &amp; " to " &amp; TEXT(EOMONTH(A27,0),"dd-mm-yyyy")
)</f>
        <v>08-11-2024 to 14-11-2024</v>
      </c>
    </row>
    <row r="28" spans="1:9">
      <c r="A28" s="1">
        <v>45606</v>
      </c>
      <c r="B28" s="6">
        <v>0.61319444444444449</v>
      </c>
      <c r="C28" s="10" t="s">
        <v>71</v>
      </c>
      <c r="D28" t="str" cm="1">
        <f t="array" ref="D28">INDEX($H$2:$H$35, MATCH(1, (A28 &gt;= $F$2:$F$35) * (A28 &lt;= $G$2:$G$35), 0))</f>
        <v>08-11-2024 to 14-11-2024</v>
      </c>
      <c r="E28" t="str">
        <f>IF(COUNTIF('Top5'!I:I, D28) &gt; 0, "Yes", "No")</f>
        <v>No</v>
      </c>
      <c r="F28" s="1">
        <v>45762</v>
      </c>
      <c r="G28" s="1">
        <v>45768</v>
      </c>
      <c r="H28" s="5" t="str">
        <f t="shared" si="0"/>
        <v>15-04-2025 to 21-04-2025</v>
      </c>
      <c r="I28" s="8" t="str" cm="1">
        <f t="array" ref="I28">_xlfn.IFS(
  DAY(A28)&lt;=7, "01-" &amp; TEXT(A28,"mm-yyyy") &amp; " to 07-" &amp; TEXT(A28,"mm-yyyy"),
  DAY(A28)&lt;=14, "08-" &amp; TEXT(A28,"mm-yyyy") &amp; " to 14-" &amp; TEXT(A28,"mm-yyyy"),
  DAY(A28)&lt;=21, "15-" &amp; TEXT(A28,"mm-yyyy") &amp; " to 21-" &amp; TEXT(A28,"mm-yyyy"),
  DAY(A28)&lt;=28, "22-" &amp; TEXT(A28,"mm-yyyy") &amp; " to 28-" &amp; TEXT(A28,"mm-yyyy"),
  DAY(A28)&gt;28,  "29-" &amp; TEXT(A28,"mm-yyyy") &amp; " to " &amp; TEXT(EOMONTH(A28,0),"dd-mm-yyyy")
)</f>
        <v>08-11-2024 to 14-11-2024</v>
      </c>
    </row>
    <row r="29" spans="1:9">
      <c r="A29" s="1">
        <v>45606</v>
      </c>
      <c r="B29" s="6">
        <v>0.61805555555555558</v>
      </c>
      <c r="C29" s="10" t="s">
        <v>71</v>
      </c>
      <c r="D29" t="str" cm="1">
        <f t="array" ref="D29">INDEX($H$2:$H$35, MATCH(1, (A29 &gt;= $F$2:$F$35) * (A29 &lt;= $G$2:$G$35), 0))</f>
        <v>08-11-2024 to 14-11-2024</v>
      </c>
      <c r="E29" t="str">
        <f>IF(COUNTIF('Top5'!I:I, D29) &gt; 0, "Yes", "No")</f>
        <v>No</v>
      </c>
      <c r="F29" s="1">
        <v>45769</v>
      </c>
      <c r="G29" s="1">
        <v>45775</v>
      </c>
      <c r="H29" s="5" t="str">
        <f t="shared" si="0"/>
        <v>22-04-2025 to 28-04-2025</v>
      </c>
      <c r="I29" s="8" t="str" cm="1">
        <f t="array" ref="I29">_xlfn.IFS(
  DAY(A29)&lt;=7, "01-" &amp; TEXT(A29,"mm-yyyy") &amp; " to 07-" &amp; TEXT(A29,"mm-yyyy"),
  DAY(A29)&lt;=14, "08-" &amp; TEXT(A29,"mm-yyyy") &amp; " to 14-" &amp; TEXT(A29,"mm-yyyy"),
  DAY(A29)&lt;=21, "15-" &amp; TEXT(A29,"mm-yyyy") &amp; " to 21-" &amp; TEXT(A29,"mm-yyyy"),
  DAY(A29)&lt;=28, "22-" &amp; TEXT(A29,"mm-yyyy") &amp; " to 28-" &amp; TEXT(A29,"mm-yyyy"),
  DAY(A29)&gt;28,  "29-" &amp; TEXT(A29,"mm-yyyy") &amp; " to " &amp; TEXT(EOMONTH(A29,0),"dd-mm-yyyy")
)</f>
        <v>08-11-2024 to 14-11-2024</v>
      </c>
    </row>
    <row r="30" spans="1:9">
      <c r="A30" s="1">
        <v>45606</v>
      </c>
      <c r="B30" s="6">
        <v>0.65347222222222223</v>
      </c>
      <c r="C30" s="10" t="s">
        <v>71</v>
      </c>
      <c r="D30" t="str" cm="1">
        <f t="array" ref="D30">INDEX($H$2:$H$35, MATCH(1, (A30 &gt;= $F$2:$F$35) * (A30 &lt;= $G$2:$G$35), 0))</f>
        <v>08-11-2024 to 14-11-2024</v>
      </c>
      <c r="E30" t="str">
        <f>IF(COUNTIF('Top5'!I:I, D30) &gt; 0, "Yes", "No")</f>
        <v>No</v>
      </c>
      <c r="F30" s="1">
        <v>45776</v>
      </c>
      <c r="G30" s="1">
        <v>45777</v>
      </c>
      <c r="H30" s="5" t="str">
        <f t="shared" si="0"/>
        <v>29-04-2025 to 30-04-2025</v>
      </c>
      <c r="I30" s="8" t="str" cm="1">
        <f t="array" ref="I30">_xlfn.IFS(
  DAY(A30)&lt;=7, "01-" &amp; TEXT(A30,"mm-yyyy") &amp; " to 07-" &amp; TEXT(A30,"mm-yyyy"),
  DAY(A30)&lt;=14, "08-" &amp; TEXT(A30,"mm-yyyy") &amp; " to 14-" &amp; TEXT(A30,"mm-yyyy"),
  DAY(A30)&lt;=21, "15-" &amp; TEXT(A30,"mm-yyyy") &amp; " to 21-" &amp; TEXT(A30,"mm-yyyy"),
  DAY(A30)&lt;=28, "22-" &amp; TEXT(A30,"mm-yyyy") &amp; " to 28-" &amp; TEXT(A30,"mm-yyyy"),
  DAY(A30)&gt;28,  "29-" &amp; TEXT(A30,"mm-yyyy") &amp; " to " &amp; TEXT(EOMONTH(A30,0),"dd-mm-yyyy")
)</f>
        <v>08-11-2024 to 14-11-2024</v>
      </c>
    </row>
    <row r="31" spans="1:9">
      <c r="A31" s="1">
        <v>45606</v>
      </c>
      <c r="B31" s="6">
        <v>0.72430555555555554</v>
      </c>
      <c r="C31" s="10" t="s">
        <v>70</v>
      </c>
      <c r="D31" t="str" cm="1">
        <f t="array" ref="D31">INDEX($H$2:$H$35, MATCH(1, (A31 &gt;= $F$2:$F$35) * (A31 &lt;= $G$2:$G$35), 0))</f>
        <v>08-11-2024 to 14-11-2024</v>
      </c>
      <c r="E31" t="str">
        <f>IF(COUNTIF('Top5'!I:I, D31) &gt; 0, "Yes", "No")</f>
        <v>No</v>
      </c>
      <c r="F31" s="1">
        <v>45778</v>
      </c>
      <c r="G31" s="1">
        <v>45784</v>
      </c>
      <c r="H31" s="5" t="str">
        <f t="shared" si="0"/>
        <v>01-05-2025 to 07-05-2025</v>
      </c>
      <c r="I31" s="8" t="str" cm="1">
        <f t="array" ref="I31">_xlfn.IFS(
  DAY(A31)&lt;=7, "01-" &amp; TEXT(A31,"mm-yyyy") &amp; " to 07-" &amp; TEXT(A31,"mm-yyyy"),
  DAY(A31)&lt;=14, "08-" &amp; TEXT(A31,"mm-yyyy") &amp; " to 14-" &amp; TEXT(A31,"mm-yyyy"),
  DAY(A31)&lt;=21, "15-" &amp; TEXT(A31,"mm-yyyy") &amp; " to 21-" &amp; TEXT(A31,"mm-yyyy"),
  DAY(A31)&lt;=28, "22-" &amp; TEXT(A31,"mm-yyyy") &amp; " to 28-" &amp; TEXT(A31,"mm-yyyy"),
  DAY(A31)&gt;28,  "29-" &amp; TEXT(A31,"mm-yyyy") &amp; " to " &amp; TEXT(EOMONTH(A31,0),"dd-mm-yyyy")
)</f>
        <v>08-11-2024 to 14-11-2024</v>
      </c>
    </row>
    <row r="32" spans="1:9">
      <c r="A32" s="1">
        <v>45606</v>
      </c>
      <c r="B32" s="6">
        <v>0.73333333333333328</v>
      </c>
      <c r="C32" s="10" t="s">
        <v>70</v>
      </c>
      <c r="D32" t="str" cm="1">
        <f t="array" ref="D32">INDEX($H$2:$H$35, MATCH(1, (A32 &gt;= $F$2:$F$35) * (A32 &lt;= $G$2:$G$35), 0))</f>
        <v>08-11-2024 to 14-11-2024</v>
      </c>
      <c r="E32" t="str">
        <f>IF(COUNTIF('Top5'!I:I, D32) &gt; 0, "Yes", "No")</f>
        <v>No</v>
      </c>
      <c r="F32" s="1">
        <v>45785</v>
      </c>
      <c r="G32" s="1">
        <v>45791</v>
      </c>
      <c r="H32" s="5" t="str">
        <f t="shared" si="0"/>
        <v>08-05-2025 to 14-05-2025</v>
      </c>
      <c r="I32" s="8" t="str" cm="1">
        <f t="array" ref="I32">_xlfn.IFS(
  DAY(A32)&lt;=7, "01-" &amp; TEXT(A32,"mm-yyyy") &amp; " to 07-" &amp; TEXT(A32,"mm-yyyy"),
  DAY(A32)&lt;=14, "08-" &amp; TEXT(A32,"mm-yyyy") &amp; " to 14-" &amp; TEXT(A32,"mm-yyyy"),
  DAY(A32)&lt;=21, "15-" &amp; TEXT(A32,"mm-yyyy") &amp; " to 21-" &amp; TEXT(A32,"mm-yyyy"),
  DAY(A32)&lt;=28, "22-" &amp; TEXT(A32,"mm-yyyy") &amp; " to 28-" &amp; TEXT(A32,"mm-yyyy"),
  DAY(A32)&gt;28,  "29-" &amp; TEXT(A32,"mm-yyyy") &amp; " to " &amp; TEXT(EOMONTH(A32,0),"dd-mm-yyyy")
)</f>
        <v>08-11-2024 to 14-11-2024</v>
      </c>
    </row>
    <row r="33" spans="1:9">
      <c r="A33" s="1">
        <v>45606</v>
      </c>
      <c r="B33" s="6">
        <v>0.93402777777777779</v>
      </c>
      <c r="C33" s="10" t="s">
        <v>70</v>
      </c>
      <c r="D33" t="str" cm="1">
        <f t="array" ref="D33">INDEX($H$2:$H$35, MATCH(1, (A33 &gt;= $F$2:$F$35) * (A33 &lt;= $G$2:$G$35), 0))</f>
        <v>08-11-2024 to 14-11-2024</v>
      </c>
      <c r="E33" t="str">
        <f>IF(COUNTIF('Top5'!I:I, D33) &gt; 0, "Yes", "No")</f>
        <v>No</v>
      </c>
      <c r="F33" s="1">
        <v>45792</v>
      </c>
      <c r="G33" s="1">
        <v>45798</v>
      </c>
      <c r="H33" s="5" t="str">
        <f t="shared" si="0"/>
        <v>15-05-2025 to 21-05-2025</v>
      </c>
      <c r="I33" s="8" t="str" cm="1">
        <f t="array" ref="I33">_xlfn.IFS(
  DAY(A33)&lt;=7, "01-" &amp; TEXT(A33,"mm-yyyy") &amp; " to 07-" &amp; TEXT(A33,"mm-yyyy"),
  DAY(A33)&lt;=14, "08-" &amp; TEXT(A33,"mm-yyyy") &amp; " to 14-" &amp; TEXT(A33,"mm-yyyy"),
  DAY(A33)&lt;=21, "15-" &amp; TEXT(A33,"mm-yyyy") &amp; " to 21-" &amp; TEXT(A33,"mm-yyyy"),
  DAY(A33)&lt;=28, "22-" &amp; TEXT(A33,"mm-yyyy") &amp; " to 28-" &amp; TEXT(A33,"mm-yyyy"),
  DAY(A33)&gt;28,  "29-" &amp; TEXT(A33,"mm-yyyy") &amp; " to " &amp; TEXT(EOMONTH(A33,0),"dd-mm-yyyy")
)</f>
        <v>08-11-2024 to 14-11-2024</v>
      </c>
    </row>
    <row r="34" spans="1:9">
      <c r="A34" s="1">
        <v>45607</v>
      </c>
      <c r="B34" s="6">
        <v>0.42152777777777778</v>
      </c>
      <c r="C34" s="10" t="s">
        <v>22</v>
      </c>
      <c r="D34" t="str" cm="1">
        <f t="array" ref="D34">INDEX($H$2:$H$35, MATCH(1, (A34 &gt;= $F$2:$F$35) * (A34 &lt;= $G$2:$G$35), 0))</f>
        <v>08-11-2024 to 14-11-2024</v>
      </c>
      <c r="E34" t="str">
        <f>IF(COUNTIF('Top5'!I:I, D34) &gt; 0, "Yes", "No")</f>
        <v>No</v>
      </c>
    </row>
    <row r="35" spans="1:9">
      <c r="A35" s="1">
        <v>45607</v>
      </c>
      <c r="B35" s="6">
        <v>0.42152777777777778</v>
      </c>
      <c r="C35" s="10" t="s">
        <v>22</v>
      </c>
      <c r="D35" t="str" cm="1">
        <f t="array" ref="D35">INDEX($H$2:$H$35, MATCH(1, (A35 &gt;= $F$2:$F$35) * (A35 &lt;= $G$2:$G$35), 0))</f>
        <v>08-11-2024 to 14-11-2024</v>
      </c>
      <c r="E35" t="str">
        <f>IF(COUNTIF('Top5'!I:I, D35) &gt; 0, "Yes", "No")</f>
        <v>No</v>
      </c>
    </row>
    <row r="36" spans="1:9">
      <c r="A36" s="1">
        <v>45607</v>
      </c>
      <c r="B36" s="6">
        <v>0.53263888888888888</v>
      </c>
      <c r="C36" s="10" t="s">
        <v>71</v>
      </c>
      <c r="D36" t="str" cm="1">
        <f t="array" ref="D36">INDEX($H$2:$H$35, MATCH(1, (A36 &gt;= $F$2:$F$35) * (A36 &lt;= $G$2:$G$35), 0))</f>
        <v>08-11-2024 to 14-11-2024</v>
      </c>
      <c r="E36" t="str">
        <f>IF(COUNTIF('Top5'!I:I, D36) &gt; 0, "Yes", "No")</f>
        <v>No</v>
      </c>
    </row>
    <row r="37" spans="1:9">
      <c r="A37" s="1">
        <v>45608</v>
      </c>
      <c r="B37" s="6">
        <v>0.42638888888888887</v>
      </c>
      <c r="C37" s="10" t="s">
        <v>22</v>
      </c>
      <c r="D37" t="str" cm="1">
        <f t="array" ref="D37">INDEX($H$2:$H$35, MATCH(1, (A37 &gt;= $F$2:$F$35) * (A37 &lt;= $G$2:$G$35), 0))</f>
        <v>08-11-2024 to 14-11-2024</v>
      </c>
      <c r="E37" t="str">
        <f>IF(COUNTIF('Top5'!I:I, D37) &gt; 0, "Yes", "No")</f>
        <v>No</v>
      </c>
    </row>
    <row r="38" spans="1:9">
      <c r="A38" s="1">
        <v>45608</v>
      </c>
      <c r="B38" s="6">
        <v>0.42638888888888887</v>
      </c>
      <c r="C38" s="10" t="s">
        <v>22</v>
      </c>
      <c r="D38" t="str" cm="1">
        <f t="array" ref="D38">INDEX($H$2:$H$35, MATCH(1, (A38 &gt;= $F$2:$F$35) * (A38 &lt;= $G$2:$G$35), 0))</f>
        <v>08-11-2024 to 14-11-2024</v>
      </c>
      <c r="E38" t="str">
        <f>IF(COUNTIF('Top5'!I:I, D38) &gt; 0, "Yes", "No")</f>
        <v>No</v>
      </c>
    </row>
    <row r="39" spans="1:9">
      <c r="A39" s="1">
        <v>45608</v>
      </c>
      <c r="B39" s="6">
        <v>0.43611111111111112</v>
      </c>
      <c r="C39" s="10" t="s">
        <v>22</v>
      </c>
      <c r="D39" t="str" cm="1">
        <f t="array" ref="D39">INDEX($H$2:$H$35, MATCH(1, (A39 &gt;= $F$2:$F$35) * (A39 &lt;= $G$2:$G$35), 0))</f>
        <v>08-11-2024 to 14-11-2024</v>
      </c>
      <c r="E39" t="str">
        <f>IF(COUNTIF('Top5'!I:I, D39) &gt; 0, "Yes", "No")</f>
        <v>No</v>
      </c>
    </row>
    <row r="40" spans="1:9">
      <c r="A40" s="1">
        <v>45608</v>
      </c>
      <c r="B40" s="6">
        <v>0.4375</v>
      </c>
      <c r="C40" s="10" t="s">
        <v>22</v>
      </c>
      <c r="D40" t="str" cm="1">
        <f t="array" ref="D40">INDEX($H$2:$H$35, MATCH(1, (A40 &gt;= $F$2:$F$35) * (A40 &lt;= $G$2:$G$35), 0))</f>
        <v>08-11-2024 to 14-11-2024</v>
      </c>
      <c r="E40" t="str">
        <f>IF(COUNTIF('Top5'!I:I, D40) &gt; 0, "Yes", "No")</f>
        <v>No</v>
      </c>
    </row>
    <row r="41" spans="1:9">
      <c r="A41" s="1">
        <v>45608</v>
      </c>
      <c r="B41" s="6">
        <v>0.69097222222222221</v>
      </c>
      <c r="C41" s="10" t="s">
        <v>71</v>
      </c>
      <c r="D41" t="str" cm="1">
        <f t="array" ref="D41">INDEX($H$2:$H$35, MATCH(1, (A41 &gt;= $F$2:$F$35) * (A41 &lt;= $G$2:$G$35), 0))</f>
        <v>08-11-2024 to 14-11-2024</v>
      </c>
      <c r="E41" t="str">
        <f>IF(COUNTIF('Top5'!I:I, D41) &gt; 0, "Yes", "No")</f>
        <v>No</v>
      </c>
    </row>
    <row r="42" spans="1:9">
      <c r="A42" s="1">
        <v>45608</v>
      </c>
      <c r="B42" s="6">
        <v>0.70902777777777781</v>
      </c>
      <c r="C42" s="10" t="s">
        <v>70</v>
      </c>
      <c r="D42" t="str" cm="1">
        <f t="array" ref="D42">INDEX($H$2:$H$35, MATCH(1, (A42 &gt;= $F$2:$F$35) * (A42 &lt;= $G$2:$G$35), 0))</f>
        <v>08-11-2024 to 14-11-2024</v>
      </c>
      <c r="E42" t="str">
        <f>IF(COUNTIF('Top5'!I:I, D42) &gt; 0, "Yes", "No")</f>
        <v>No</v>
      </c>
    </row>
    <row r="43" spans="1:9">
      <c r="A43" s="1">
        <v>45608</v>
      </c>
      <c r="B43" s="6">
        <v>0.82291666666666663</v>
      </c>
      <c r="C43" s="10" t="s">
        <v>70</v>
      </c>
      <c r="D43" t="str" cm="1">
        <f t="array" ref="D43">INDEX($H$2:$H$35, MATCH(1, (A43 &gt;= $F$2:$F$35) * (A43 &lt;= $G$2:$G$35), 0))</f>
        <v>08-11-2024 to 14-11-2024</v>
      </c>
      <c r="E43" t="str">
        <f>IF(COUNTIF('Top5'!I:I, D43) &gt; 0, "Yes", "No")</f>
        <v>No</v>
      </c>
    </row>
    <row r="44" spans="1:9">
      <c r="A44" s="1">
        <v>45609</v>
      </c>
      <c r="B44" s="6">
        <v>0.39305555555555555</v>
      </c>
      <c r="C44" s="10" t="s">
        <v>22</v>
      </c>
      <c r="D44" t="str" cm="1">
        <f t="array" ref="D44">INDEX($H$2:$H$35, MATCH(1, (A44 &gt;= $F$2:$F$35) * (A44 &lt;= $G$2:$G$35), 0))</f>
        <v>08-11-2024 to 14-11-2024</v>
      </c>
      <c r="E44" t="str">
        <f>IF(COUNTIF('Top5'!I:I, D44) &gt; 0, "Yes", "No")</f>
        <v>No</v>
      </c>
    </row>
    <row r="45" spans="1:9">
      <c r="A45" s="1">
        <v>45609</v>
      </c>
      <c r="B45" s="6">
        <v>0.40763888888888888</v>
      </c>
      <c r="C45" s="10" t="s">
        <v>22</v>
      </c>
      <c r="D45" t="str" cm="1">
        <f t="array" ref="D45">INDEX($H$2:$H$35, MATCH(1, (A45 &gt;= $F$2:$F$35) * (A45 &lt;= $G$2:$G$35), 0))</f>
        <v>08-11-2024 to 14-11-2024</v>
      </c>
      <c r="E45" t="str">
        <f>IF(COUNTIF('Top5'!I:I, D45) &gt; 0, "Yes", "No")</f>
        <v>No</v>
      </c>
    </row>
    <row r="46" spans="1:9">
      <c r="A46" s="1">
        <v>45609</v>
      </c>
      <c r="B46" s="6">
        <v>0.4548611111111111</v>
      </c>
      <c r="C46" s="10" t="s">
        <v>22</v>
      </c>
      <c r="D46" t="str" cm="1">
        <f t="array" ref="D46">INDEX($H$2:$H$35, MATCH(1, (A46 &gt;= $F$2:$F$35) * (A46 &lt;= $G$2:$G$35), 0))</f>
        <v>08-11-2024 to 14-11-2024</v>
      </c>
      <c r="E46" t="str">
        <f>IF(COUNTIF('Top5'!I:I, D46) &gt; 0, "Yes", "No")</f>
        <v>No</v>
      </c>
    </row>
    <row r="47" spans="1:9">
      <c r="A47" s="1">
        <v>45609</v>
      </c>
      <c r="B47" s="6">
        <v>0.45624999999999999</v>
      </c>
      <c r="C47" s="10" t="s">
        <v>22</v>
      </c>
      <c r="D47" t="str" cm="1">
        <f t="array" ref="D47">INDEX($H$2:$H$35, MATCH(1, (A47 &gt;= $F$2:$F$35) * (A47 &lt;= $G$2:$G$35), 0))</f>
        <v>08-11-2024 to 14-11-2024</v>
      </c>
      <c r="E47" t="str">
        <f>IF(COUNTIF('Top5'!I:I, D47) &gt; 0, "Yes", "No")</f>
        <v>No</v>
      </c>
    </row>
    <row r="48" spans="1:9">
      <c r="A48" s="1">
        <v>45609</v>
      </c>
      <c r="B48" s="6">
        <v>0.72430555555555554</v>
      </c>
      <c r="C48" s="10" t="s">
        <v>70</v>
      </c>
      <c r="D48" t="str" cm="1">
        <f t="array" ref="D48">INDEX($H$2:$H$35, MATCH(1, (A48 &gt;= $F$2:$F$35) * (A48 &lt;= $G$2:$G$35), 0))</f>
        <v>08-11-2024 to 14-11-2024</v>
      </c>
      <c r="E48" t="str">
        <f>IF(COUNTIF('Top5'!I:I, D48) &gt; 0, "Yes", "No")</f>
        <v>No</v>
      </c>
    </row>
    <row r="49" spans="1:5">
      <c r="A49" s="1">
        <v>45610</v>
      </c>
      <c r="B49" s="6">
        <v>0.38819444444444445</v>
      </c>
      <c r="C49" s="10" t="s">
        <v>22</v>
      </c>
      <c r="D49" t="str" cm="1">
        <f t="array" ref="D49">INDEX($H$2:$H$35, MATCH(1, (A49 &gt;= $F$2:$F$35) * (A49 &lt;= $G$2:$G$35), 0))</f>
        <v>08-11-2024 to 14-11-2024</v>
      </c>
      <c r="E49" t="str">
        <f>IF(COUNTIF('Top5'!I:I, D49) &gt; 0, "Yes", "No")</f>
        <v>No</v>
      </c>
    </row>
    <row r="50" spans="1:5">
      <c r="A50" s="1">
        <v>45610</v>
      </c>
      <c r="B50" s="6">
        <v>0.51736111111111116</v>
      </c>
      <c r="C50" s="10" t="s">
        <v>71</v>
      </c>
      <c r="D50" t="str" cm="1">
        <f t="array" ref="D50">INDEX($H$2:$H$35, MATCH(1, (A50 &gt;= $F$2:$F$35) * (A50 &lt;= $G$2:$G$35), 0))</f>
        <v>08-11-2024 to 14-11-2024</v>
      </c>
      <c r="E50" t="str">
        <f>IF(COUNTIF('Top5'!I:I, D50) &gt; 0, "Yes", "No")</f>
        <v>No</v>
      </c>
    </row>
    <row r="51" spans="1:5">
      <c r="A51" s="1">
        <v>45610</v>
      </c>
      <c r="B51" s="6">
        <v>0.53611111111111109</v>
      </c>
      <c r="C51" s="10" t="s">
        <v>71</v>
      </c>
      <c r="D51" t="str" cm="1">
        <f t="array" ref="D51">INDEX($H$2:$H$35, MATCH(1, (A51 &gt;= $F$2:$F$35) * (A51 &lt;= $G$2:$G$35), 0))</f>
        <v>08-11-2024 to 14-11-2024</v>
      </c>
      <c r="E51" t="str">
        <f>IF(COUNTIF('Top5'!I:I, D51) &gt; 0, "Yes", "No")</f>
        <v>No</v>
      </c>
    </row>
    <row r="52" spans="1:5">
      <c r="A52" s="1">
        <v>45610</v>
      </c>
      <c r="B52" s="6">
        <v>0.56319444444444444</v>
      </c>
      <c r="C52" s="10" t="s">
        <v>71</v>
      </c>
      <c r="D52" t="str" cm="1">
        <f t="array" ref="D52">INDEX($H$2:$H$35, MATCH(1, (A52 &gt;= $F$2:$F$35) * (A52 &lt;= $G$2:$G$35), 0))</f>
        <v>08-11-2024 to 14-11-2024</v>
      </c>
      <c r="E52" t="str">
        <f>IF(COUNTIF('Top5'!I:I, D52) &gt; 0, "Yes", "No")</f>
        <v>No</v>
      </c>
    </row>
    <row r="53" spans="1:5">
      <c r="A53" s="1">
        <v>45610</v>
      </c>
      <c r="B53" s="6">
        <v>0.59097222222222223</v>
      </c>
      <c r="C53" s="10" t="s">
        <v>71</v>
      </c>
      <c r="D53" t="str" cm="1">
        <f t="array" ref="D53">INDEX($H$2:$H$35, MATCH(1, (A53 &gt;= $F$2:$F$35) * (A53 &lt;= $G$2:$G$35), 0))</f>
        <v>08-11-2024 to 14-11-2024</v>
      </c>
      <c r="E53" t="str">
        <f>IF(COUNTIF('Top5'!I:I, D53) &gt; 0, "Yes", "No")</f>
        <v>No</v>
      </c>
    </row>
    <row r="54" spans="1:5">
      <c r="A54" s="1">
        <v>45612</v>
      </c>
      <c r="B54" s="6">
        <v>0.50138888888888888</v>
      </c>
      <c r="C54" s="10" t="s">
        <v>71</v>
      </c>
      <c r="D54" t="str" cm="1">
        <f t="array" ref="D54">INDEX($H$2:$H$35, MATCH(1, (A54 &gt;= $F$2:$F$35) * (A54 &lt;= $G$2:$G$35), 0))</f>
        <v>15-11-2024 to 21-11-2024</v>
      </c>
      <c r="E54" t="str">
        <f>IF(COUNTIF('Top5'!I:I, D54) &gt; 0, "Yes", "No")</f>
        <v>No</v>
      </c>
    </row>
    <row r="55" spans="1:5">
      <c r="A55" s="1">
        <v>45612</v>
      </c>
      <c r="B55" s="6">
        <v>0.94652777777777775</v>
      </c>
      <c r="C55" s="10" t="s">
        <v>70</v>
      </c>
      <c r="D55" t="str" cm="1">
        <f t="array" ref="D55">INDEX($H$2:$H$35, MATCH(1, (A55 &gt;= $F$2:$F$35) * (A55 &lt;= $G$2:$G$35), 0))</f>
        <v>15-11-2024 to 21-11-2024</v>
      </c>
      <c r="E55" t="str">
        <f>IF(COUNTIF('Top5'!I:I, D55) &gt; 0, "Yes", "No")</f>
        <v>No</v>
      </c>
    </row>
    <row r="56" spans="1:5">
      <c r="A56" s="1">
        <v>45614</v>
      </c>
      <c r="B56" s="6">
        <v>0.88055555555555554</v>
      </c>
      <c r="C56" s="10" t="s">
        <v>70</v>
      </c>
      <c r="D56" t="str" cm="1">
        <f t="array" ref="D56">INDEX($H$2:$H$35, MATCH(1, (A56 &gt;= $F$2:$F$35) * (A56 &lt;= $G$2:$G$35), 0))</f>
        <v>15-11-2024 to 21-11-2024</v>
      </c>
      <c r="E56" t="str">
        <f>IF(COUNTIF('Top5'!I:I, D56) &gt; 0, "Yes", "No")</f>
        <v>No</v>
      </c>
    </row>
    <row r="57" spans="1:5">
      <c r="A57" s="1">
        <v>45615</v>
      </c>
      <c r="B57" s="6">
        <v>0.3923611111111111</v>
      </c>
      <c r="C57" s="10" t="s">
        <v>22</v>
      </c>
      <c r="D57" t="str" cm="1">
        <f t="array" ref="D57">INDEX($H$2:$H$35, MATCH(1, (A57 &gt;= $F$2:$F$35) * (A57 &lt;= $G$2:$G$35), 0))</f>
        <v>15-11-2024 to 21-11-2024</v>
      </c>
      <c r="E57" t="str">
        <f>IF(COUNTIF('Top5'!I:I, D57) &gt; 0, "Yes", "No")</f>
        <v>No</v>
      </c>
    </row>
    <row r="58" spans="1:5">
      <c r="A58" s="1">
        <v>45615</v>
      </c>
      <c r="B58" s="6">
        <v>0.4152777777777778</v>
      </c>
      <c r="C58" s="10" t="s">
        <v>22</v>
      </c>
      <c r="D58" t="str" cm="1">
        <f t="array" ref="D58">INDEX($H$2:$H$35, MATCH(1, (A58 &gt;= $F$2:$F$35) * (A58 &lt;= $G$2:$G$35), 0))</f>
        <v>15-11-2024 to 21-11-2024</v>
      </c>
      <c r="E58" t="str">
        <f>IF(COUNTIF('Top5'!I:I, D58) &gt; 0, "Yes", "No")</f>
        <v>No</v>
      </c>
    </row>
    <row r="59" spans="1:5">
      <c r="A59" s="1">
        <v>45615</v>
      </c>
      <c r="B59" s="6">
        <v>0.72916666666666663</v>
      </c>
      <c r="C59" s="10" t="s">
        <v>70</v>
      </c>
      <c r="D59" t="str" cm="1">
        <f t="array" ref="D59">INDEX($H$2:$H$35, MATCH(1, (A59 &gt;= $F$2:$F$35) * (A59 &lt;= $G$2:$G$35), 0))</f>
        <v>15-11-2024 to 21-11-2024</v>
      </c>
      <c r="E59" t="str">
        <f>IF(COUNTIF('Top5'!I:I, D59) &gt; 0, "Yes", "No")</f>
        <v>No</v>
      </c>
    </row>
    <row r="60" spans="1:5">
      <c r="A60" s="1">
        <v>45615</v>
      </c>
      <c r="B60" s="6">
        <v>0.75486111111111109</v>
      </c>
      <c r="C60" s="10" t="s">
        <v>70</v>
      </c>
      <c r="D60" t="str" cm="1">
        <f t="array" ref="D60">INDEX($H$2:$H$35, MATCH(1, (A60 &gt;= $F$2:$F$35) * (A60 &lt;= $G$2:$G$35), 0))</f>
        <v>15-11-2024 to 21-11-2024</v>
      </c>
      <c r="E60" t="str">
        <f>IF(COUNTIF('Top5'!I:I, D60) &gt; 0, "Yes", "No")</f>
        <v>No</v>
      </c>
    </row>
    <row r="61" spans="1:5">
      <c r="A61" s="1">
        <v>45615</v>
      </c>
      <c r="B61" s="6">
        <v>0.91597222222222219</v>
      </c>
      <c r="C61" s="10" t="s">
        <v>70</v>
      </c>
      <c r="D61" t="str" cm="1">
        <f t="array" ref="D61">INDEX($H$2:$H$35, MATCH(1, (A61 &gt;= $F$2:$F$35) * (A61 &lt;= $G$2:$G$35), 0))</f>
        <v>15-11-2024 to 21-11-2024</v>
      </c>
      <c r="E61" t="str">
        <f>IF(COUNTIF('Top5'!I:I, D61) &gt; 0, "Yes", "No")</f>
        <v>No</v>
      </c>
    </row>
    <row r="62" spans="1:5">
      <c r="A62" s="1">
        <v>45616</v>
      </c>
      <c r="B62" s="6">
        <v>0.60555555555555551</v>
      </c>
      <c r="C62" s="10" t="s">
        <v>71</v>
      </c>
      <c r="D62" t="str" cm="1">
        <f t="array" ref="D62">INDEX($H$2:$H$35, MATCH(1, (A62 &gt;= $F$2:$F$35) * (A62 &lt;= $G$2:$G$35), 0))</f>
        <v>15-11-2024 to 21-11-2024</v>
      </c>
      <c r="E62" t="str">
        <f>IF(COUNTIF('Top5'!I:I, D62) &gt; 0, "Yes", "No")</f>
        <v>No</v>
      </c>
    </row>
    <row r="63" spans="1:5">
      <c r="A63" s="1">
        <v>45617</v>
      </c>
      <c r="B63" s="6">
        <v>1.3888888888888889E-3</v>
      </c>
      <c r="C63" s="10" t="s">
        <v>70</v>
      </c>
      <c r="D63" t="str" cm="1">
        <f t="array" ref="D63">INDEX($H$2:$H$35, MATCH(1, (A63 &gt;= $F$2:$F$35) * (A63 &lt;= $G$2:$G$35), 0))</f>
        <v>15-11-2024 to 21-11-2024</v>
      </c>
      <c r="E63" t="str">
        <f>IF(COUNTIF('Top5'!I:I, D63) &gt; 0, "Yes", "No")</f>
        <v>No</v>
      </c>
    </row>
    <row r="64" spans="1:5">
      <c r="A64" s="1">
        <v>45617</v>
      </c>
      <c r="B64" s="6">
        <v>0.42291666666666666</v>
      </c>
      <c r="C64" s="10" t="s">
        <v>22</v>
      </c>
      <c r="D64" t="str" cm="1">
        <f t="array" ref="D64">INDEX($H$2:$H$35, MATCH(1, (A64 &gt;= $F$2:$F$35) * (A64 &lt;= $G$2:$G$35), 0))</f>
        <v>15-11-2024 to 21-11-2024</v>
      </c>
      <c r="E64" t="str">
        <f>IF(COUNTIF('Top5'!I:I, D64) &gt; 0, "Yes", "No")</f>
        <v>No</v>
      </c>
    </row>
    <row r="65" spans="1:5">
      <c r="A65" s="1">
        <v>45617</v>
      </c>
      <c r="B65" s="6">
        <v>0.44583333333333336</v>
      </c>
      <c r="C65" s="10" t="s">
        <v>22</v>
      </c>
      <c r="D65" t="str" cm="1">
        <f t="array" ref="D65">INDEX($H$2:$H$35, MATCH(1, (A65 &gt;= $F$2:$F$35) * (A65 &lt;= $G$2:$G$35), 0))</f>
        <v>15-11-2024 to 21-11-2024</v>
      </c>
      <c r="E65" t="str">
        <f>IF(COUNTIF('Top5'!I:I, D65) &gt; 0, "Yes", "No")</f>
        <v>No</v>
      </c>
    </row>
    <row r="66" spans="1:5">
      <c r="A66" s="1">
        <v>45617</v>
      </c>
      <c r="B66" s="6">
        <v>0.4513888888888889</v>
      </c>
      <c r="C66" s="10" t="s">
        <v>22</v>
      </c>
      <c r="D66" t="str" cm="1">
        <f t="array" ref="D66">INDEX($H$2:$H$35, MATCH(1, (A66 &gt;= $F$2:$F$35) * (A66 &lt;= $G$2:$G$35), 0))</f>
        <v>15-11-2024 to 21-11-2024</v>
      </c>
      <c r="E66" t="str">
        <f>IF(COUNTIF('Top5'!I:I, D66) &gt; 0, "Yes", "No")</f>
        <v>No</v>
      </c>
    </row>
    <row r="67" spans="1:5">
      <c r="A67" s="1">
        <v>45617</v>
      </c>
      <c r="B67" s="6">
        <v>0.46527777777777779</v>
      </c>
      <c r="C67" s="10" t="s">
        <v>22</v>
      </c>
      <c r="D67" t="str" cm="1">
        <f t="array" ref="D67">INDEX($H$2:$H$35, MATCH(1, (A67 &gt;= $F$2:$F$35) * (A67 &lt;= $G$2:$G$35), 0))</f>
        <v>15-11-2024 to 21-11-2024</v>
      </c>
      <c r="E67" t="str">
        <f>IF(COUNTIF('Top5'!I:I, D67) &gt; 0, "Yes", "No")</f>
        <v>No</v>
      </c>
    </row>
    <row r="68" spans="1:5">
      <c r="A68" s="1">
        <v>45617</v>
      </c>
      <c r="B68" s="6">
        <v>0.48749999999999999</v>
      </c>
      <c r="C68" s="10" t="s">
        <v>22</v>
      </c>
      <c r="D68" t="str" cm="1">
        <f t="array" ref="D68">INDEX($H$2:$H$35, MATCH(1, (A68 &gt;= $F$2:$F$35) * (A68 &lt;= $G$2:$G$35), 0))</f>
        <v>15-11-2024 to 21-11-2024</v>
      </c>
      <c r="E68" t="str">
        <f>IF(COUNTIF('Top5'!I:I, D68) &gt; 0, "Yes", "No")</f>
        <v>No</v>
      </c>
    </row>
    <row r="69" spans="1:5">
      <c r="A69" s="1">
        <v>45617</v>
      </c>
      <c r="B69" s="6">
        <v>0.78055555555555556</v>
      </c>
      <c r="C69" s="10" t="s">
        <v>70</v>
      </c>
      <c r="D69" t="str" cm="1">
        <f t="array" ref="D69">INDEX($H$2:$H$35, MATCH(1, (A69 &gt;= $F$2:$F$35) * (A69 &lt;= $G$2:$G$35), 0))</f>
        <v>15-11-2024 to 21-11-2024</v>
      </c>
      <c r="E69" t="str">
        <f>IF(COUNTIF('Top5'!I:I, D69) &gt; 0, "Yes", "No")</f>
        <v>No</v>
      </c>
    </row>
    <row r="70" spans="1:5">
      <c r="A70" s="1">
        <v>45617</v>
      </c>
      <c r="B70" s="6">
        <v>0.95763888888888893</v>
      </c>
      <c r="C70" s="10" t="s">
        <v>70</v>
      </c>
      <c r="D70" t="str" cm="1">
        <f t="array" ref="D70">INDEX($H$2:$H$35, MATCH(1, (A70 &gt;= $F$2:$F$35) * (A70 &lt;= $G$2:$G$35), 0))</f>
        <v>15-11-2024 to 21-11-2024</v>
      </c>
      <c r="E70" t="str">
        <f>IF(COUNTIF('Top5'!I:I, D70) &gt; 0, "Yes", "No")</f>
        <v>No</v>
      </c>
    </row>
    <row r="71" spans="1:5">
      <c r="A71" s="1">
        <v>45617</v>
      </c>
      <c r="B71" s="6">
        <v>0.95833333333333337</v>
      </c>
      <c r="C71" s="10" t="s">
        <v>70</v>
      </c>
      <c r="D71" t="str" cm="1">
        <f t="array" ref="D71">INDEX($H$2:$H$35, MATCH(1, (A71 &gt;= $F$2:$F$35) * (A71 &lt;= $G$2:$G$35), 0))</f>
        <v>15-11-2024 to 21-11-2024</v>
      </c>
      <c r="E71" t="str">
        <f>IF(COUNTIF('Top5'!I:I, D71) &gt; 0, "Yes", "No")</f>
        <v>No</v>
      </c>
    </row>
    <row r="72" spans="1:5">
      <c r="A72" s="1">
        <v>45618</v>
      </c>
      <c r="B72" s="6">
        <v>0.36180555555555555</v>
      </c>
      <c r="C72" s="10" t="s">
        <v>22</v>
      </c>
      <c r="D72" t="str" cm="1">
        <f t="array" ref="D72">INDEX($H$2:$H$35, MATCH(1, (A72 &gt;= $F$2:$F$35) * (A72 &lt;= $G$2:$G$35), 0))</f>
        <v>22-11-2024 to 28-11-2024</v>
      </c>
      <c r="E72" t="str">
        <f>IF(COUNTIF('Top5'!I:I, D72) &gt; 0, "Yes", "No")</f>
        <v>No</v>
      </c>
    </row>
    <row r="73" spans="1:5">
      <c r="A73" s="1">
        <v>45618</v>
      </c>
      <c r="B73" s="6">
        <v>0.36249999999999999</v>
      </c>
      <c r="C73" s="10" t="s">
        <v>22</v>
      </c>
      <c r="D73" t="str" cm="1">
        <f t="array" ref="D73">INDEX($H$2:$H$35, MATCH(1, (A73 &gt;= $F$2:$F$35) * (A73 &lt;= $G$2:$G$35), 0))</f>
        <v>22-11-2024 to 28-11-2024</v>
      </c>
      <c r="E73" t="str">
        <f>IF(COUNTIF('Top5'!I:I, D73) &gt; 0, "Yes", "No")</f>
        <v>No</v>
      </c>
    </row>
    <row r="74" spans="1:5">
      <c r="A74" s="1">
        <v>45618</v>
      </c>
      <c r="B74" s="6">
        <v>0.46805555555555556</v>
      </c>
      <c r="C74" s="10" t="s">
        <v>22</v>
      </c>
      <c r="D74" t="str" cm="1">
        <f t="array" ref="D74">INDEX($H$2:$H$35, MATCH(1, (A74 &gt;= $F$2:$F$35) * (A74 &lt;= $G$2:$G$35), 0))</f>
        <v>22-11-2024 to 28-11-2024</v>
      </c>
      <c r="E74" t="str">
        <f>IF(COUNTIF('Top5'!I:I, D74) &gt; 0, "Yes", "No")</f>
        <v>No</v>
      </c>
    </row>
    <row r="75" spans="1:5">
      <c r="A75" s="1">
        <v>45619</v>
      </c>
      <c r="B75" s="6">
        <v>0.72569444444444442</v>
      </c>
      <c r="C75" s="10" t="s">
        <v>70</v>
      </c>
      <c r="D75" t="str" cm="1">
        <f t="array" ref="D75">INDEX($H$2:$H$35, MATCH(1, (A75 &gt;= $F$2:$F$35) * (A75 &lt;= $G$2:$G$35), 0))</f>
        <v>22-11-2024 to 28-11-2024</v>
      </c>
      <c r="E75" t="str">
        <f>IF(COUNTIF('Top5'!I:I, D75) &gt; 0, "Yes", "No")</f>
        <v>No</v>
      </c>
    </row>
    <row r="76" spans="1:5">
      <c r="A76" s="1">
        <v>45619</v>
      </c>
      <c r="B76" s="6">
        <v>0.75069444444444444</v>
      </c>
      <c r="C76" s="10" t="s">
        <v>70</v>
      </c>
      <c r="D76" t="str" cm="1">
        <f t="array" ref="D76">INDEX($H$2:$H$35, MATCH(1, (A76 &gt;= $F$2:$F$35) * (A76 &lt;= $G$2:$G$35), 0))</f>
        <v>22-11-2024 to 28-11-2024</v>
      </c>
      <c r="E76" t="str">
        <f>IF(COUNTIF('Top5'!I:I, D76) &gt; 0, "Yes", "No")</f>
        <v>No</v>
      </c>
    </row>
    <row r="77" spans="1:5">
      <c r="A77" s="1">
        <v>45619</v>
      </c>
      <c r="B77" s="6">
        <v>0.79861111111111116</v>
      </c>
      <c r="C77" s="10" t="s">
        <v>70</v>
      </c>
      <c r="D77" t="str" cm="1">
        <f t="array" ref="D77">INDEX($H$2:$H$35, MATCH(1, (A77 &gt;= $F$2:$F$35) * (A77 &lt;= $G$2:$G$35), 0))</f>
        <v>22-11-2024 to 28-11-2024</v>
      </c>
      <c r="E77" t="str">
        <f>IF(COUNTIF('Top5'!I:I, D77) &gt; 0, "Yes", "No")</f>
        <v>No</v>
      </c>
    </row>
    <row r="78" spans="1:5">
      <c r="A78" s="1">
        <v>45620</v>
      </c>
      <c r="B78" s="6">
        <v>1.3888888888888889E-3</v>
      </c>
      <c r="C78" s="10" t="s">
        <v>70</v>
      </c>
      <c r="D78" t="str" cm="1">
        <f t="array" ref="D78">INDEX($H$2:$H$35, MATCH(1, (A78 &gt;= $F$2:$F$35) * (A78 &lt;= $G$2:$G$35), 0))</f>
        <v>22-11-2024 to 28-11-2024</v>
      </c>
      <c r="E78" t="str">
        <f>IF(COUNTIF('Top5'!I:I, D78) &gt; 0, "Yes", "No")</f>
        <v>No</v>
      </c>
    </row>
    <row r="79" spans="1:5">
      <c r="A79" s="1">
        <v>45620</v>
      </c>
      <c r="B79" s="6">
        <v>2.0833333333333333E-3</v>
      </c>
      <c r="C79" s="10" t="s">
        <v>70</v>
      </c>
      <c r="D79" t="str" cm="1">
        <f t="array" ref="D79">INDEX($H$2:$H$35, MATCH(1, (A79 &gt;= $F$2:$F$35) * (A79 &lt;= $G$2:$G$35), 0))</f>
        <v>22-11-2024 to 28-11-2024</v>
      </c>
      <c r="E79" t="str">
        <f>IF(COUNTIF('Top5'!I:I, D79) &gt; 0, "Yes", "No")</f>
        <v>No</v>
      </c>
    </row>
    <row r="80" spans="1:5">
      <c r="A80" s="1">
        <v>45620</v>
      </c>
      <c r="B80" s="6">
        <v>2.0833333333333333E-3</v>
      </c>
      <c r="C80" s="10" t="s">
        <v>70</v>
      </c>
      <c r="D80" t="str" cm="1">
        <f t="array" ref="D80">INDEX($H$2:$H$35, MATCH(1, (A80 &gt;= $F$2:$F$35) * (A80 &lt;= $G$2:$G$35), 0))</f>
        <v>22-11-2024 to 28-11-2024</v>
      </c>
      <c r="E80" t="str">
        <f>IF(COUNTIF('Top5'!I:I, D80) &gt; 0, "Yes", "No")</f>
        <v>No</v>
      </c>
    </row>
    <row r="81" spans="1:5">
      <c r="A81" s="1">
        <v>45620</v>
      </c>
      <c r="B81" s="6">
        <v>0.70694444444444449</v>
      </c>
      <c r="C81" s="10" t="s">
        <v>71</v>
      </c>
      <c r="D81" t="str" cm="1">
        <f t="array" ref="D81">INDEX($H$2:$H$35, MATCH(1, (A81 &gt;= $F$2:$F$35) * (A81 &lt;= $G$2:$G$35), 0))</f>
        <v>22-11-2024 to 28-11-2024</v>
      </c>
      <c r="E81" t="str">
        <f>IF(COUNTIF('Top5'!I:I, D81) &gt; 0, "Yes", "No")</f>
        <v>No</v>
      </c>
    </row>
    <row r="82" spans="1:5">
      <c r="A82" s="1">
        <v>45621</v>
      </c>
      <c r="B82" s="6">
        <v>0.82638888888888884</v>
      </c>
      <c r="C82" s="10" t="s">
        <v>70</v>
      </c>
      <c r="D82" t="str" cm="1">
        <f t="array" ref="D82">INDEX($H$2:$H$35, MATCH(1, (A82 &gt;= $F$2:$F$35) * (A82 &lt;= $G$2:$G$35), 0))</f>
        <v>22-11-2024 to 28-11-2024</v>
      </c>
      <c r="E82" t="str">
        <f>IF(COUNTIF('Top5'!I:I, D82) &gt; 0, "Yes", "No")</f>
        <v>No</v>
      </c>
    </row>
    <row r="83" spans="1:5">
      <c r="A83" s="1">
        <v>45622</v>
      </c>
      <c r="B83" s="6">
        <v>0.52500000000000002</v>
      </c>
      <c r="C83" s="10" t="s">
        <v>71</v>
      </c>
      <c r="D83" t="str" cm="1">
        <f t="array" ref="D83">INDEX($H$2:$H$35, MATCH(1, (A83 &gt;= $F$2:$F$35) * (A83 &lt;= $G$2:$G$35), 0))</f>
        <v>22-11-2024 to 28-11-2024</v>
      </c>
      <c r="E83" t="str">
        <f>IF(COUNTIF('Top5'!I:I, D83) &gt; 0, "Yes", "No")</f>
        <v>No</v>
      </c>
    </row>
    <row r="84" spans="1:5">
      <c r="A84" s="1">
        <v>45622</v>
      </c>
      <c r="B84" s="6">
        <v>0.56736111111111109</v>
      </c>
      <c r="C84" s="10" t="s">
        <v>71</v>
      </c>
      <c r="D84" t="str" cm="1">
        <f t="array" ref="D84">INDEX($H$2:$H$35, MATCH(1, (A84 &gt;= $F$2:$F$35) * (A84 &lt;= $G$2:$G$35), 0))</f>
        <v>22-11-2024 to 28-11-2024</v>
      </c>
      <c r="E84" t="str">
        <f>IF(COUNTIF('Top5'!I:I, D84) &gt; 0, "Yes", "No")</f>
        <v>No</v>
      </c>
    </row>
    <row r="85" spans="1:5">
      <c r="A85" s="1">
        <v>45622</v>
      </c>
      <c r="B85" s="6">
        <v>0.61041666666666672</v>
      </c>
      <c r="C85" s="10" t="s">
        <v>71</v>
      </c>
      <c r="D85" t="str" cm="1">
        <f t="array" ref="D85">INDEX($H$2:$H$35, MATCH(1, (A85 &gt;= $F$2:$F$35) * (A85 &lt;= $G$2:$G$35), 0))</f>
        <v>22-11-2024 to 28-11-2024</v>
      </c>
      <c r="E85" t="str">
        <f>IF(COUNTIF('Top5'!I:I, D85) &gt; 0, "Yes", "No")</f>
        <v>No</v>
      </c>
    </row>
    <row r="86" spans="1:5">
      <c r="A86" s="1">
        <v>45622</v>
      </c>
      <c r="B86" s="6">
        <v>0.79305555555555551</v>
      </c>
      <c r="C86" s="10" t="s">
        <v>70</v>
      </c>
      <c r="D86" t="str" cm="1">
        <f t="array" ref="D86">INDEX($H$2:$H$35, MATCH(1, (A86 &gt;= $F$2:$F$35) * (A86 &lt;= $G$2:$G$35), 0))</f>
        <v>22-11-2024 to 28-11-2024</v>
      </c>
      <c r="E86" t="str">
        <f>IF(COUNTIF('Top5'!I:I, D86) &gt; 0, "Yes", "No")</f>
        <v>No</v>
      </c>
    </row>
    <row r="87" spans="1:5">
      <c r="A87" s="1">
        <v>45622</v>
      </c>
      <c r="B87" s="6">
        <v>0.7993055555555556</v>
      </c>
      <c r="C87" s="10" t="s">
        <v>70</v>
      </c>
      <c r="D87" t="str" cm="1">
        <f t="array" ref="D87">INDEX($H$2:$H$35, MATCH(1, (A87 &gt;= $F$2:$F$35) * (A87 &lt;= $G$2:$G$35), 0))</f>
        <v>22-11-2024 to 28-11-2024</v>
      </c>
      <c r="E87" t="str">
        <f>IF(COUNTIF('Top5'!I:I, D87) &gt; 0, "Yes", "No")</f>
        <v>No</v>
      </c>
    </row>
    <row r="88" spans="1:5">
      <c r="A88" s="1">
        <v>45625</v>
      </c>
      <c r="B88" s="6">
        <v>0.55555555555555558</v>
      </c>
      <c r="C88" s="10" t="s">
        <v>71</v>
      </c>
      <c r="D88" t="str" cm="1">
        <f t="array" ref="D88">INDEX($H$2:$H$35, MATCH(1, (A88 &gt;= $F$2:$F$35) * (A88 &lt;= $G$2:$G$35), 0))</f>
        <v>29-11-2024 to 30-11-2024</v>
      </c>
      <c r="E88" t="str">
        <f>IF(COUNTIF('Top5'!I:I, D88) &gt; 0, "Yes", "No")</f>
        <v>No</v>
      </c>
    </row>
    <row r="89" spans="1:5">
      <c r="A89" s="1">
        <v>45625</v>
      </c>
      <c r="B89" s="6">
        <v>0.62430555555555556</v>
      </c>
      <c r="C89" s="10" t="s">
        <v>71</v>
      </c>
      <c r="D89" t="str" cm="1">
        <f t="array" ref="D89">INDEX($H$2:$H$35, MATCH(1, (A89 &gt;= $F$2:$F$35) * (A89 &lt;= $G$2:$G$35), 0))</f>
        <v>29-11-2024 to 30-11-2024</v>
      </c>
      <c r="E89" t="str">
        <f>IF(COUNTIF('Top5'!I:I, D89) &gt; 0, "Yes", "No")</f>
        <v>No</v>
      </c>
    </row>
    <row r="90" spans="1:5">
      <c r="A90" s="1">
        <v>45625</v>
      </c>
      <c r="B90" s="6">
        <v>0.6875</v>
      </c>
      <c r="C90" s="10" t="s">
        <v>71</v>
      </c>
      <c r="D90" t="str" cm="1">
        <f t="array" ref="D90">INDEX($H$2:$H$35, MATCH(1, (A90 &gt;= $F$2:$F$35) * (A90 &lt;= $G$2:$G$35), 0))</f>
        <v>29-11-2024 to 30-11-2024</v>
      </c>
      <c r="E90" t="str">
        <f>IF(COUNTIF('Top5'!I:I, D90) &gt; 0, "Yes", "No")</f>
        <v>No</v>
      </c>
    </row>
    <row r="91" spans="1:5">
      <c r="A91" s="1">
        <v>45625</v>
      </c>
      <c r="B91" s="6">
        <v>0.99583333333333335</v>
      </c>
      <c r="C91" s="10" t="s">
        <v>70</v>
      </c>
      <c r="D91" t="str" cm="1">
        <f t="array" ref="D91">INDEX($H$2:$H$35, MATCH(1, (A91 &gt;= $F$2:$F$35) * (A91 &lt;= $G$2:$G$35), 0))</f>
        <v>29-11-2024 to 30-11-2024</v>
      </c>
      <c r="E91" t="str">
        <f>IF(COUNTIF('Top5'!I:I, D91) &gt; 0, "Yes", "No")</f>
        <v>No</v>
      </c>
    </row>
    <row r="92" spans="1:5">
      <c r="A92" s="1">
        <v>45626</v>
      </c>
      <c r="B92" s="6">
        <v>1.5277777777777777E-2</v>
      </c>
      <c r="C92" s="10" t="s">
        <v>70</v>
      </c>
      <c r="D92" t="str" cm="1">
        <f t="array" ref="D92">INDEX($H$2:$H$35, MATCH(1, (A92 &gt;= $F$2:$F$35) * (A92 &lt;= $G$2:$G$35), 0))</f>
        <v>29-11-2024 to 30-11-2024</v>
      </c>
      <c r="E92" t="str">
        <f>IF(COUNTIF('Top5'!I:I, D92) &gt; 0, "Yes", "No")</f>
        <v>No</v>
      </c>
    </row>
    <row r="93" spans="1:5">
      <c r="A93" s="1">
        <v>45626</v>
      </c>
      <c r="B93" s="6">
        <v>1.5972222222222221E-2</v>
      </c>
      <c r="C93" s="10" t="s">
        <v>70</v>
      </c>
      <c r="D93" t="str" cm="1">
        <f t="array" ref="D93">INDEX($H$2:$H$35, MATCH(1, (A93 &gt;= $F$2:$F$35) * (A93 &lt;= $G$2:$G$35), 0))</f>
        <v>29-11-2024 to 30-11-2024</v>
      </c>
      <c r="E93" t="str">
        <f>IF(COUNTIF('Top5'!I:I, D93) &gt; 0, "Yes", "No")</f>
        <v>No</v>
      </c>
    </row>
    <row r="94" spans="1:5">
      <c r="A94" s="1">
        <v>45626</v>
      </c>
      <c r="B94" s="6">
        <v>1.6666666666666666E-2</v>
      </c>
      <c r="C94" s="10" t="s">
        <v>70</v>
      </c>
      <c r="D94" t="str" cm="1">
        <f t="array" ref="D94">INDEX($H$2:$H$35, MATCH(1, (A94 &gt;= $F$2:$F$35) * (A94 &lt;= $G$2:$G$35), 0))</f>
        <v>29-11-2024 to 30-11-2024</v>
      </c>
      <c r="E94" t="str">
        <f>IF(COUNTIF('Top5'!I:I, D94) &gt; 0, "Yes", "No")</f>
        <v>No</v>
      </c>
    </row>
    <row r="95" spans="1:5">
      <c r="A95" s="1">
        <v>45626</v>
      </c>
      <c r="B95" s="6">
        <v>0.50416666666666665</v>
      </c>
      <c r="C95" s="10" t="s">
        <v>71</v>
      </c>
      <c r="D95" t="str" cm="1">
        <f t="array" ref="D95">INDEX($H$2:$H$35, MATCH(1, (A95 &gt;= $F$2:$F$35) * (A95 &lt;= $G$2:$G$35), 0))</f>
        <v>29-11-2024 to 30-11-2024</v>
      </c>
      <c r="E95" t="str">
        <f>IF(COUNTIF('Top5'!I:I, D95) &gt; 0, "Yes", "No")</f>
        <v>No</v>
      </c>
    </row>
    <row r="96" spans="1:5">
      <c r="A96" s="1">
        <v>45626</v>
      </c>
      <c r="B96" s="6">
        <v>0.53333333333333333</v>
      </c>
      <c r="C96" s="10" t="s">
        <v>71</v>
      </c>
      <c r="D96" t="str" cm="1">
        <f t="array" ref="D96">INDEX($H$2:$H$35, MATCH(1, (A96 &gt;= $F$2:$F$35) * (A96 &lt;= $G$2:$G$35), 0))</f>
        <v>29-11-2024 to 30-11-2024</v>
      </c>
      <c r="E96" t="str">
        <f>IF(COUNTIF('Top5'!I:I, D96) &gt; 0, "Yes", "No")</f>
        <v>No</v>
      </c>
    </row>
    <row r="97" spans="1:5">
      <c r="A97" s="1">
        <v>45626</v>
      </c>
      <c r="B97" s="6">
        <v>0.54027777777777775</v>
      </c>
      <c r="C97" s="10" t="s">
        <v>71</v>
      </c>
      <c r="D97" t="str" cm="1">
        <f t="array" ref="D97">INDEX($H$2:$H$35, MATCH(1, (A97 &gt;= $F$2:$F$35) * (A97 &lt;= $G$2:$G$35), 0))</f>
        <v>29-11-2024 to 30-11-2024</v>
      </c>
      <c r="E97" t="str">
        <f>IF(COUNTIF('Top5'!I:I, D97) &gt; 0, "Yes", "No")</f>
        <v>No</v>
      </c>
    </row>
    <row r="98" spans="1:5">
      <c r="A98" s="1">
        <v>45626</v>
      </c>
      <c r="B98" s="6">
        <v>0.73819444444444449</v>
      </c>
      <c r="C98" s="10" t="s">
        <v>70</v>
      </c>
      <c r="D98" t="str" cm="1">
        <f t="array" ref="D98">INDEX($H$2:$H$35, MATCH(1, (A98 &gt;= $F$2:$F$35) * (A98 &lt;= $G$2:$G$35), 0))</f>
        <v>29-11-2024 to 30-11-2024</v>
      </c>
      <c r="E98" t="str">
        <f>IF(COUNTIF('Top5'!I:I, D98) &gt; 0, "Yes", "No")</f>
        <v>No</v>
      </c>
    </row>
    <row r="99" spans="1:5">
      <c r="A99" s="1">
        <v>45626</v>
      </c>
      <c r="B99" s="6">
        <v>0.81944444444444442</v>
      </c>
      <c r="C99" s="10" t="s">
        <v>70</v>
      </c>
      <c r="D99" t="str" cm="1">
        <f t="array" ref="D99">INDEX($H$2:$H$35, MATCH(1, (A99 &gt;= $F$2:$F$35) * (A99 &lt;= $G$2:$G$35), 0))</f>
        <v>29-11-2024 to 30-11-2024</v>
      </c>
      <c r="E99" t="str">
        <f>IF(COUNTIF('Top5'!I:I, D99) &gt; 0, "Yes", "No")</f>
        <v>No</v>
      </c>
    </row>
    <row r="100" spans="1:5">
      <c r="A100" s="1">
        <v>45627</v>
      </c>
      <c r="B100" s="6">
        <v>0.33611111111111114</v>
      </c>
      <c r="C100" s="10" t="s">
        <v>22</v>
      </c>
      <c r="D100" t="str" cm="1">
        <f t="array" ref="D100">INDEX($H$2:$H$35, MATCH(1, (A100 &gt;= $F$2:$F$35) * (A100 &lt;= $G$2:$G$35), 0))</f>
        <v>01-12-2024 to 07-12-2024</v>
      </c>
      <c r="E100" t="str">
        <f>IF(COUNTIF('Top5'!I:I, D100) &gt; 0, "Yes", "No")</f>
        <v>No</v>
      </c>
    </row>
    <row r="101" spans="1:5">
      <c r="A101" s="1">
        <v>45627</v>
      </c>
      <c r="B101" s="6">
        <v>0.55972222222222223</v>
      </c>
      <c r="C101" s="10" t="s">
        <v>71</v>
      </c>
      <c r="D101" t="str" cm="1">
        <f t="array" ref="D101">INDEX($H$2:$H$35, MATCH(1, (A101 &gt;= $F$2:$F$35) * (A101 &lt;= $G$2:$G$35), 0))</f>
        <v>01-12-2024 to 07-12-2024</v>
      </c>
      <c r="E101" t="str">
        <f>IF(COUNTIF('Top5'!I:I, D101) &gt; 0, "Yes", "No")</f>
        <v>No</v>
      </c>
    </row>
    <row r="102" spans="1:5">
      <c r="A102" s="1">
        <v>45628</v>
      </c>
      <c r="B102" s="6">
        <v>0.54305555555555551</v>
      </c>
      <c r="C102" s="10" t="s">
        <v>71</v>
      </c>
      <c r="D102" t="str" cm="1">
        <f t="array" ref="D102">INDEX($H$2:$H$35, MATCH(1, (A102 &gt;= $F$2:$F$35) * (A102 &lt;= $G$2:$G$35), 0))</f>
        <v>01-12-2024 to 07-12-2024</v>
      </c>
      <c r="E102" t="str">
        <f>IF(COUNTIF('Top5'!I:I, D102) &gt; 0, "Yes", "No")</f>
        <v>No</v>
      </c>
    </row>
    <row r="103" spans="1:5">
      <c r="A103" s="1">
        <v>45628</v>
      </c>
      <c r="B103" s="6">
        <v>0.55000000000000004</v>
      </c>
      <c r="C103" s="10" t="s">
        <v>71</v>
      </c>
      <c r="D103" t="str" cm="1">
        <f t="array" ref="D103">INDEX($H$2:$H$35, MATCH(1, (A103 &gt;= $F$2:$F$35) * (A103 &lt;= $G$2:$G$35), 0))</f>
        <v>01-12-2024 to 07-12-2024</v>
      </c>
      <c r="E103" t="str">
        <f>IF(COUNTIF('Top5'!I:I, D103) &gt; 0, "Yes", "No")</f>
        <v>No</v>
      </c>
    </row>
    <row r="104" spans="1:5">
      <c r="A104" s="1">
        <v>45628</v>
      </c>
      <c r="B104" s="6">
        <v>0.55000000000000004</v>
      </c>
      <c r="C104" s="10" t="s">
        <v>71</v>
      </c>
      <c r="D104" t="str" cm="1">
        <f t="array" ref="D104">INDEX($H$2:$H$35, MATCH(1, (A104 &gt;= $F$2:$F$35) * (A104 &lt;= $G$2:$G$35), 0))</f>
        <v>01-12-2024 to 07-12-2024</v>
      </c>
      <c r="E104" t="str">
        <f>IF(COUNTIF('Top5'!I:I, D104) &gt; 0, "Yes", "No")</f>
        <v>No</v>
      </c>
    </row>
    <row r="105" spans="1:5">
      <c r="A105" s="1">
        <v>45628</v>
      </c>
      <c r="B105" s="6">
        <v>0.55277777777777781</v>
      </c>
      <c r="C105" s="10" t="s">
        <v>71</v>
      </c>
      <c r="D105" t="str" cm="1">
        <f t="array" ref="D105">INDEX($H$2:$H$35, MATCH(1, (A105 &gt;= $F$2:$F$35) * (A105 &lt;= $G$2:$G$35), 0))</f>
        <v>01-12-2024 to 07-12-2024</v>
      </c>
      <c r="E105" t="str">
        <f>IF(COUNTIF('Top5'!I:I, D105) &gt; 0, "Yes", "No")</f>
        <v>No</v>
      </c>
    </row>
    <row r="106" spans="1:5">
      <c r="A106" s="1">
        <v>45629</v>
      </c>
      <c r="B106" s="6">
        <v>0.47986111111111113</v>
      </c>
      <c r="C106" s="10" t="s">
        <v>22</v>
      </c>
      <c r="D106" t="str" cm="1">
        <f t="array" ref="D106">INDEX($H$2:$H$35, MATCH(1, (A106 &gt;= $F$2:$F$35) * (A106 &lt;= $G$2:$G$35), 0))</f>
        <v>01-12-2024 to 07-12-2024</v>
      </c>
      <c r="E106" t="str">
        <f>IF(COUNTIF('Top5'!I:I, D106) &gt; 0, "Yes", "No")</f>
        <v>No</v>
      </c>
    </row>
    <row r="107" spans="1:5">
      <c r="A107" s="1">
        <v>45629</v>
      </c>
      <c r="B107" s="6">
        <v>0.65694444444444444</v>
      </c>
      <c r="C107" s="10" t="s">
        <v>71</v>
      </c>
      <c r="D107" t="str" cm="1">
        <f t="array" ref="D107">INDEX($H$2:$H$35, MATCH(1, (A107 &gt;= $F$2:$F$35) * (A107 &lt;= $G$2:$G$35), 0))</f>
        <v>01-12-2024 to 07-12-2024</v>
      </c>
      <c r="E107" t="str">
        <f>IF(COUNTIF('Top5'!I:I, D107) &gt; 0, "Yes", "No")</f>
        <v>No</v>
      </c>
    </row>
    <row r="108" spans="1:5">
      <c r="A108" s="1">
        <v>45631</v>
      </c>
      <c r="B108" s="6">
        <v>0.66319444444444442</v>
      </c>
      <c r="C108" s="10" t="s">
        <v>71</v>
      </c>
      <c r="D108" t="str" cm="1">
        <f t="array" ref="D108">INDEX($H$2:$H$35, MATCH(1, (A108 &gt;= $F$2:$F$35) * (A108 &lt;= $G$2:$G$35), 0))</f>
        <v>01-12-2024 to 07-12-2024</v>
      </c>
      <c r="E108" t="str">
        <f>IF(COUNTIF('Top5'!I:I, D108) &gt; 0, "Yes", "No")</f>
        <v>No</v>
      </c>
    </row>
    <row r="109" spans="1:5">
      <c r="A109" s="1">
        <v>45632</v>
      </c>
      <c r="B109" s="6">
        <v>0.31666666666666665</v>
      </c>
      <c r="C109" s="10" t="s">
        <v>22</v>
      </c>
      <c r="D109" t="str" cm="1">
        <f t="array" ref="D109">INDEX($H$2:$H$35, MATCH(1, (A109 &gt;= $F$2:$F$35) * (A109 &lt;= $G$2:$G$35), 0))</f>
        <v>01-12-2024 to 07-12-2024</v>
      </c>
      <c r="E109" t="str">
        <f>IF(COUNTIF('Top5'!I:I, D109) &gt; 0, "Yes", "No")</f>
        <v>No</v>
      </c>
    </row>
    <row r="110" spans="1:5">
      <c r="A110" s="1">
        <v>45632</v>
      </c>
      <c r="B110" s="6">
        <v>0.42291666666666666</v>
      </c>
      <c r="C110" s="10" t="s">
        <v>22</v>
      </c>
      <c r="D110" t="str" cm="1">
        <f t="array" ref="D110">INDEX($H$2:$H$35, MATCH(1, (A110 &gt;= $F$2:$F$35) * (A110 &lt;= $G$2:$G$35), 0))</f>
        <v>01-12-2024 to 07-12-2024</v>
      </c>
      <c r="E110" t="str">
        <f>IF(COUNTIF('Top5'!I:I, D110) &gt; 0, "Yes", "No")</f>
        <v>No</v>
      </c>
    </row>
    <row r="111" spans="1:5">
      <c r="A111" s="1">
        <v>45632</v>
      </c>
      <c r="B111" s="6">
        <v>0.42430555555555555</v>
      </c>
      <c r="C111" s="10" t="s">
        <v>22</v>
      </c>
      <c r="D111" t="str" cm="1">
        <f t="array" ref="D111">INDEX($H$2:$H$35, MATCH(1, (A111 &gt;= $F$2:$F$35) * (A111 &lt;= $G$2:$G$35), 0))</f>
        <v>01-12-2024 to 07-12-2024</v>
      </c>
      <c r="E111" t="str">
        <f>IF(COUNTIF('Top5'!I:I, D111) &gt; 0, "Yes", "No")</f>
        <v>No</v>
      </c>
    </row>
    <row r="112" spans="1:5">
      <c r="A112" s="1">
        <v>45632</v>
      </c>
      <c r="B112" s="6">
        <v>0.42430555555555555</v>
      </c>
      <c r="C112" s="10" t="s">
        <v>22</v>
      </c>
      <c r="D112" t="str" cm="1">
        <f t="array" ref="D112">INDEX($H$2:$H$35, MATCH(1, (A112 &gt;= $F$2:$F$35) * (A112 &lt;= $G$2:$G$35), 0))</f>
        <v>01-12-2024 to 07-12-2024</v>
      </c>
      <c r="E112" t="str">
        <f>IF(COUNTIF('Top5'!I:I, D112) &gt; 0, "Yes", "No")</f>
        <v>No</v>
      </c>
    </row>
    <row r="113" spans="1:5">
      <c r="A113" s="1">
        <v>45632</v>
      </c>
      <c r="B113" s="6">
        <v>0.42499999999999999</v>
      </c>
      <c r="C113" s="10" t="s">
        <v>22</v>
      </c>
      <c r="D113" t="str" cm="1">
        <f t="array" ref="D113">INDEX($H$2:$H$35, MATCH(1, (A113 &gt;= $F$2:$F$35) * (A113 &lt;= $G$2:$G$35), 0))</f>
        <v>01-12-2024 to 07-12-2024</v>
      </c>
      <c r="E113" t="str">
        <f>IF(COUNTIF('Top5'!I:I, D113) &gt; 0, "Yes", "No")</f>
        <v>No</v>
      </c>
    </row>
    <row r="114" spans="1:5">
      <c r="A114" s="1">
        <v>45632</v>
      </c>
      <c r="B114" s="6">
        <v>0.42499999999999999</v>
      </c>
      <c r="C114" s="10" t="s">
        <v>22</v>
      </c>
      <c r="D114" t="str" cm="1">
        <f t="array" ref="D114">INDEX($H$2:$H$35, MATCH(1, (A114 &gt;= $F$2:$F$35) * (A114 &lt;= $G$2:$G$35), 0))</f>
        <v>01-12-2024 to 07-12-2024</v>
      </c>
      <c r="E114" t="str">
        <f>IF(COUNTIF('Top5'!I:I, D114) &gt; 0, "Yes", "No")</f>
        <v>No</v>
      </c>
    </row>
    <row r="115" spans="1:5">
      <c r="A115" s="1">
        <v>45632</v>
      </c>
      <c r="B115" s="6">
        <v>0.42777777777777776</v>
      </c>
      <c r="C115" s="10" t="s">
        <v>22</v>
      </c>
      <c r="D115" t="str" cm="1">
        <f t="array" ref="D115">INDEX($H$2:$H$35, MATCH(1, (A115 &gt;= $F$2:$F$35) * (A115 &lt;= $G$2:$G$35), 0))</f>
        <v>01-12-2024 to 07-12-2024</v>
      </c>
      <c r="E115" t="str">
        <f>IF(COUNTIF('Top5'!I:I, D115) &gt; 0, "Yes", "No")</f>
        <v>No</v>
      </c>
    </row>
    <row r="116" spans="1:5">
      <c r="A116" s="1">
        <v>45632</v>
      </c>
      <c r="B116" s="6">
        <v>0.4284722222222222</v>
      </c>
      <c r="C116" s="10" t="s">
        <v>22</v>
      </c>
      <c r="D116" t="str" cm="1">
        <f t="array" ref="D116">INDEX($H$2:$H$35, MATCH(1, (A116 &gt;= $F$2:$F$35) * (A116 &lt;= $G$2:$G$35), 0))</f>
        <v>01-12-2024 to 07-12-2024</v>
      </c>
      <c r="E116" t="str">
        <f>IF(COUNTIF('Top5'!I:I, D116) &gt; 0, "Yes", "No")</f>
        <v>No</v>
      </c>
    </row>
    <row r="117" spans="1:5">
      <c r="A117" s="1">
        <v>45632</v>
      </c>
      <c r="B117" s="6">
        <v>0.44374999999999998</v>
      </c>
      <c r="C117" s="10" t="s">
        <v>22</v>
      </c>
      <c r="D117" t="str" cm="1">
        <f t="array" ref="D117">INDEX($H$2:$H$35, MATCH(1, (A117 &gt;= $F$2:$F$35) * (A117 &lt;= $G$2:$G$35), 0))</f>
        <v>01-12-2024 to 07-12-2024</v>
      </c>
      <c r="E117" t="str">
        <f>IF(COUNTIF('Top5'!I:I, D117) &gt; 0, "Yes", "No")</f>
        <v>No</v>
      </c>
    </row>
    <row r="118" spans="1:5">
      <c r="A118" s="1">
        <v>45632</v>
      </c>
      <c r="B118" s="6">
        <v>0.46944444444444444</v>
      </c>
      <c r="C118" s="10" t="s">
        <v>22</v>
      </c>
      <c r="D118" t="str" cm="1">
        <f t="array" ref="D118">INDEX($H$2:$H$35, MATCH(1, (A118 &gt;= $F$2:$F$35) * (A118 &lt;= $G$2:$G$35), 0))</f>
        <v>01-12-2024 to 07-12-2024</v>
      </c>
      <c r="E118" t="str">
        <f>IF(COUNTIF('Top5'!I:I, D118) &gt; 0, "Yes", "No")</f>
        <v>No</v>
      </c>
    </row>
    <row r="119" spans="1:5">
      <c r="A119" s="1">
        <v>45632</v>
      </c>
      <c r="B119" s="6">
        <v>0.61111111111111116</v>
      </c>
      <c r="C119" s="10" t="s">
        <v>71</v>
      </c>
      <c r="D119" t="str" cm="1">
        <f t="array" ref="D119">INDEX($H$2:$H$35, MATCH(1, (A119 &gt;= $F$2:$F$35) * (A119 &lt;= $G$2:$G$35), 0))</f>
        <v>01-12-2024 to 07-12-2024</v>
      </c>
      <c r="E119" t="str">
        <f>IF(COUNTIF('Top5'!I:I, D119) &gt; 0, "Yes", "No")</f>
        <v>No</v>
      </c>
    </row>
    <row r="120" spans="1:5">
      <c r="A120" s="1">
        <v>45632</v>
      </c>
      <c r="B120" s="6">
        <v>0.87083333333333335</v>
      </c>
      <c r="C120" s="10" t="s">
        <v>70</v>
      </c>
      <c r="D120" t="str" cm="1">
        <f t="array" ref="D120">INDEX($H$2:$H$35, MATCH(1, (A120 &gt;= $F$2:$F$35) * (A120 &lt;= $G$2:$G$35), 0))</f>
        <v>01-12-2024 to 07-12-2024</v>
      </c>
      <c r="E120" t="str">
        <f>IF(COUNTIF('Top5'!I:I, D120) &gt; 0, "Yes", "No")</f>
        <v>No</v>
      </c>
    </row>
    <row r="121" spans="1:5">
      <c r="A121" s="1">
        <v>45633</v>
      </c>
      <c r="B121" s="6">
        <v>0.39930555555555558</v>
      </c>
      <c r="C121" s="10" t="s">
        <v>22</v>
      </c>
      <c r="D121" t="str" cm="1">
        <f t="array" ref="D121">INDEX($H$2:$H$35, MATCH(1, (A121 &gt;= $F$2:$F$35) * (A121 &lt;= $G$2:$G$35), 0))</f>
        <v>01-12-2024 to 07-12-2024</v>
      </c>
      <c r="E121" t="str">
        <f>IF(COUNTIF('Top5'!I:I, D121) &gt; 0, "Yes", "No")</f>
        <v>No</v>
      </c>
    </row>
    <row r="122" spans="1:5">
      <c r="A122" s="1">
        <v>45633</v>
      </c>
      <c r="B122" s="6">
        <v>0.45069444444444445</v>
      </c>
      <c r="C122" s="10" t="s">
        <v>22</v>
      </c>
      <c r="D122" t="str" cm="1">
        <f t="array" ref="D122">INDEX($H$2:$H$35, MATCH(1, (A122 &gt;= $F$2:$F$35) * (A122 &lt;= $G$2:$G$35), 0))</f>
        <v>01-12-2024 to 07-12-2024</v>
      </c>
      <c r="E122" t="str">
        <f>IF(COUNTIF('Top5'!I:I, D122) &gt; 0, "Yes", "No")</f>
        <v>No</v>
      </c>
    </row>
    <row r="123" spans="1:5">
      <c r="A123" s="1">
        <v>45633</v>
      </c>
      <c r="B123" s="6">
        <v>0.64930555555555558</v>
      </c>
      <c r="C123" s="10" t="s">
        <v>71</v>
      </c>
      <c r="D123" t="str" cm="1">
        <f t="array" ref="D123">INDEX($H$2:$H$35, MATCH(1, (A123 &gt;= $F$2:$F$35) * (A123 &lt;= $G$2:$G$35), 0))</f>
        <v>01-12-2024 to 07-12-2024</v>
      </c>
      <c r="E123" t="str">
        <f>IF(COUNTIF('Top5'!I:I, D123) &gt; 0, "Yes", "No")</f>
        <v>No</v>
      </c>
    </row>
    <row r="124" spans="1:5">
      <c r="A124" s="1">
        <v>45633</v>
      </c>
      <c r="B124" s="6">
        <v>0.71736111111111112</v>
      </c>
      <c r="C124" s="10" t="s">
        <v>70</v>
      </c>
      <c r="D124" t="str" cm="1">
        <f t="array" ref="D124">INDEX($H$2:$H$35, MATCH(1, (A124 &gt;= $F$2:$F$35) * (A124 &lt;= $G$2:$G$35), 0))</f>
        <v>01-12-2024 to 07-12-2024</v>
      </c>
      <c r="E124" t="str">
        <f>IF(COUNTIF('Top5'!I:I, D124) &gt; 0, "Yes", "No")</f>
        <v>No</v>
      </c>
    </row>
    <row r="125" spans="1:5">
      <c r="A125" s="1">
        <v>45633</v>
      </c>
      <c r="B125" s="6">
        <v>0.81597222222222221</v>
      </c>
      <c r="C125" s="10" t="s">
        <v>70</v>
      </c>
      <c r="D125" t="str" cm="1">
        <f t="array" ref="D125">INDEX($H$2:$H$35, MATCH(1, (A125 &gt;= $F$2:$F$35) * (A125 &lt;= $G$2:$G$35), 0))</f>
        <v>01-12-2024 to 07-12-2024</v>
      </c>
      <c r="E125" t="str">
        <f>IF(COUNTIF('Top5'!I:I, D125) &gt; 0, "Yes", "No")</f>
        <v>No</v>
      </c>
    </row>
    <row r="126" spans="1:5">
      <c r="A126" s="1">
        <v>45634</v>
      </c>
      <c r="B126" s="6">
        <v>0.5180555555555556</v>
      </c>
      <c r="C126" s="10" t="s">
        <v>71</v>
      </c>
      <c r="D126" t="str" cm="1">
        <f t="array" ref="D126">INDEX($H$2:$H$35, MATCH(1, (A126 &gt;= $F$2:$F$35) * (A126 &lt;= $G$2:$G$35), 0))</f>
        <v>08-12-2024 to 14-12-2024</v>
      </c>
      <c r="E126" t="str">
        <f>IF(COUNTIF('Top5'!I:I, D126) &gt; 0, "Yes", "No")</f>
        <v>No</v>
      </c>
    </row>
    <row r="127" spans="1:5">
      <c r="A127" s="1">
        <v>45634</v>
      </c>
      <c r="B127" s="6">
        <v>0.52152777777777781</v>
      </c>
      <c r="C127" s="10" t="s">
        <v>71</v>
      </c>
      <c r="D127" t="str" cm="1">
        <f t="array" ref="D127">INDEX($H$2:$H$35, MATCH(1, (A127 &gt;= $F$2:$F$35) * (A127 &lt;= $G$2:$G$35), 0))</f>
        <v>08-12-2024 to 14-12-2024</v>
      </c>
      <c r="E127" t="str">
        <f>IF(COUNTIF('Top5'!I:I, D127) &gt; 0, "Yes", "No")</f>
        <v>No</v>
      </c>
    </row>
    <row r="128" spans="1:5">
      <c r="A128" s="1">
        <v>45634</v>
      </c>
      <c r="B128" s="6">
        <v>0.52847222222222223</v>
      </c>
      <c r="C128" s="10" t="s">
        <v>71</v>
      </c>
      <c r="D128" t="str" cm="1">
        <f t="array" ref="D128">INDEX($H$2:$H$35, MATCH(1, (A128 &gt;= $F$2:$F$35) * (A128 &lt;= $G$2:$G$35), 0))</f>
        <v>08-12-2024 to 14-12-2024</v>
      </c>
      <c r="E128" t="str">
        <f>IF(COUNTIF('Top5'!I:I, D128) &gt; 0, "Yes", "No")</f>
        <v>No</v>
      </c>
    </row>
    <row r="129" spans="1:5">
      <c r="A129" s="1">
        <v>45634</v>
      </c>
      <c r="B129" s="6">
        <v>0.5541666666666667</v>
      </c>
      <c r="C129" s="10" t="s">
        <v>71</v>
      </c>
      <c r="D129" t="str" cm="1">
        <f t="array" ref="D129">INDEX($H$2:$H$35, MATCH(1, (A129 &gt;= $F$2:$F$35) * (A129 &lt;= $G$2:$G$35), 0))</f>
        <v>08-12-2024 to 14-12-2024</v>
      </c>
      <c r="E129" t="str">
        <f>IF(COUNTIF('Top5'!I:I, D129) &gt; 0, "Yes", "No")</f>
        <v>No</v>
      </c>
    </row>
    <row r="130" spans="1:5">
      <c r="A130" s="1">
        <v>45634</v>
      </c>
      <c r="B130" s="6">
        <v>0.63055555555555554</v>
      </c>
      <c r="C130" s="10" t="s">
        <v>71</v>
      </c>
      <c r="D130" t="str" cm="1">
        <f t="array" ref="D130">INDEX($H$2:$H$35, MATCH(1, (A130 &gt;= $F$2:$F$35) * (A130 &lt;= $G$2:$G$35), 0))</f>
        <v>08-12-2024 to 14-12-2024</v>
      </c>
      <c r="E130" t="str">
        <f>IF(COUNTIF('Top5'!I:I, D130) &gt; 0, "Yes", "No")</f>
        <v>No</v>
      </c>
    </row>
    <row r="131" spans="1:5">
      <c r="A131" s="1">
        <v>45634</v>
      </c>
      <c r="B131" s="6">
        <v>0.87777777777777777</v>
      </c>
      <c r="C131" s="10" t="s">
        <v>70</v>
      </c>
      <c r="D131" t="str" cm="1">
        <f t="array" ref="D131">INDEX($H$2:$H$35, MATCH(1, (A131 &gt;= $F$2:$F$35) * (A131 &lt;= $G$2:$G$35), 0))</f>
        <v>08-12-2024 to 14-12-2024</v>
      </c>
      <c r="E131" t="str">
        <f>IF(COUNTIF('Top5'!I:I, D131) &gt; 0, "Yes", "No")</f>
        <v>No</v>
      </c>
    </row>
    <row r="132" spans="1:5">
      <c r="A132" s="1">
        <v>45634</v>
      </c>
      <c r="B132" s="6">
        <v>0.87777777777777777</v>
      </c>
      <c r="C132" s="10" t="s">
        <v>70</v>
      </c>
      <c r="D132" t="str" cm="1">
        <f t="array" ref="D132">INDEX($H$2:$H$35, MATCH(1, (A132 &gt;= $F$2:$F$35) * (A132 &lt;= $G$2:$G$35), 0))</f>
        <v>08-12-2024 to 14-12-2024</v>
      </c>
      <c r="E132" t="str">
        <f>IF(COUNTIF('Top5'!I:I, D132) &gt; 0, "Yes", "No")</f>
        <v>No</v>
      </c>
    </row>
    <row r="133" spans="1:5">
      <c r="A133" s="1">
        <v>45635</v>
      </c>
      <c r="B133" s="6">
        <v>0.45347222222222222</v>
      </c>
      <c r="C133" s="10" t="s">
        <v>22</v>
      </c>
      <c r="D133" t="str" cm="1">
        <f t="array" ref="D133">INDEX($H$2:$H$35, MATCH(1, (A133 &gt;= $F$2:$F$35) * (A133 &lt;= $G$2:$G$35), 0))</f>
        <v>08-12-2024 to 14-12-2024</v>
      </c>
      <c r="E133" t="str">
        <f>IF(COUNTIF('Top5'!I:I, D133) &gt; 0, "Yes", "No")</f>
        <v>No</v>
      </c>
    </row>
    <row r="134" spans="1:5">
      <c r="A134" s="1">
        <v>45635</v>
      </c>
      <c r="B134" s="6">
        <v>0.4548611111111111</v>
      </c>
      <c r="C134" s="10" t="s">
        <v>22</v>
      </c>
      <c r="D134" t="str" cm="1">
        <f t="array" ref="D134">INDEX($H$2:$H$35, MATCH(1, (A134 &gt;= $F$2:$F$35) * (A134 &lt;= $G$2:$G$35), 0))</f>
        <v>08-12-2024 to 14-12-2024</v>
      </c>
      <c r="E134" t="str">
        <f>IF(COUNTIF('Top5'!I:I, D134) &gt; 0, "Yes", "No")</f>
        <v>No</v>
      </c>
    </row>
    <row r="135" spans="1:5">
      <c r="A135" s="1">
        <v>45635</v>
      </c>
      <c r="B135" s="6">
        <v>0.46041666666666664</v>
      </c>
      <c r="C135" s="10" t="s">
        <v>22</v>
      </c>
      <c r="D135" t="str" cm="1">
        <f t="array" ref="D135">INDEX($H$2:$H$35, MATCH(1, (A135 &gt;= $F$2:$F$35) * (A135 &lt;= $G$2:$G$35), 0))</f>
        <v>08-12-2024 to 14-12-2024</v>
      </c>
      <c r="E135" t="str">
        <f>IF(COUNTIF('Top5'!I:I, D135) &gt; 0, "Yes", "No")</f>
        <v>No</v>
      </c>
    </row>
    <row r="136" spans="1:5">
      <c r="A136" s="1">
        <v>45635</v>
      </c>
      <c r="B136" s="6">
        <v>0.49236111111111114</v>
      </c>
      <c r="C136" s="10" t="s">
        <v>22</v>
      </c>
      <c r="D136" t="str" cm="1">
        <f t="array" ref="D136">INDEX($H$2:$H$35, MATCH(1, (A136 &gt;= $F$2:$F$35) * (A136 &lt;= $G$2:$G$35), 0))</f>
        <v>08-12-2024 to 14-12-2024</v>
      </c>
      <c r="E136" t="str">
        <f>IF(COUNTIF('Top5'!I:I, D136) &gt; 0, "Yes", "No")</f>
        <v>No</v>
      </c>
    </row>
    <row r="137" spans="1:5">
      <c r="A137" s="1">
        <v>45635</v>
      </c>
      <c r="B137" s="6">
        <v>0.55972222222222223</v>
      </c>
      <c r="C137" s="10" t="s">
        <v>71</v>
      </c>
      <c r="D137" t="str" cm="1">
        <f t="array" ref="D137">INDEX($H$2:$H$35, MATCH(1, (A137 &gt;= $F$2:$F$35) * (A137 &lt;= $G$2:$G$35), 0))</f>
        <v>08-12-2024 to 14-12-2024</v>
      </c>
      <c r="E137" t="str">
        <f>IF(COUNTIF('Top5'!I:I, D137) &gt; 0, "Yes", "No")</f>
        <v>No</v>
      </c>
    </row>
    <row r="138" spans="1:5">
      <c r="A138" s="1">
        <v>45635</v>
      </c>
      <c r="B138" s="6">
        <v>0.56180555555555556</v>
      </c>
      <c r="C138" s="10" t="s">
        <v>71</v>
      </c>
      <c r="D138" t="str" cm="1">
        <f t="array" ref="D138">INDEX($H$2:$H$35, MATCH(1, (A138 &gt;= $F$2:$F$35) * (A138 &lt;= $G$2:$G$35), 0))</f>
        <v>08-12-2024 to 14-12-2024</v>
      </c>
      <c r="E138" t="str">
        <f>IF(COUNTIF('Top5'!I:I, D138) &gt; 0, "Yes", "No")</f>
        <v>No</v>
      </c>
    </row>
    <row r="139" spans="1:5">
      <c r="A139" s="1">
        <v>45635</v>
      </c>
      <c r="B139" s="6">
        <v>0.69444444444444442</v>
      </c>
      <c r="C139" s="10" t="s">
        <v>71</v>
      </c>
      <c r="D139" t="str" cm="1">
        <f t="array" ref="D139">INDEX($H$2:$H$35, MATCH(1, (A139 &gt;= $F$2:$F$35) * (A139 &lt;= $G$2:$G$35), 0))</f>
        <v>08-12-2024 to 14-12-2024</v>
      </c>
      <c r="E139" t="str">
        <f>IF(COUNTIF('Top5'!I:I, D139) &gt; 0, "Yes", "No")</f>
        <v>No</v>
      </c>
    </row>
    <row r="140" spans="1:5">
      <c r="A140" s="1">
        <v>45635</v>
      </c>
      <c r="B140" s="6">
        <v>0.83611111111111114</v>
      </c>
      <c r="C140" s="10" t="s">
        <v>70</v>
      </c>
      <c r="D140" t="str" cm="1">
        <f t="array" ref="D140">INDEX($H$2:$H$35, MATCH(1, (A140 &gt;= $F$2:$F$35) * (A140 &lt;= $G$2:$G$35), 0))</f>
        <v>08-12-2024 to 14-12-2024</v>
      </c>
      <c r="E140" t="str">
        <f>IF(COUNTIF('Top5'!I:I, D140) &gt; 0, "Yes", "No")</f>
        <v>No</v>
      </c>
    </row>
    <row r="141" spans="1:5">
      <c r="A141" s="1">
        <v>45635</v>
      </c>
      <c r="B141" s="6">
        <v>0.84097222222222223</v>
      </c>
      <c r="C141" s="10" t="s">
        <v>70</v>
      </c>
      <c r="D141" t="str" cm="1">
        <f t="array" ref="D141">INDEX($H$2:$H$35, MATCH(1, (A141 &gt;= $F$2:$F$35) * (A141 &lt;= $G$2:$G$35), 0))</f>
        <v>08-12-2024 to 14-12-2024</v>
      </c>
      <c r="E141" t="str">
        <f>IF(COUNTIF('Top5'!I:I, D141) &gt; 0, "Yes", "No")</f>
        <v>No</v>
      </c>
    </row>
    <row r="142" spans="1:5">
      <c r="A142" s="1">
        <v>45637</v>
      </c>
      <c r="B142" s="6">
        <v>1.3888888888888889E-3</v>
      </c>
      <c r="C142" s="10" t="s">
        <v>70</v>
      </c>
      <c r="D142" t="str" cm="1">
        <f t="array" ref="D142">INDEX($H$2:$H$35, MATCH(1, (A142 &gt;= $F$2:$F$35) * (A142 &lt;= $G$2:$G$35), 0))</f>
        <v>08-12-2024 to 14-12-2024</v>
      </c>
      <c r="E142" t="str">
        <f>IF(COUNTIF('Top5'!I:I, D142) &gt; 0, "Yes", "No")</f>
        <v>No</v>
      </c>
    </row>
    <row r="143" spans="1:5">
      <c r="A143" s="1">
        <v>45637</v>
      </c>
      <c r="B143" s="6">
        <v>5.5555555555555558E-3</v>
      </c>
      <c r="C143" s="10" t="s">
        <v>70</v>
      </c>
      <c r="D143" t="str" cm="1">
        <f t="array" ref="D143">INDEX($H$2:$H$35, MATCH(1, (A143 &gt;= $F$2:$F$35) * (A143 &lt;= $G$2:$G$35), 0))</f>
        <v>08-12-2024 to 14-12-2024</v>
      </c>
      <c r="E143" t="str">
        <f>IF(COUNTIF('Top5'!I:I, D143) &gt; 0, "Yes", "No")</f>
        <v>No</v>
      </c>
    </row>
    <row r="144" spans="1:5">
      <c r="A144" s="1">
        <v>45637</v>
      </c>
      <c r="B144" s="6">
        <v>5.5555555555555558E-3</v>
      </c>
      <c r="C144" s="10" t="s">
        <v>70</v>
      </c>
      <c r="D144" t="str" cm="1">
        <f t="array" ref="D144">INDEX($H$2:$H$35, MATCH(1, (A144 &gt;= $F$2:$F$35) * (A144 &lt;= $G$2:$G$35), 0))</f>
        <v>08-12-2024 to 14-12-2024</v>
      </c>
      <c r="E144" t="str">
        <f>IF(COUNTIF('Top5'!I:I, D144) &gt; 0, "Yes", "No")</f>
        <v>No</v>
      </c>
    </row>
    <row r="145" spans="1:5">
      <c r="A145" s="1">
        <v>45637</v>
      </c>
      <c r="B145" s="6">
        <v>6.2500000000000003E-3</v>
      </c>
      <c r="C145" s="10" t="s">
        <v>70</v>
      </c>
      <c r="D145" t="str" cm="1">
        <f t="array" ref="D145">INDEX($H$2:$H$35, MATCH(1, (A145 &gt;= $F$2:$F$35) * (A145 &lt;= $G$2:$G$35), 0))</f>
        <v>08-12-2024 to 14-12-2024</v>
      </c>
      <c r="E145" t="str">
        <f>IF(COUNTIF('Top5'!I:I, D145) &gt; 0, "Yes", "No")</f>
        <v>No</v>
      </c>
    </row>
    <row r="146" spans="1:5">
      <c r="A146" s="1">
        <v>45637</v>
      </c>
      <c r="B146" s="6">
        <v>0.57013888888888886</v>
      </c>
      <c r="C146" s="10" t="s">
        <v>71</v>
      </c>
      <c r="D146" t="str" cm="1">
        <f t="array" ref="D146">INDEX($H$2:$H$35, MATCH(1, (A146 &gt;= $F$2:$F$35) * (A146 &lt;= $G$2:$G$35), 0))</f>
        <v>08-12-2024 to 14-12-2024</v>
      </c>
      <c r="E146" t="str">
        <f>IF(COUNTIF('Top5'!I:I, D146) &gt; 0, "Yes", "No")</f>
        <v>No</v>
      </c>
    </row>
    <row r="147" spans="1:5">
      <c r="A147" s="1">
        <v>45637</v>
      </c>
      <c r="B147" s="6">
        <v>0.64722222222222225</v>
      </c>
      <c r="C147" s="10" t="s">
        <v>71</v>
      </c>
      <c r="D147" t="str" cm="1">
        <f t="array" ref="D147">INDEX($H$2:$H$35, MATCH(1, (A147 &gt;= $F$2:$F$35) * (A147 &lt;= $G$2:$G$35), 0))</f>
        <v>08-12-2024 to 14-12-2024</v>
      </c>
      <c r="E147" t="str">
        <f>IF(COUNTIF('Top5'!I:I, D147) &gt; 0, "Yes", "No")</f>
        <v>No</v>
      </c>
    </row>
    <row r="148" spans="1:5">
      <c r="A148" s="1">
        <v>45637</v>
      </c>
      <c r="B148" s="6">
        <v>0.65625</v>
      </c>
      <c r="C148" s="10" t="s">
        <v>71</v>
      </c>
      <c r="D148" t="str" cm="1">
        <f t="array" ref="D148">INDEX($H$2:$H$35, MATCH(1, (A148 &gt;= $F$2:$F$35) * (A148 &lt;= $G$2:$G$35), 0))</f>
        <v>08-12-2024 to 14-12-2024</v>
      </c>
      <c r="E148" t="str">
        <f>IF(COUNTIF('Top5'!I:I, D148) &gt; 0, "Yes", "No")</f>
        <v>No</v>
      </c>
    </row>
    <row r="149" spans="1:5">
      <c r="A149" s="1">
        <v>45638</v>
      </c>
      <c r="B149" s="6">
        <v>0.33611111111111114</v>
      </c>
      <c r="C149" s="10" t="s">
        <v>22</v>
      </c>
      <c r="D149" t="str" cm="1">
        <f t="array" ref="D149">INDEX($H$2:$H$35, MATCH(1, (A149 &gt;= $F$2:$F$35) * (A149 &lt;= $G$2:$G$35), 0))</f>
        <v>08-12-2024 to 14-12-2024</v>
      </c>
      <c r="E149" t="str">
        <f>IF(COUNTIF('Top5'!I:I, D149) &gt; 0, "Yes", "No")</f>
        <v>No</v>
      </c>
    </row>
    <row r="150" spans="1:5">
      <c r="A150" s="1">
        <v>45638</v>
      </c>
      <c r="B150" s="6">
        <v>0.33611111111111114</v>
      </c>
      <c r="C150" s="10" t="s">
        <v>22</v>
      </c>
      <c r="D150" t="str" cm="1">
        <f t="array" ref="D150">INDEX($H$2:$H$35, MATCH(1, (A150 &gt;= $F$2:$F$35) * (A150 &lt;= $G$2:$G$35), 0))</f>
        <v>08-12-2024 to 14-12-2024</v>
      </c>
      <c r="E150" t="str">
        <f>IF(COUNTIF('Top5'!I:I, D150) &gt; 0, "Yes", "No")</f>
        <v>No</v>
      </c>
    </row>
    <row r="151" spans="1:5">
      <c r="A151" s="1">
        <v>45638</v>
      </c>
      <c r="B151" s="6">
        <v>0.42499999999999999</v>
      </c>
      <c r="C151" s="10" t="s">
        <v>22</v>
      </c>
      <c r="D151" t="str" cm="1">
        <f t="array" ref="D151">INDEX($H$2:$H$35, MATCH(1, (A151 &gt;= $F$2:$F$35) * (A151 &lt;= $G$2:$G$35), 0))</f>
        <v>08-12-2024 to 14-12-2024</v>
      </c>
      <c r="E151" t="str">
        <f>IF(COUNTIF('Top5'!I:I, D151) &gt; 0, "Yes", "No")</f>
        <v>No</v>
      </c>
    </row>
    <row r="152" spans="1:5">
      <c r="A152" s="1">
        <v>45638</v>
      </c>
      <c r="B152" s="6">
        <v>0.47916666666666669</v>
      </c>
      <c r="C152" s="10" t="s">
        <v>22</v>
      </c>
      <c r="D152" t="str" cm="1">
        <f t="array" ref="D152">INDEX($H$2:$H$35, MATCH(1, (A152 &gt;= $F$2:$F$35) * (A152 &lt;= $G$2:$G$35), 0))</f>
        <v>08-12-2024 to 14-12-2024</v>
      </c>
      <c r="E152" t="str">
        <f>IF(COUNTIF('Top5'!I:I, D152) &gt; 0, "Yes", "No")</f>
        <v>No</v>
      </c>
    </row>
    <row r="153" spans="1:5">
      <c r="A153" s="1">
        <v>45638</v>
      </c>
      <c r="B153" s="6">
        <v>0.48333333333333334</v>
      </c>
      <c r="C153" s="10" t="s">
        <v>22</v>
      </c>
      <c r="D153" t="str" cm="1">
        <f t="array" ref="D153">INDEX($H$2:$H$35, MATCH(1, (A153 &gt;= $F$2:$F$35) * (A153 &lt;= $G$2:$G$35), 0))</f>
        <v>08-12-2024 to 14-12-2024</v>
      </c>
      <c r="E153" t="str">
        <f>IF(COUNTIF('Top5'!I:I, D153) &gt; 0, "Yes", "No")</f>
        <v>No</v>
      </c>
    </row>
    <row r="154" spans="1:5">
      <c r="A154" s="1">
        <v>45638</v>
      </c>
      <c r="B154" s="6">
        <v>0.80486111111111114</v>
      </c>
      <c r="C154" s="10" t="s">
        <v>70</v>
      </c>
      <c r="D154" t="str" cm="1">
        <f t="array" ref="D154">INDEX($H$2:$H$35, MATCH(1, (A154 &gt;= $F$2:$F$35) * (A154 &lt;= $G$2:$G$35), 0))</f>
        <v>08-12-2024 to 14-12-2024</v>
      </c>
      <c r="E154" t="str">
        <f>IF(COUNTIF('Top5'!I:I, D154) &gt; 0, "Yes", "No")</f>
        <v>No</v>
      </c>
    </row>
    <row r="155" spans="1:5">
      <c r="A155" s="1">
        <v>45638</v>
      </c>
      <c r="B155" s="6">
        <v>0.82222222222222219</v>
      </c>
      <c r="C155" s="10" t="s">
        <v>70</v>
      </c>
      <c r="D155" t="str" cm="1">
        <f t="array" ref="D155">INDEX($H$2:$H$35, MATCH(1, (A155 &gt;= $F$2:$F$35) * (A155 &lt;= $G$2:$G$35), 0))</f>
        <v>08-12-2024 to 14-12-2024</v>
      </c>
      <c r="E155" t="str">
        <f>IF(COUNTIF('Top5'!I:I, D155) &gt; 0, "Yes", "No")</f>
        <v>No</v>
      </c>
    </row>
    <row r="156" spans="1:5">
      <c r="A156" s="1">
        <v>45638</v>
      </c>
      <c r="B156" s="6">
        <v>0.88611111111111107</v>
      </c>
      <c r="C156" s="10" t="s">
        <v>70</v>
      </c>
      <c r="D156" t="str" cm="1">
        <f t="array" ref="D156">INDEX($H$2:$H$35, MATCH(1, (A156 &gt;= $F$2:$F$35) * (A156 &lt;= $G$2:$G$35), 0))</f>
        <v>08-12-2024 to 14-12-2024</v>
      </c>
      <c r="E156" t="str">
        <f>IF(COUNTIF('Top5'!I:I, D156) &gt; 0, "Yes", "No")</f>
        <v>No</v>
      </c>
    </row>
    <row r="157" spans="1:5">
      <c r="A157" s="1">
        <v>45639</v>
      </c>
      <c r="B157" s="6">
        <v>0.43125000000000002</v>
      </c>
      <c r="C157" s="10" t="s">
        <v>22</v>
      </c>
      <c r="D157" t="str" cm="1">
        <f t="array" ref="D157">INDEX($H$2:$H$35, MATCH(1, (A157 &gt;= $F$2:$F$35) * (A157 &lt;= $G$2:$G$35), 0))</f>
        <v>08-12-2024 to 14-12-2024</v>
      </c>
      <c r="E157" t="str">
        <f>IF(COUNTIF('Top5'!I:I, D157) &gt; 0, "Yes", "No")</f>
        <v>No</v>
      </c>
    </row>
    <row r="158" spans="1:5">
      <c r="A158" s="1">
        <v>45640</v>
      </c>
      <c r="B158" s="6">
        <v>0.40486111111111112</v>
      </c>
      <c r="C158" s="10" t="s">
        <v>22</v>
      </c>
      <c r="D158" t="str" cm="1">
        <f t="array" ref="D158">INDEX($H$2:$H$35, MATCH(1, (A158 &gt;= $F$2:$F$35) * (A158 &lt;= $G$2:$G$35), 0))</f>
        <v>08-12-2024 to 14-12-2024</v>
      </c>
      <c r="E158" t="str">
        <f>IF(COUNTIF('Top5'!I:I, D158) &gt; 0, "Yes", "No")</f>
        <v>No</v>
      </c>
    </row>
    <row r="159" spans="1:5">
      <c r="A159" s="1">
        <v>45640</v>
      </c>
      <c r="B159" s="6">
        <v>0.42569444444444443</v>
      </c>
      <c r="C159" s="10" t="s">
        <v>22</v>
      </c>
      <c r="D159" t="str" cm="1">
        <f t="array" ref="D159">INDEX($H$2:$H$35, MATCH(1, (A159 &gt;= $F$2:$F$35) * (A159 &lt;= $G$2:$G$35), 0))</f>
        <v>08-12-2024 to 14-12-2024</v>
      </c>
      <c r="E159" t="str">
        <f>IF(COUNTIF('Top5'!I:I, D159) &gt; 0, "Yes", "No")</f>
        <v>No</v>
      </c>
    </row>
    <row r="160" spans="1:5">
      <c r="A160" s="1">
        <v>45640</v>
      </c>
      <c r="B160" s="6">
        <v>0.42708333333333331</v>
      </c>
      <c r="C160" s="10" t="s">
        <v>22</v>
      </c>
      <c r="D160" t="str" cm="1">
        <f t="array" ref="D160">INDEX($H$2:$H$35, MATCH(1, (A160 &gt;= $F$2:$F$35) * (A160 &lt;= $G$2:$G$35), 0))</f>
        <v>08-12-2024 to 14-12-2024</v>
      </c>
      <c r="E160" t="str">
        <f>IF(COUNTIF('Top5'!I:I, D160) &gt; 0, "Yes", "No")</f>
        <v>No</v>
      </c>
    </row>
    <row r="161" spans="1:5">
      <c r="A161" s="1">
        <v>45640</v>
      </c>
      <c r="B161" s="6">
        <v>0.45</v>
      </c>
      <c r="C161" s="10" t="s">
        <v>22</v>
      </c>
      <c r="D161" t="str" cm="1">
        <f t="array" ref="D161">INDEX($H$2:$H$35, MATCH(1, (A161 &gt;= $F$2:$F$35) * (A161 &lt;= $G$2:$G$35), 0))</f>
        <v>08-12-2024 to 14-12-2024</v>
      </c>
      <c r="E161" t="str">
        <f>IF(COUNTIF('Top5'!I:I, D161) &gt; 0, "Yes", "No")</f>
        <v>No</v>
      </c>
    </row>
    <row r="162" spans="1:5">
      <c r="A162" s="1">
        <v>45640</v>
      </c>
      <c r="B162" s="6">
        <v>0.71388888888888891</v>
      </c>
      <c r="C162" s="10" t="s">
        <v>70</v>
      </c>
      <c r="D162" t="str" cm="1">
        <f t="array" ref="D162">INDEX($H$2:$H$35, MATCH(1, (A162 &gt;= $F$2:$F$35) * (A162 &lt;= $G$2:$G$35), 0))</f>
        <v>08-12-2024 to 14-12-2024</v>
      </c>
      <c r="E162" t="str">
        <f>IF(COUNTIF('Top5'!I:I, D162) &gt; 0, "Yes", "No")</f>
        <v>No</v>
      </c>
    </row>
    <row r="163" spans="1:5">
      <c r="A163" s="1">
        <v>45641</v>
      </c>
      <c r="B163" s="6">
        <v>0.4548611111111111</v>
      </c>
      <c r="C163" s="10" t="s">
        <v>22</v>
      </c>
      <c r="D163" t="str" cm="1">
        <f t="array" ref="D163">INDEX($H$2:$H$35, MATCH(1, (A163 &gt;= $F$2:$F$35) * (A163 &lt;= $G$2:$G$35), 0))</f>
        <v>15-12-2024 to 21-12-2024</v>
      </c>
      <c r="E163" t="str">
        <f>IF(COUNTIF('Top5'!I:I, D163) &gt; 0, "Yes", "No")</f>
        <v>No</v>
      </c>
    </row>
    <row r="164" spans="1:5">
      <c r="A164" s="1">
        <v>45642</v>
      </c>
      <c r="B164" s="6">
        <v>1.1111111111111112E-2</v>
      </c>
      <c r="C164" s="10" t="s">
        <v>70</v>
      </c>
      <c r="D164" t="str" cm="1">
        <f t="array" ref="D164">INDEX($H$2:$H$35, MATCH(1, (A164 &gt;= $F$2:$F$35) * (A164 &lt;= $G$2:$G$35), 0))</f>
        <v>15-12-2024 to 21-12-2024</v>
      </c>
      <c r="E164" t="str">
        <f>IF(COUNTIF('Top5'!I:I, D164) &gt; 0, "Yes", "No")</f>
        <v>No</v>
      </c>
    </row>
    <row r="165" spans="1:5">
      <c r="A165" s="1">
        <v>45642</v>
      </c>
      <c r="B165" s="6">
        <v>1.1805555555555555E-2</v>
      </c>
      <c r="C165" s="10" t="s">
        <v>70</v>
      </c>
      <c r="D165" t="str" cm="1">
        <f t="array" ref="D165">INDEX($H$2:$H$35, MATCH(1, (A165 &gt;= $F$2:$F$35) * (A165 &lt;= $G$2:$G$35), 0))</f>
        <v>15-12-2024 to 21-12-2024</v>
      </c>
      <c r="E165" t="str">
        <f>IF(COUNTIF('Top5'!I:I, D165) &gt; 0, "Yes", "No")</f>
        <v>No</v>
      </c>
    </row>
    <row r="166" spans="1:5">
      <c r="A166" s="1">
        <v>45642</v>
      </c>
      <c r="B166" s="6">
        <v>1.1805555555555555E-2</v>
      </c>
      <c r="C166" s="10" t="s">
        <v>70</v>
      </c>
      <c r="D166" t="str" cm="1">
        <f t="array" ref="D166">INDEX($H$2:$H$35, MATCH(1, (A166 &gt;= $F$2:$F$35) * (A166 &lt;= $G$2:$G$35), 0))</f>
        <v>15-12-2024 to 21-12-2024</v>
      </c>
      <c r="E166" t="str">
        <f>IF(COUNTIF('Top5'!I:I, D166) &gt; 0, "Yes", "No")</f>
        <v>No</v>
      </c>
    </row>
    <row r="167" spans="1:5">
      <c r="A167" s="1">
        <v>45642</v>
      </c>
      <c r="B167" s="6">
        <v>1.1805555555555555E-2</v>
      </c>
      <c r="C167" s="10" t="s">
        <v>70</v>
      </c>
      <c r="D167" t="str" cm="1">
        <f t="array" ref="D167">INDEX($H$2:$H$35, MATCH(1, (A167 &gt;= $F$2:$F$35) * (A167 &lt;= $G$2:$G$35), 0))</f>
        <v>15-12-2024 to 21-12-2024</v>
      </c>
      <c r="E167" t="str">
        <f>IF(COUNTIF('Top5'!I:I, D167) &gt; 0, "Yes", "No")</f>
        <v>No</v>
      </c>
    </row>
    <row r="168" spans="1:5">
      <c r="A168" s="1">
        <v>45642</v>
      </c>
      <c r="B168" s="6">
        <v>1.1805555555555555E-2</v>
      </c>
      <c r="C168" s="10" t="s">
        <v>70</v>
      </c>
      <c r="D168" t="str" cm="1">
        <f t="array" ref="D168">INDEX($H$2:$H$35, MATCH(1, (A168 &gt;= $F$2:$F$35) * (A168 &lt;= $G$2:$G$35), 0))</f>
        <v>15-12-2024 to 21-12-2024</v>
      </c>
      <c r="E168" t="str">
        <f>IF(COUNTIF('Top5'!I:I, D168) &gt; 0, "Yes", "No")</f>
        <v>No</v>
      </c>
    </row>
    <row r="169" spans="1:5">
      <c r="A169" s="1">
        <v>45642</v>
      </c>
      <c r="B169" s="6">
        <v>1.1805555555555555E-2</v>
      </c>
      <c r="C169" s="10" t="s">
        <v>70</v>
      </c>
      <c r="D169" t="str" cm="1">
        <f t="array" ref="D169">INDEX($H$2:$H$35, MATCH(1, (A169 &gt;= $F$2:$F$35) * (A169 &lt;= $G$2:$G$35), 0))</f>
        <v>15-12-2024 to 21-12-2024</v>
      </c>
      <c r="E169" t="str">
        <f>IF(COUNTIF('Top5'!I:I, D169) &gt; 0, "Yes", "No")</f>
        <v>No</v>
      </c>
    </row>
    <row r="170" spans="1:5">
      <c r="A170" s="1">
        <v>45642</v>
      </c>
      <c r="B170" s="6">
        <v>0.53472222222222221</v>
      </c>
      <c r="C170" s="10" t="s">
        <v>71</v>
      </c>
      <c r="D170" t="str" cm="1">
        <f t="array" ref="D170">INDEX($H$2:$H$35, MATCH(1, (A170 &gt;= $F$2:$F$35) * (A170 &lt;= $G$2:$G$35), 0))</f>
        <v>15-12-2024 to 21-12-2024</v>
      </c>
      <c r="E170" t="str">
        <f>IF(COUNTIF('Top5'!I:I, D170) &gt; 0, "Yes", "No")</f>
        <v>No</v>
      </c>
    </row>
    <row r="171" spans="1:5">
      <c r="A171" s="1">
        <v>45642</v>
      </c>
      <c r="B171" s="6">
        <v>0.66874999999999996</v>
      </c>
      <c r="C171" s="10" t="s">
        <v>71</v>
      </c>
      <c r="D171" t="str" cm="1">
        <f t="array" ref="D171">INDEX($H$2:$H$35, MATCH(1, (A171 &gt;= $F$2:$F$35) * (A171 &lt;= $G$2:$G$35), 0))</f>
        <v>15-12-2024 to 21-12-2024</v>
      </c>
      <c r="E171" t="str">
        <f>IF(COUNTIF('Top5'!I:I, D171) &gt; 0, "Yes", "No")</f>
        <v>No</v>
      </c>
    </row>
    <row r="172" spans="1:5">
      <c r="A172" s="1">
        <v>45642</v>
      </c>
      <c r="B172" s="6">
        <v>0.70138888888888884</v>
      </c>
      <c r="C172" s="10" t="s">
        <v>71</v>
      </c>
      <c r="D172" t="str" cm="1">
        <f t="array" ref="D172">INDEX($H$2:$H$35, MATCH(1, (A172 &gt;= $F$2:$F$35) * (A172 &lt;= $G$2:$G$35), 0))</f>
        <v>15-12-2024 to 21-12-2024</v>
      </c>
      <c r="E172" t="str">
        <f>IF(COUNTIF('Top5'!I:I, D172) &gt; 0, "Yes", "No")</f>
        <v>No</v>
      </c>
    </row>
    <row r="173" spans="1:5">
      <c r="A173" s="1">
        <v>45642</v>
      </c>
      <c r="B173" s="6">
        <v>0.71388888888888891</v>
      </c>
      <c r="C173" s="10" t="s">
        <v>70</v>
      </c>
      <c r="D173" t="str" cm="1">
        <f t="array" ref="D173">INDEX($H$2:$H$35, MATCH(1, (A173 &gt;= $F$2:$F$35) * (A173 &lt;= $G$2:$G$35), 0))</f>
        <v>15-12-2024 to 21-12-2024</v>
      </c>
      <c r="E173" t="str">
        <f>IF(COUNTIF('Top5'!I:I, D173) &gt; 0, "Yes", "No")</f>
        <v>No</v>
      </c>
    </row>
    <row r="174" spans="1:5">
      <c r="A174" s="1">
        <v>45642</v>
      </c>
      <c r="B174" s="6">
        <v>0.82152777777777775</v>
      </c>
      <c r="C174" s="10" t="s">
        <v>70</v>
      </c>
      <c r="D174" t="str" cm="1">
        <f t="array" ref="D174">INDEX($H$2:$H$35, MATCH(1, (A174 &gt;= $F$2:$F$35) * (A174 &lt;= $G$2:$G$35), 0))</f>
        <v>15-12-2024 to 21-12-2024</v>
      </c>
      <c r="E174" t="str">
        <f>IF(COUNTIF('Top5'!I:I, D174) &gt; 0, "Yes", "No")</f>
        <v>No</v>
      </c>
    </row>
    <row r="175" spans="1:5">
      <c r="A175" s="1">
        <v>45642</v>
      </c>
      <c r="B175" s="6">
        <v>0.84236111111111112</v>
      </c>
      <c r="C175" s="10" t="s">
        <v>70</v>
      </c>
      <c r="D175" t="str" cm="1">
        <f t="array" ref="D175">INDEX($H$2:$H$35, MATCH(1, (A175 &gt;= $F$2:$F$35) * (A175 &lt;= $G$2:$G$35), 0))</f>
        <v>15-12-2024 to 21-12-2024</v>
      </c>
      <c r="E175" t="str">
        <f>IF(COUNTIF('Top5'!I:I, D175) &gt; 0, "Yes", "No")</f>
        <v>No</v>
      </c>
    </row>
    <row r="176" spans="1:5">
      <c r="A176" s="1">
        <v>45642</v>
      </c>
      <c r="B176" s="6">
        <v>0.9819444444444444</v>
      </c>
      <c r="C176" s="10" t="s">
        <v>70</v>
      </c>
      <c r="D176" t="str" cm="1">
        <f t="array" ref="D176">INDEX($H$2:$H$35, MATCH(1, (A176 &gt;= $F$2:$F$35) * (A176 &lt;= $G$2:$G$35), 0))</f>
        <v>15-12-2024 to 21-12-2024</v>
      </c>
      <c r="E176" t="str">
        <f>IF(COUNTIF('Top5'!I:I, D176) &gt; 0, "Yes", "No")</f>
        <v>No</v>
      </c>
    </row>
    <row r="177" spans="1:5">
      <c r="A177" s="1">
        <v>45643</v>
      </c>
      <c r="B177" s="6">
        <v>0.625</v>
      </c>
      <c r="C177" s="10" t="s">
        <v>71</v>
      </c>
      <c r="D177" t="str" cm="1">
        <f t="array" ref="D177">INDEX($H$2:$H$35, MATCH(1, (A177 &gt;= $F$2:$F$35) * (A177 &lt;= $G$2:$G$35), 0))</f>
        <v>15-12-2024 to 21-12-2024</v>
      </c>
      <c r="E177" t="str">
        <f>IF(COUNTIF('Top5'!I:I, D177) &gt; 0, "Yes", "No")</f>
        <v>No</v>
      </c>
    </row>
    <row r="178" spans="1:5">
      <c r="A178" s="1">
        <v>45644</v>
      </c>
      <c r="B178" s="6">
        <v>4.1666666666666666E-3</v>
      </c>
      <c r="C178" s="10" t="s">
        <v>70</v>
      </c>
      <c r="D178" t="str" cm="1">
        <f t="array" ref="D178">INDEX($H$2:$H$35, MATCH(1, (A178 &gt;= $F$2:$F$35) * (A178 &lt;= $G$2:$G$35), 0))</f>
        <v>15-12-2024 to 21-12-2024</v>
      </c>
      <c r="E178" t="str">
        <f>IF(COUNTIF('Top5'!I:I, D178) &gt; 0, "Yes", "No")</f>
        <v>No</v>
      </c>
    </row>
    <row r="179" spans="1:5">
      <c r="A179" s="1">
        <v>45644</v>
      </c>
      <c r="B179" s="6">
        <v>4.1666666666666666E-3</v>
      </c>
      <c r="C179" s="10" t="s">
        <v>70</v>
      </c>
      <c r="D179" t="str" cm="1">
        <f t="array" ref="D179">INDEX($H$2:$H$35, MATCH(1, (A179 &gt;= $F$2:$F$35) * (A179 &lt;= $G$2:$G$35), 0))</f>
        <v>15-12-2024 to 21-12-2024</v>
      </c>
      <c r="E179" t="str">
        <f>IF(COUNTIF('Top5'!I:I, D179) &gt; 0, "Yes", "No")</f>
        <v>No</v>
      </c>
    </row>
    <row r="180" spans="1:5">
      <c r="A180" s="1">
        <v>45644</v>
      </c>
      <c r="B180" s="6">
        <v>0.50624999999999998</v>
      </c>
      <c r="C180" s="10" t="s">
        <v>71</v>
      </c>
      <c r="D180" t="str" cm="1">
        <f t="array" ref="D180">INDEX($H$2:$H$35, MATCH(1, (A180 &gt;= $F$2:$F$35) * (A180 &lt;= $G$2:$G$35), 0))</f>
        <v>15-12-2024 to 21-12-2024</v>
      </c>
      <c r="E180" t="str">
        <f>IF(COUNTIF('Top5'!I:I, D180) &gt; 0, "Yes", "No")</f>
        <v>No</v>
      </c>
    </row>
    <row r="181" spans="1:5">
      <c r="A181" s="1">
        <v>45644</v>
      </c>
      <c r="B181" s="6">
        <v>0.90208333333333335</v>
      </c>
      <c r="C181" s="10" t="s">
        <v>70</v>
      </c>
      <c r="D181" t="str" cm="1">
        <f t="array" ref="D181">INDEX($H$2:$H$35, MATCH(1, (A181 &gt;= $F$2:$F$35) * (A181 &lt;= $G$2:$G$35), 0))</f>
        <v>15-12-2024 to 21-12-2024</v>
      </c>
      <c r="E181" t="str">
        <f>IF(COUNTIF('Top5'!I:I, D181) &gt; 0, "Yes", "No")</f>
        <v>No</v>
      </c>
    </row>
    <row r="182" spans="1:5">
      <c r="A182" s="1">
        <v>45645</v>
      </c>
      <c r="B182" s="6">
        <v>0.65347222222222223</v>
      </c>
      <c r="C182" s="10" t="s">
        <v>71</v>
      </c>
      <c r="D182" t="str" cm="1">
        <f t="array" ref="D182">INDEX($H$2:$H$35, MATCH(1, (A182 &gt;= $F$2:$F$35) * (A182 &lt;= $G$2:$G$35), 0))</f>
        <v>15-12-2024 to 21-12-2024</v>
      </c>
      <c r="E182" t="str">
        <f>IF(COUNTIF('Top5'!I:I, D182) &gt; 0, "Yes", "No")</f>
        <v>No</v>
      </c>
    </row>
    <row r="183" spans="1:5">
      <c r="A183" s="1">
        <v>45645</v>
      </c>
      <c r="B183" s="6">
        <v>0.66180555555555554</v>
      </c>
      <c r="C183" s="10" t="s">
        <v>71</v>
      </c>
      <c r="D183" t="str" cm="1">
        <f t="array" ref="D183">INDEX($H$2:$H$35, MATCH(1, (A183 &gt;= $F$2:$F$35) * (A183 &lt;= $G$2:$G$35), 0))</f>
        <v>15-12-2024 to 21-12-2024</v>
      </c>
      <c r="E183" t="str">
        <f>IF(COUNTIF('Top5'!I:I, D183) &gt; 0, "Yes", "No")</f>
        <v>No</v>
      </c>
    </row>
    <row r="184" spans="1:5">
      <c r="A184" s="1">
        <v>45645</v>
      </c>
      <c r="B184" s="6">
        <v>0.88124999999999998</v>
      </c>
      <c r="C184" s="10" t="s">
        <v>70</v>
      </c>
      <c r="D184" t="str" cm="1">
        <f t="array" ref="D184">INDEX($H$2:$H$35, MATCH(1, (A184 &gt;= $F$2:$F$35) * (A184 &lt;= $G$2:$G$35), 0))</f>
        <v>15-12-2024 to 21-12-2024</v>
      </c>
      <c r="E184" t="str">
        <f>IF(COUNTIF('Top5'!I:I, D184) &gt; 0, "Yes", "No")</f>
        <v>No</v>
      </c>
    </row>
    <row r="185" spans="1:5">
      <c r="A185" s="1">
        <v>45646</v>
      </c>
      <c r="B185" s="6">
        <v>0.44305555555555554</v>
      </c>
      <c r="C185" s="10" t="s">
        <v>22</v>
      </c>
      <c r="D185" t="str" cm="1">
        <f t="array" ref="D185">INDEX($H$2:$H$35, MATCH(1, (A185 &gt;= $F$2:$F$35) * (A185 &lt;= $G$2:$G$35), 0))</f>
        <v>15-12-2024 to 21-12-2024</v>
      </c>
      <c r="E185" t="str">
        <f>IF(COUNTIF('Top5'!I:I, D185) &gt; 0, "Yes", "No")</f>
        <v>No</v>
      </c>
    </row>
    <row r="186" spans="1:5">
      <c r="A186" s="1">
        <v>45647</v>
      </c>
      <c r="B186" s="6">
        <v>0.51597222222222228</v>
      </c>
      <c r="C186" s="10" t="s">
        <v>71</v>
      </c>
      <c r="D186" t="str" cm="1">
        <f t="array" ref="D186">INDEX($H$2:$H$35, MATCH(1, (A186 &gt;= $F$2:$F$35) * (A186 &lt;= $G$2:$G$35), 0))</f>
        <v>15-12-2024 to 21-12-2024</v>
      </c>
      <c r="E186" t="str">
        <f>IF(COUNTIF('Top5'!I:I, D186) &gt; 0, "Yes", "No")</f>
        <v>No</v>
      </c>
    </row>
    <row r="187" spans="1:5">
      <c r="A187" s="1">
        <v>45647</v>
      </c>
      <c r="B187" s="6">
        <v>0.51597222222222228</v>
      </c>
      <c r="C187" s="10" t="s">
        <v>71</v>
      </c>
      <c r="D187" t="str" cm="1">
        <f t="array" ref="D187">INDEX($H$2:$H$35, MATCH(1, (A187 &gt;= $F$2:$F$35) * (A187 &lt;= $G$2:$G$35), 0))</f>
        <v>15-12-2024 to 21-12-2024</v>
      </c>
      <c r="E187" t="str">
        <f>IF(COUNTIF('Top5'!I:I, D187) &gt; 0, "Yes", "No")</f>
        <v>No</v>
      </c>
    </row>
    <row r="188" spans="1:5">
      <c r="A188" s="1">
        <v>45648</v>
      </c>
      <c r="B188" s="6">
        <v>1.3888888888888889E-3</v>
      </c>
      <c r="C188" s="10" t="s">
        <v>70</v>
      </c>
      <c r="D188" t="str" cm="1">
        <f t="array" ref="D188">INDEX($H$2:$H$35, MATCH(1, (A188 &gt;= $F$2:$F$35) * (A188 &lt;= $G$2:$G$35), 0))</f>
        <v>22-12-2024 to 28-12-2024</v>
      </c>
      <c r="E188" t="str">
        <f>IF(COUNTIF('Top5'!I:I, D188) &gt; 0, "Yes", "No")</f>
        <v>No</v>
      </c>
    </row>
    <row r="189" spans="1:5">
      <c r="A189" s="1">
        <v>45648</v>
      </c>
      <c r="B189" s="6">
        <v>1.3888888888888889E-3</v>
      </c>
      <c r="C189" s="10" t="s">
        <v>70</v>
      </c>
      <c r="D189" t="str" cm="1">
        <f t="array" ref="D189">INDEX($H$2:$H$35, MATCH(1, (A189 &gt;= $F$2:$F$35) * (A189 &lt;= $G$2:$G$35), 0))</f>
        <v>22-12-2024 to 28-12-2024</v>
      </c>
      <c r="E189" t="str">
        <f>IF(COUNTIF('Top5'!I:I, D189) &gt; 0, "Yes", "No")</f>
        <v>No</v>
      </c>
    </row>
    <row r="190" spans="1:5">
      <c r="A190" s="1">
        <v>45648</v>
      </c>
      <c r="B190" s="6">
        <v>0.46250000000000002</v>
      </c>
      <c r="C190" s="10" t="s">
        <v>22</v>
      </c>
      <c r="D190" t="str" cm="1">
        <f t="array" ref="D190">INDEX($H$2:$H$35, MATCH(1, (A190 &gt;= $F$2:$F$35) * (A190 &lt;= $G$2:$G$35), 0))</f>
        <v>22-12-2024 to 28-12-2024</v>
      </c>
      <c r="E190" t="str">
        <f>IF(COUNTIF('Top5'!I:I, D190) &gt; 0, "Yes", "No")</f>
        <v>No</v>
      </c>
    </row>
    <row r="191" spans="1:5">
      <c r="A191" s="1">
        <v>45648</v>
      </c>
      <c r="B191" s="6">
        <v>0.71319444444444446</v>
      </c>
      <c r="C191" s="10" t="s">
        <v>70</v>
      </c>
      <c r="D191" t="str" cm="1">
        <f t="array" ref="D191">INDEX($H$2:$H$35, MATCH(1, (A191 &gt;= $F$2:$F$35) * (A191 &lt;= $G$2:$G$35), 0))</f>
        <v>22-12-2024 to 28-12-2024</v>
      </c>
      <c r="E191" t="str">
        <f>IF(COUNTIF('Top5'!I:I, D191) &gt; 0, "Yes", "No")</f>
        <v>No</v>
      </c>
    </row>
    <row r="192" spans="1:5">
      <c r="A192" s="1">
        <v>45650</v>
      </c>
      <c r="B192" s="6">
        <v>0.68125000000000002</v>
      </c>
      <c r="C192" s="10" t="s">
        <v>71</v>
      </c>
      <c r="D192" t="str" cm="1">
        <f t="array" ref="D192">INDEX($H$2:$H$35, MATCH(1, (A192 &gt;= $F$2:$F$35) * (A192 &lt;= $G$2:$G$35), 0))</f>
        <v>22-12-2024 to 28-12-2024</v>
      </c>
      <c r="E192" t="str">
        <f>IF(COUNTIF('Top5'!I:I, D192) &gt; 0, "Yes", "No")</f>
        <v>No</v>
      </c>
    </row>
    <row r="193" spans="1:5">
      <c r="A193" s="1">
        <v>45650</v>
      </c>
      <c r="B193" s="6">
        <v>0.80694444444444446</v>
      </c>
      <c r="C193" s="10" t="s">
        <v>70</v>
      </c>
      <c r="D193" t="str" cm="1">
        <f t="array" ref="D193">INDEX($H$2:$H$35, MATCH(1, (A193 &gt;= $F$2:$F$35) * (A193 &lt;= $G$2:$G$35), 0))</f>
        <v>22-12-2024 to 28-12-2024</v>
      </c>
      <c r="E193" t="str">
        <f>IF(COUNTIF('Top5'!I:I, D193) &gt; 0, "Yes", "No")</f>
        <v>No</v>
      </c>
    </row>
    <row r="194" spans="1:5">
      <c r="A194" s="1">
        <v>45651</v>
      </c>
      <c r="B194" s="6">
        <v>0.98958333333333337</v>
      </c>
      <c r="C194" s="10" t="s">
        <v>70</v>
      </c>
      <c r="D194" t="str" cm="1">
        <f t="array" ref="D194">INDEX($H$2:$H$35, MATCH(1, (A194 &gt;= $F$2:$F$35) * (A194 &lt;= $G$2:$G$35), 0))</f>
        <v>22-12-2024 to 28-12-2024</v>
      </c>
      <c r="E194" t="str">
        <f>IF(COUNTIF('Top5'!I:I, D194) &gt; 0, "Yes", "No")</f>
        <v>No</v>
      </c>
    </row>
    <row r="195" spans="1:5">
      <c r="A195" s="1">
        <v>45652</v>
      </c>
      <c r="B195" s="6">
        <v>0.47361111111111109</v>
      </c>
      <c r="C195" s="10" t="s">
        <v>22</v>
      </c>
      <c r="D195" t="str" cm="1">
        <f t="array" ref="D195">INDEX($H$2:$H$35, MATCH(1, (A195 &gt;= $F$2:$F$35) * (A195 &lt;= $G$2:$G$35), 0))</f>
        <v>22-12-2024 to 28-12-2024</v>
      </c>
      <c r="E195" t="str">
        <f>IF(COUNTIF('Top5'!I:I, D195) &gt; 0, "Yes", "No")</f>
        <v>No</v>
      </c>
    </row>
    <row r="196" spans="1:5">
      <c r="A196" s="1">
        <v>45652</v>
      </c>
      <c r="B196" s="6">
        <v>0.56458333333333333</v>
      </c>
      <c r="C196" s="10" t="s">
        <v>71</v>
      </c>
      <c r="D196" t="str" cm="1">
        <f t="array" ref="D196">INDEX($H$2:$H$35, MATCH(1, (A196 &gt;= $F$2:$F$35) * (A196 &lt;= $G$2:$G$35), 0))</f>
        <v>22-12-2024 to 28-12-2024</v>
      </c>
      <c r="E196" t="str">
        <f>IF(COUNTIF('Top5'!I:I, D196) &gt; 0, "Yes", "No")</f>
        <v>No</v>
      </c>
    </row>
    <row r="197" spans="1:5">
      <c r="A197" s="1">
        <v>45652</v>
      </c>
      <c r="B197" s="6">
        <v>0.59652777777777777</v>
      </c>
      <c r="C197" s="10" t="s">
        <v>71</v>
      </c>
      <c r="D197" t="str" cm="1">
        <f t="array" ref="D197">INDEX($H$2:$H$35, MATCH(1, (A197 &gt;= $F$2:$F$35) * (A197 &lt;= $G$2:$G$35), 0))</f>
        <v>22-12-2024 to 28-12-2024</v>
      </c>
      <c r="E197" t="str">
        <f>IF(COUNTIF('Top5'!I:I, D197) &gt; 0, "Yes", "No")</f>
        <v>No</v>
      </c>
    </row>
    <row r="198" spans="1:5">
      <c r="A198" s="1">
        <v>45652</v>
      </c>
      <c r="B198" s="6">
        <v>0.7729166666666667</v>
      </c>
      <c r="C198" s="10" t="s">
        <v>70</v>
      </c>
      <c r="D198" t="str" cm="1">
        <f t="array" ref="D198">INDEX($H$2:$H$35, MATCH(1, (A198 &gt;= $F$2:$F$35) * (A198 &lt;= $G$2:$G$35), 0))</f>
        <v>22-12-2024 to 28-12-2024</v>
      </c>
      <c r="E198" t="str">
        <f>IF(COUNTIF('Top5'!I:I, D198) &gt; 0, "Yes", "No")</f>
        <v>No</v>
      </c>
    </row>
    <row r="199" spans="1:5">
      <c r="A199" s="1">
        <v>45653</v>
      </c>
      <c r="B199" s="6">
        <v>0.4548611111111111</v>
      </c>
      <c r="C199" s="10" t="s">
        <v>22</v>
      </c>
      <c r="D199" t="str" cm="1">
        <f t="array" ref="D199">INDEX($H$2:$H$35, MATCH(1, (A199 &gt;= $F$2:$F$35) * (A199 &lt;= $G$2:$G$35), 0))</f>
        <v>22-12-2024 to 28-12-2024</v>
      </c>
      <c r="E199" t="str">
        <f>IF(COUNTIF('Top5'!I:I, D199) &gt; 0, "Yes", "No")</f>
        <v>No</v>
      </c>
    </row>
    <row r="200" spans="1:5">
      <c r="A200" s="1">
        <v>45653</v>
      </c>
      <c r="B200" s="6">
        <v>0.58819444444444446</v>
      </c>
      <c r="C200" s="10" t="s">
        <v>71</v>
      </c>
      <c r="D200" t="str" cm="1">
        <f t="array" ref="D200">INDEX($H$2:$H$35, MATCH(1, (A200 &gt;= $F$2:$F$35) * (A200 &lt;= $G$2:$G$35), 0))</f>
        <v>22-12-2024 to 28-12-2024</v>
      </c>
      <c r="E200" t="str">
        <f>IF(COUNTIF('Top5'!I:I, D200) &gt; 0, "Yes", "No")</f>
        <v>No</v>
      </c>
    </row>
    <row r="201" spans="1:5">
      <c r="A201" s="1">
        <v>45653</v>
      </c>
      <c r="B201" s="6">
        <v>0.58819444444444446</v>
      </c>
      <c r="C201" s="10" t="s">
        <v>71</v>
      </c>
      <c r="D201" t="str" cm="1">
        <f t="array" ref="D201">INDEX($H$2:$H$35, MATCH(1, (A201 &gt;= $F$2:$F$35) * (A201 &lt;= $G$2:$G$35), 0))</f>
        <v>22-12-2024 to 28-12-2024</v>
      </c>
      <c r="E201" t="str">
        <f>IF(COUNTIF('Top5'!I:I, D201) &gt; 0, "Yes", "No")</f>
        <v>No</v>
      </c>
    </row>
    <row r="202" spans="1:5">
      <c r="A202" s="1">
        <v>45653</v>
      </c>
      <c r="B202" s="6">
        <v>0.67847222222222225</v>
      </c>
      <c r="C202" s="10" t="s">
        <v>71</v>
      </c>
      <c r="D202" t="str" cm="1">
        <f t="array" ref="D202">INDEX($H$2:$H$35, MATCH(1, (A202 &gt;= $F$2:$F$35) * (A202 &lt;= $G$2:$G$35), 0))</f>
        <v>22-12-2024 to 28-12-2024</v>
      </c>
      <c r="E202" t="str">
        <f>IF(COUNTIF('Top5'!I:I, D202) &gt; 0, "Yes", "No")</f>
        <v>No</v>
      </c>
    </row>
    <row r="203" spans="1:5">
      <c r="A203" s="1">
        <v>45653</v>
      </c>
      <c r="B203" s="6">
        <v>0.7368055555555556</v>
      </c>
      <c r="C203" s="10" t="s">
        <v>70</v>
      </c>
      <c r="D203" t="str" cm="1">
        <f t="array" ref="D203">INDEX($H$2:$H$35, MATCH(1, (A203 &gt;= $F$2:$F$35) * (A203 &lt;= $G$2:$G$35), 0))</f>
        <v>22-12-2024 to 28-12-2024</v>
      </c>
      <c r="E203" t="str">
        <f>IF(COUNTIF('Top5'!I:I, D203) &gt; 0, "Yes", "No")</f>
        <v>No</v>
      </c>
    </row>
    <row r="204" spans="1:5">
      <c r="A204" s="1">
        <v>45653</v>
      </c>
      <c r="B204" s="6">
        <v>0.73750000000000004</v>
      </c>
      <c r="C204" s="10" t="s">
        <v>70</v>
      </c>
      <c r="D204" t="str" cm="1">
        <f t="array" ref="D204">INDEX($H$2:$H$35, MATCH(1, (A204 &gt;= $F$2:$F$35) * (A204 &lt;= $G$2:$G$35), 0))</f>
        <v>22-12-2024 to 28-12-2024</v>
      </c>
      <c r="E204" t="str">
        <f>IF(COUNTIF('Top5'!I:I, D204) &gt; 0, "Yes", "No")</f>
        <v>No</v>
      </c>
    </row>
    <row r="205" spans="1:5">
      <c r="A205" s="1">
        <v>45653</v>
      </c>
      <c r="B205" s="6">
        <v>0.89444444444444449</v>
      </c>
      <c r="C205" s="10" t="s">
        <v>70</v>
      </c>
      <c r="D205" t="str" cm="1">
        <f t="array" ref="D205">INDEX($H$2:$H$35, MATCH(1, (A205 &gt;= $F$2:$F$35) * (A205 &lt;= $G$2:$G$35), 0))</f>
        <v>22-12-2024 to 28-12-2024</v>
      </c>
      <c r="E205" t="str">
        <f>IF(COUNTIF('Top5'!I:I, D205) &gt; 0, "Yes", "No")</f>
        <v>No</v>
      </c>
    </row>
    <row r="206" spans="1:5">
      <c r="A206" s="1">
        <v>45654</v>
      </c>
      <c r="B206" s="6">
        <v>0.48402777777777778</v>
      </c>
      <c r="C206" s="10" t="s">
        <v>22</v>
      </c>
      <c r="D206" t="str" cm="1">
        <f t="array" ref="D206">INDEX($H$2:$H$35, MATCH(1, (A206 &gt;= $F$2:$F$35) * (A206 &lt;= $G$2:$G$35), 0))</f>
        <v>22-12-2024 to 28-12-2024</v>
      </c>
      <c r="E206" t="str">
        <f>IF(COUNTIF('Top5'!I:I, D206) &gt; 0, "Yes", "No")</f>
        <v>No</v>
      </c>
    </row>
    <row r="207" spans="1:5">
      <c r="A207" s="1">
        <v>45655</v>
      </c>
      <c r="B207" s="6">
        <v>1.3888888888888888E-2</v>
      </c>
      <c r="C207" s="10" t="s">
        <v>70</v>
      </c>
      <c r="D207" t="str" cm="1">
        <f t="array" ref="D207">INDEX($H$2:$H$35, MATCH(1, (A207 &gt;= $F$2:$F$35) * (A207 &lt;= $G$2:$G$35), 0))</f>
        <v>29-12-2024 to 31-12-2024</v>
      </c>
      <c r="E207" t="str">
        <f>IF(COUNTIF('Top5'!I:I, D207) &gt; 0, "Yes", "No")</f>
        <v>No</v>
      </c>
    </row>
    <row r="208" spans="1:5">
      <c r="A208" s="1">
        <v>45655</v>
      </c>
      <c r="B208" s="6">
        <v>0.98750000000000004</v>
      </c>
      <c r="C208" s="10" t="s">
        <v>70</v>
      </c>
      <c r="D208" t="str" cm="1">
        <f t="array" ref="D208">INDEX($H$2:$H$35, MATCH(1, (A208 &gt;= $F$2:$F$35) * (A208 &lt;= $G$2:$G$35), 0))</f>
        <v>29-12-2024 to 31-12-2024</v>
      </c>
      <c r="E208" t="str">
        <f>IF(COUNTIF('Top5'!I:I, D208) &gt; 0, "Yes", "No")</f>
        <v>No</v>
      </c>
    </row>
    <row r="209" spans="1:5">
      <c r="A209" s="1">
        <v>45656</v>
      </c>
      <c r="B209" s="6">
        <v>0.41875000000000001</v>
      </c>
      <c r="C209" s="10" t="s">
        <v>22</v>
      </c>
      <c r="D209" t="str" cm="1">
        <f t="array" ref="D209">INDEX($H$2:$H$35, MATCH(1, (A209 &gt;= $F$2:$F$35) * (A209 &lt;= $G$2:$G$35), 0))</f>
        <v>29-12-2024 to 31-12-2024</v>
      </c>
      <c r="E209" t="str">
        <f>IF(COUNTIF('Top5'!I:I, D209) &gt; 0, "Yes", "No")</f>
        <v>No</v>
      </c>
    </row>
    <row r="210" spans="1:5">
      <c r="A210" s="1">
        <v>45656</v>
      </c>
      <c r="B210" s="6">
        <v>0.51527777777777772</v>
      </c>
      <c r="C210" s="10" t="s">
        <v>71</v>
      </c>
      <c r="D210" t="str" cm="1">
        <f t="array" ref="D210">INDEX($H$2:$H$35, MATCH(1, (A210 &gt;= $F$2:$F$35) * (A210 &lt;= $G$2:$G$35), 0))</f>
        <v>29-12-2024 to 31-12-2024</v>
      </c>
      <c r="E210" t="str">
        <f>IF(COUNTIF('Top5'!I:I, D210) &gt; 0, "Yes", "No")</f>
        <v>No</v>
      </c>
    </row>
    <row r="211" spans="1:5">
      <c r="A211" s="1">
        <v>45656</v>
      </c>
      <c r="B211" s="6">
        <v>0.51666666666666672</v>
      </c>
      <c r="C211" s="10" t="s">
        <v>71</v>
      </c>
      <c r="D211" t="str" cm="1">
        <f t="array" ref="D211">INDEX($H$2:$H$35, MATCH(1, (A211 &gt;= $F$2:$F$35) * (A211 &lt;= $G$2:$G$35), 0))</f>
        <v>29-12-2024 to 31-12-2024</v>
      </c>
      <c r="E211" t="str">
        <f>IF(COUNTIF('Top5'!I:I, D211) &gt; 0, "Yes", "No")</f>
        <v>No</v>
      </c>
    </row>
    <row r="212" spans="1:5">
      <c r="A212" s="1">
        <v>45656</v>
      </c>
      <c r="B212" s="6">
        <v>0.82638888888888884</v>
      </c>
      <c r="C212" s="10" t="s">
        <v>70</v>
      </c>
      <c r="D212" t="str" cm="1">
        <f t="array" ref="D212">INDEX($H$2:$H$35, MATCH(1, (A212 &gt;= $F$2:$F$35) * (A212 &lt;= $G$2:$G$35), 0))</f>
        <v>29-12-2024 to 31-12-2024</v>
      </c>
      <c r="E212" t="str">
        <f>IF(COUNTIF('Top5'!I:I, D212) &gt; 0, "Yes", "No")</f>
        <v>No</v>
      </c>
    </row>
    <row r="213" spans="1:5">
      <c r="A213" s="1">
        <v>45656</v>
      </c>
      <c r="B213" s="6">
        <v>0.86805555555555558</v>
      </c>
      <c r="C213" s="10" t="s">
        <v>70</v>
      </c>
      <c r="D213" t="str" cm="1">
        <f t="array" ref="D213">INDEX($H$2:$H$35, MATCH(1, (A213 &gt;= $F$2:$F$35) * (A213 &lt;= $G$2:$G$35), 0))</f>
        <v>29-12-2024 to 31-12-2024</v>
      </c>
      <c r="E213" t="str">
        <f>IF(COUNTIF('Top5'!I:I, D213) &gt; 0, "Yes", "No")</f>
        <v>No</v>
      </c>
    </row>
    <row r="214" spans="1:5">
      <c r="A214" s="1">
        <v>45658</v>
      </c>
      <c r="B214" s="6">
        <v>0.5</v>
      </c>
      <c r="C214" s="10" t="s">
        <v>71</v>
      </c>
      <c r="D214" t="str" cm="1">
        <f t="array" ref="D214">INDEX($H$2:$H$35, MATCH(1, (A214 &gt;= $F$2:$F$35) * (A214 &lt;= $G$2:$G$35), 0))</f>
        <v>01-01-2025 to 07-01-2025</v>
      </c>
      <c r="E214" t="str">
        <f>IF(COUNTIF('Top5'!I:I, D214) &gt; 0, "Yes", "No")</f>
        <v>No</v>
      </c>
    </row>
    <row r="215" spans="1:5">
      <c r="A215" s="1">
        <v>45658</v>
      </c>
      <c r="B215" s="6">
        <v>0.50902777777777775</v>
      </c>
      <c r="C215" s="10" t="s">
        <v>71</v>
      </c>
      <c r="D215" t="str" cm="1">
        <f t="array" ref="D215">INDEX($H$2:$H$35, MATCH(1, (A215 &gt;= $F$2:$F$35) * (A215 &lt;= $G$2:$G$35), 0))</f>
        <v>01-01-2025 to 07-01-2025</v>
      </c>
      <c r="E215" t="str">
        <f>IF(COUNTIF('Top5'!I:I, D215) &gt; 0, "Yes", "No")</f>
        <v>No</v>
      </c>
    </row>
    <row r="216" spans="1:5">
      <c r="A216" s="1">
        <v>45661</v>
      </c>
      <c r="B216" s="6">
        <v>0.99375000000000002</v>
      </c>
      <c r="C216" s="10" t="s">
        <v>70</v>
      </c>
      <c r="D216" t="str" cm="1">
        <f t="array" ref="D216">INDEX($H$2:$H$35, MATCH(1, (A216 &gt;= $F$2:$F$35) * (A216 &lt;= $G$2:$G$35), 0))</f>
        <v>01-01-2025 to 07-01-2025</v>
      </c>
      <c r="E216" t="str">
        <f>IF(COUNTIF('Top5'!I:I, D216) &gt; 0, "Yes", "No")</f>
        <v>No</v>
      </c>
    </row>
    <row r="217" spans="1:5">
      <c r="A217" s="1">
        <v>45661</v>
      </c>
      <c r="B217" s="6">
        <v>0.99375000000000002</v>
      </c>
      <c r="C217" s="10" t="s">
        <v>70</v>
      </c>
      <c r="D217" t="str" cm="1">
        <f t="array" ref="D217">INDEX($H$2:$H$35, MATCH(1, (A217 &gt;= $F$2:$F$35) * (A217 &lt;= $G$2:$G$35), 0))</f>
        <v>01-01-2025 to 07-01-2025</v>
      </c>
      <c r="E217" t="str">
        <f>IF(COUNTIF('Top5'!I:I, D217) &gt; 0, "Yes", "No")</f>
        <v>No</v>
      </c>
    </row>
    <row r="218" spans="1:5">
      <c r="A218" s="1">
        <v>45662</v>
      </c>
      <c r="B218" s="6">
        <v>1.4583333333333334E-2</v>
      </c>
      <c r="C218" s="10" t="s">
        <v>70</v>
      </c>
      <c r="D218" t="str" cm="1">
        <f t="array" ref="D218">INDEX($H$2:$H$35, MATCH(1, (A218 &gt;= $F$2:$F$35) * (A218 &lt;= $G$2:$G$35), 0))</f>
        <v>01-01-2025 to 07-01-2025</v>
      </c>
      <c r="E218" t="str">
        <f>IF(COUNTIF('Top5'!I:I, D218) &gt; 0, "Yes", "No")</f>
        <v>No</v>
      </c>
    </row>
    <row r="219" spans="1:5">
      <c r="A219" s="1">
        <v>45662</v>
      </c>
      <c r="B219" s="6">
        <v>1.4583333333333334E-2</v>
      </c>
      <c r="C219" s="10" t="s">
        <v>70</v>
      </c>
      <c r="D219" t="str" cm="1">
        <f t="array" ref="D219">INDEX($H$2:$H$35, MATCH(1, (A219 &gt;= $F$2:$F$35) * (A219 &lt;= $G$2:$G$35), 0))</f>
        <v>01-01-2025 to 07-01-2025</v>
      </c>
      <c r="E219" t="str">
        <f>IF(COUNTIF('Top5'!I:I, D219) &gt; 0, "Yes", "No")</f>
        <v>No</v>
      </c>
    </row>
    <row r="220" spans="1:5">
      <c r="A220" s="1">
        <v>45662</v>
      </c>
      <c r="B220" s="6">
        <v>1.4583333333333334E-2</v>
      </c>
      <c r="C220" s="10" t="s">
        <v>70</v>
      </c>
      <c r="D220" t="str" cm="1">
        <f t="array" ref="D220">INDEX($H$2:$H$35, MATCH(1, (A220 &gt;= $F$2:$F$35) * (A220 &lt;= $G$2:$G$35), 0))</f>
        <v>01-01-2025 to 07-01-2025</v>
      </c>
      <c r="E220" t="str">
        <f>IF(COUNTIF('Top5'!I:I, D220) &gt; 0, "Yes", "No")</f>
        <v>No</v>
      </c>
    </row>
    <row r="221" spans="1:5">
      <c r="A221" s="1">
        <v>45662</v>
      </c>
      <c r="B221" s="6">
        <v>1.4583333333333334E-2</v>
      </c>
      <c r="C221" s="10" t="s">
        <v>70</v>
      </c>
      <c r="D221" t="str" cm="1">
        <f t="array" ref="D221">INDEX($H$2:$H$35, MATCH(1, (A221 &gt;= $F$2:$F$35) * (A221 &lt;= $G$2:$G$35), 0))</f>
        <v>01-01-2025 to 07-01-2025</v>
      </c>
      <c r="E221" t="str">
        <f>IF(COUNTIF('Top5'!I:I, D221) &gt; 0, "Yes", "No")</f>
        <v>No</v>
      </c>
    </row>
    <row r="222" spans="1:5">
      <c r="A222" s="1">
        <v>45662</v>
      </c>
      <c r="B222" s="6">
        <v>1.4583333333333334E-2</v>
      </c>
      <c r="C222" s="10" t="s">
        <v>70</v>
      </c>
      <c r="D222" t="str" cm="1">
        <f t="array" ref="D222">INDEX($H$2:$H$35, MATCH(1, (A222 &gt;= $F$2:$F$35) * (A222 &lt;= $G$2:$G$35), 0))</f>
        <v>01-01-2025 to 07-01-2025</v>
      </c>
      <c r="E222" t="str">
        <f>IF(COUNTIF('Top5'!I:I, D222) &gt; 0, "Yes", "No")</f>
        <v>No</v>
      </c>
    </row>
    <row r="223" spans="1:5">
      <c r="A223" s="1">
        <v>45662</v>
      </c>
      <c r="B223" s="6">
        <v>1.4583333333333334E-2</v>
      </c>
      <c r="C223" s="10" t="s">
        <v>70</v>
      </c>
      <c r="D223" t="str" cm="1">
        <f t="array" ref="D223">INDEX($H$2:$H$35, MATCH(1, (A223 &gt;= $F$2:$F$35) * (A223 &lt;= $G$2:$G$35), 0))</f>
        <v>01-01-2025 to 07-01-2025</v>
      </c>
      <c r="E223" t="str">
        <f>IF(COUNTIF('Top5'!I:I, D223) &gt; 0, "Yes", "No")</f>
        <v>No</v>
      </c>
    </row>
    <row r="224" spans="1:5">
      <c r="A224" s="1">
        <v>45662</v>
      </c>
      <c r="B224" s="6">
        <v>1.4583333333333334E-2</v>
      </c>
      <c r="C224" s="10" t="s">
        <v>70</v>
      </c>
      <c r="D224" t="str" cm="1">
        <f t="array" ref="D224">INDEX($H$2:$H$35, MATCH(1, (A224 &gt;= $F$2:$F$35) * (A224 &lt;= $G$2:$G$35), 0))</f>
        <v>01-01-2025 to 07-01-2025</v>
      </c>
      <c r="E224" t="str">
        <f>IF(COUNTIF('Top5'!I:I, D224) &gt; 0, "Yes", "No")</f>
        <v>No</v>
      </c>
    </row>
    <row r="225" spans="1:5">
      <c r="A225" s="1">
        <v>45662</v>
      </c>
      <c r="B225" s="6">
        <v>1.4583333333333334E-2</v>
      </c>
      <c r="C225" s="10" t="s">
        <v>70</v>
      </c>
      <c r="D225" t="str" cm="1">
        <f t="array" ref="D225">INDEX($H$2:$H$35, MATCH(1, (A225 &gt;= $F$2:$F$35) * (A225 &lt;= $G$2:$G$35), 0))</f>
        <v>01-01-2025 to 07-01-2025</v>
      </c>
      <c r="E225" t="str">
        <f>IF(COUNTIF('Top5'!I:I, D225) &gt; 0, "Yes", "No")</f>
        <v>No</v>
      </c>
    </row>
    <row r="226" spans="1:5">
      <c r="A226" s="1">
        <v>45662</v>
      </c>
      <c r="B226" s="6">
        <v>1.4583333333333334E-2</v>
      </c>
      <c r="C226" s="10" t="s">
        <v>70</v>
      </c>
      <c r="D226" t="str" cm="1">
        <f t="array" ref="D226">INDEX($H$2:$H$35, MATCH(1, (A226 &gt;= $F$2:$F$35) * (A226 &lt;= $G$2:$G$35), 0))</f>
        <v>01-01-2025 to 07-01-2025</v>
      </c>
      <c r="E226" t="str">
        <f>IF(COUNTIF('Top5'!I:I, D226) &gt; 0, "Yes", "No")</f>
        <v>No</v>
      </c>
    </row>
    <row r="227" spans="1:5">
      <c r="A227" s="1">
        <v>45662</v>
      </c>
      <c r="B227" s="6">
        <v>0.7</v>
      </c>
      <c r="C227" s="10" t="s">
        <v>71</v>
      </c>
      <c r="D227" t="str" cm="1">
        <f t="array" ref="D227">INDEX($H$2:$H$35, MATCH(1, (A227 &gt;= $F$2:$F$35) * (A227 &lt;= $G$2:$G$35), 0))</f>
        <v>01-01-2025 to 07-01-2025</v>
      </c>
      <c r="E227" t="str">
        <f>IF(COUNTIF('Top5'!I:I, D227) &gt; 0, "Yes", "No")</f>
        <v>No</v>
      </c>
    </row>
    <row r="228" spans="1:5">
      <c r="A228" s="1">
        <v>45663</v>
      </c>
      <c r="B228" s="6">
        <v>2.0833333333333333E-3</v>
      </c>
      <c r="C228" s="10" t="s">
        <v>70</v>
      </c>
      <c r="D228" t="str" cm="1">
        <f t="array" ref="D228">INDEX($H$2:$H$35, MATCH(1, (A228 &gt;= $F$2:$F$35) * (A228 &lt;= $G$2:$G$35), 0))</f>
        <v>01-01-2025 to 07-01-2025</v>
      </c>
      <c r="E228" t="str">
        <f>IF(COUNTIF('Top5'!I:I, D228) &gt; 0, "Yes", "No")</f>
        <v>No</v>
      </c>
    </row>
    <row r="229" spans="1:5">
      <c r="A229" s="1">
        <v>45663</v>
      </c>
      <c r="B229" s="6">
        <v>2.0833333333333333E-3</v>
      </c>
      <c r="C229" s="10" t="s">
        <v>70</v>
      </c>
      <c r="D229" t="str" cm="1">
        <f t="array" ref="D229">INDEX($H$2:$H$35, MATCH(1, (A229 &gt;= $F$2:$F$35) * (A229 &lt;= $G$2:$G$35), 0))</f>
        <v>01-01-2025 to 07-01-2025</v>
      </c>
      <c r="E229" t="str">
        <f>IF(COUNTIF('Top5'!I:I, D229) &gt; 0, "Yes", "No")</f>
        <v>No</v>
      </c>
    </row>
    <row r="230" spans="1:5">
      <c r="A230" s="1">
        <v>45663</v>
      </c>
      <c r="B230" s="6">
        <v>2.0833333333333333E-3</v>
      </c>
      <c r="C230" s="10" t="s">
        <v>70</v>
      </c>
      <c r="D230" t="str" cm="1">
        <f t="array" ref="D230">INDEX($H$2:$H$35, MATCH(1, (A230 &gt;= $F$2:$F$35) * (A230 &lt;= $G$2:$G$35), 0))</f>
        <v>01-01-2025 to 07-01-2025</v>
      </c>
      <c r="E230" t="str">
        <f>IF(COUNTIF('Top5'!I:I, D230) &gt; 0, "Yes", "No")</f>
        <v>No</v>
      </c>
    </row>
    <row r="231" spans="1:5">
      <c r="A231" s="1">
        <v>45663</v>
      </c>
      <c r="B231" s="6">
        <v>0.9916666666666667</v>
      </c>
      <c r="C231" s="10" t="s">
        <v>70</v>
      </c>
      <c r="D231" t="str" cm="1">
        <f t="array" ref="D231">INDEX($H$2:$H$35, MATCH(1, (A231 &gt;= $F$2:$F$35) * (A231 &lt;= $G$2:$G$35), 0))</f>
        <v>01-01-2025 to 07-01-2025</v>
      </c>
      <c r="E231" t="str">
        <f>IF(COUNTIF('Top5'!I:I, D231) &gt; 0, "Yes", "No")</f>
        <v>No</v>
      </c>
    </row>
    <row r="232" spans="1:5">
      <c r="A232" s="1">
        <v>45666</v>
      </c>
      <c r="B232" s="6">
        <v>1.3888888888888888E-2</v>
      </c>
      <c r="C232" s="10" t="s">
        <v>70</v>
      </c>
      <c r="D232" t="str" cm="1">
        <f t="array" ref="D232">INDEX($H$2:$H$35, MATCH(1, (A232 &gt;= $F$2:$F$35) * (A232 &lt;= $G$2:$G$35), 0))</f>
        <v>08-01-2025 to 14-01-2025</v>
      </c>
      <c r="E232" t="str">
        <f>IF(COUNTIF('Top5'!I:I, D232) &gt; 0, "Yes", "No")</f>
        <v>No</v>
      </c>
    </row>
    <row r="233" spans="1:5">
      <c r="A233" s="1">
        <v>45666</v>
      </c>
      <c r="B233" s="6">
        <v>1.3888888888888888E-2</v>
      </c>
      <c r="C233" s="10" t="s">
        <v>70</v>
      </c>
      <c r="D233" t="str" cm="1">
        <f t="array" ref="D233">INDEX($H$2:$H$35, MATCH(1, (A233 &gt;= $F$2:$F$35) * (A233 &lt;= $G$2:$G$35), 0))</f>
        <v>08-01-2025 to 14-01-2025</v>
      </c>
      <c r="E233" t="str">
        <f>IF(COUNTIF('Top5'!I:I, D233) &gt; 0, "Yes", "No")</f>
        <v>No</v>
      </c>
    </row>
    <row r="234" spans="1:5">
      <c r="A234" s="1">
        <v>45666</v>
      </c>
      <c r="B234" s="6">
        <v>1.3888888888888888E-2</v>
      </c>
      <c r="C234" s="10" t="s">
        <v>70</v>
      </c>
      <c r="D234" t="str" cm="1">
        <f t="array" ref="D234">INDEX($H$2:$H$35, MATCH(1, (A234 &gt;= $F$2:$F$35) * (A234 &lt;= $G$2:$G$35), 0))</f>
        <v>08-01-2025 to 14-01-2025</v>
      </c>
      <c r="E234" t="str">
        <f>IF(COUNTIF('Top5'!I:I, D234) &gt; 0, "Yes", "No")</f>
        <v>No</v>
      </c>
    </row>
    <row r="235" spans="1:5">
      <c r="A235" s="1">
        <v>45666</v>
      </c>
      <c r="B235" s="6">
        <v>1.3888888888888888E-2</v>
      </c>
      <c r="C235" s="10" t="s">
        <v>70</v>
      </c>
      <c r="D235" t="str" cm="1">
        <f t="array" ref="D235">INDEX($H$2:$H$35, MATCH(1, (A235 &gt;= $F$2:$F$35) * (A235 &lt;= $G$2:$G$35), 0))</f>
        <v>08-01-2025 to 14-01-2025</v>
      </c>
      <c r="E235" t="str">
        <f>IF(COUNTIF('Top5'!I:I, D235) &gt; 0, "Yes", "No")</f>
        <v>No</v>
      </c>
    </row>
    <row r="236" spans="1:5">
      <c r="A236" s="1">
        <v>45666</v>
      </c>
      <c r="B236" s="6">
        <v>1.3888888888888888E-2</v>
      </c>
      <c r="C236" s="10" t="s">
        <v>70</v>
      </c>
      <c r="D236" t="str" cm="1">
        <f t="array" ref="D236">INDEX($H$2:$H$35, MATCH(1, (A236 &gt;= $F$2:$F$35) * (A236 &lt;= $G$2:$G$35), 0))</f>
        <v>08-01-2025 to 14-01-2025</v>
      </c>
      <c r="E236" t="str">
        <f>IF(COUNTIF('Top5'!I:I, D236) &gt; 0, "Yes", "No")</f>
        <v>No</v>
      </c>
    </row>
    <row r="237" spans="1:5">
      <c r="A237" s="1">
        <v>45666</v>
      </c>
      <c r="B237" s="6">
        <v>1.3888888888888888E-2</v>
      </c>
      <c r="C237" s="10" t="s">
        <v>70</v>
      </c>
      <c r="D237" t="str" cm="1">
        <f t="array" ref="D237">INDEX($H$2:$H$35, MATCH(1, (A237 &gt;= $F$2:$F$35) * (A237 &lt;= $G$2:$G$35), 0))</f>
        <v>08-01-2025 to 14-01-2025</v>
      </c>
      <c r="E237" t="str">
        <f>IF(COUNTIF('Top5'!I:I, D237) &gt; 0, "Yes", "No")</f>
        <v>No</v>
      </c>
    </row>
    <row r="238" spans="1:5">
      <c r="A238" s="1">
        <v>45666</v>
      </c>
      <c r="B238" s="6">
        <v>1.3888888888888888E-2</v>
      </c>
      <c r="C238" s="10" t="s">
        <v>70</v>
      </c>
      <c r="D238" t="str" cm="1">
        <f t="array" ref="D238">INDEX($H$2:$H$35, MATCH(1, (A238 &gt;= $F$2:$F$35) * (A238 &lt;= $G$2:$G$35), 0))</f>
        <v>08-01-2025 to 14-01-2025</v>
      </c>
      <c r="E238" t="str">
        <f>IF(COUNTIF('Top5'!I:I, D238) &gt; 0, "Yes", "No")</f>
        <v>No</v>
      </c>
    </row>
    <row r="239" spans="1:5">
      <c r="A239" s="1">
        <v>45666</v>
      </c>
      <c r="B239" s="6">
        <v>1.3888888888888888E-2</v>
      </c>
      <c r="C239" s="10" t="s">
        <v>70</v>
      </c>
      <c r="D239" t="str" cm="1">
        <f t="array" ref="D239">INDEX($H$2:$H$35, MATCH(1, (A239 &gt;= $F$2:$F$35) * (A239 &lt;= $G$2:$G$35), 0))</f>
        <v>08-01-2025 to 14-01-2025</v>
      </c>
      <c r="E239" t="str">
        <f>IF(COUNTIF('Top5'!I:I, D239) &gt; 0, "Yes", "No")</f>
        <v>No</v>
      </c>
    </row>
    <row r="240" spans="1:5">
      <c r="A240" s="1">
        <v>45666</v>
      </c>
      <c r="B240" s="6">
        <v>0.43819444444444444</v>
      </c>
      <c r="C240" s="10" t="s">
        <v>22</v>
      </c>
      <c r="D240" t="str" cm="1">
        <f t="array" ref="D240">INDEX($H$2:$H$35, MATCH(1, (A240 &gt;= $F$2:$F$35) * (A240 &lt;= $G$2:$G$35), 0))</f>
        <v>08-01-2025 to 14-01-2025</v>
      </c>
      <c r="E240" t="str">
        <f>IF(COUNTIF('Top5'!I:I, D240) &gt; 0, "Yes", "No")</f>
        <v>No</v>
      </c>
    </row>
    <row r="241" spans="1:5">
      <c r="A241" s="1">
        <v>45666</v>
      </c>
      <c r="B241" s="6">
        <v>0.43819444444444444</v>
      </c>
      <c r="C241" s="10" t="s">
        <v>22</v>
      </c>
      <c r="D241" t="str" cm="1">
        <f t="array" ref="D241">INDEX($H$2:$H$35, MATCH(1, (A241 &gt;= $F$2:$F$35) * (A241 &lt;= $G$2:$G$35), 0))</f>
        <v>08-01-2025 to 14-01-2025</v>
      </c>
      <c r="E241" t="str">
        <f>IF(COUNTIF('Top5'!I:I, D241) &gt; 0, "Yes", "No")</f>
        <v>No</v>
      </c>
    </row>
    <row r="242" spans="1:5">
      <c r="A242" s="1">
        <v>45666</v>
      </c>
      <c r="B242" s="6">
        <v>0.44444444444444442</v>
      </c>
      <c r="C242" s="10" t="s">
        <v>22</v>
      </c>
      <c r="D242" t="str" cm="1">
        <f t="array" ref="D242">INDEX($H$2:$H$35, MATCH(1, (A242 &gt;= $F$2:$F$35) * (A242 &lt;= $G$2:$G$35), 0))</f>
        <v>08-01-2025 to 14-01-2025</v>
      </c>
      <c r="E242" t="str">
        <f>IF(COUNTIF('Top5'!I:I, D242) &gt; 0, "Yes", "No")</f>
        <v>No</v>
      </c>
    </row>
    <row r="243" spans="1:5">
      <c r="A243" s="1">
        <v>45666</v>
      </c>
      <c r="B243" s="6">
        <v>0.4513888888888889</v>
      </c>
      <c r="C243" s="10" t="s">
        <v>22</v>
      </c>
      <c r="D243" t="str" cm="1">
        <f t="array" ref="D243">INDEX($H$2:$H$35, MATCH(1, (A243 &gt;= $F$2:$F$35) * (A243 &lt;= $G$2:$G$35), 0))</f>
        <v>08-01-2025 to 14-01-2025</v>
      </c>
      <c r="E243" t="str">
        <f>IF(COUNTIF('Top5'!I:I, D243) &gt; 0, "Yes", "No")</f>
        <v>No</v>
      </c>
    </row>
    <row r="244" spans="1:5">
      <c r="A244" s="1">
        <v>45666</v>
      </c>
      <c r="B244" s="6">
        <v>0.76180555555555551</v>
      </c>
      <c r="C244" s="10" t="s">
        <v>70</v>
      </c>
      <c r="D244" t="str" cm="1">
        <f t="array" ref="D244">INDEX($H$2:$H$35, MATCH(1, (A244 &gt;= $F$2:$F$35) * (A244 &lt;= $G$2:$G$35), 0))</f>
        <v>08-01-2025 to 14-01-2025</v>
      </c>
      <c r="E244" t="str">
        <f>IF(COUNTIF('Top5'!I:I, D244) &gt; 0, "Yes", "No")</f>
        <v>No</v>
      </c>
    </row>
    <row r="245" spans="1:5">
      <c r="A245" s="1">
        <v>45666</v>
      </c>
      <c r="B245" s="6">
        <v>0.80555555555555558</v>
      </c>
      <c r="C245" s="10" t="s">
        <v>70</v>
      </c>
      <c r="D245" t="str" cm="1">
        <f t="array" ref="D245">INDEX($H$2:$H$35, MATCH(1, (A245 &gt;= $F$2:$F$35) * (A245 &lt;= $G$2:$G$35), 0))</f>
        <v>08-01-2025 to 14-01-2025</v>
      </c>
      <c r="E245" t="str">
        <f>IF(COUNTIF('Top5'!I:I, D245) &gt; 0, "Yes", "No")</f>
        <v>No</v>
      </c>
    </row>
    <row r="246" spans="1:5">
      <c r="A246" s="1">
        <v>45667</v>
      </c>
      <c r="B246" s="6">
        <v>4.1666666666666666E-3</v>
      </c>
      <c r="C246" s="10" t="s">
        <v>70</v>
      </c>
      <c r="D246" t="str" cm="1">
        <f t="array" ref="D246">INDEX($H$2:$H$35, MATCH(1, (A246 &gt;= $F$2:$F$35) * (A246 &lt;= $G$2:$G$35), 0))</f>
        <v>08-01-2025 to 14-01-2025</v>
      </c>
      <c r="E246" t="str">
        <f>IF(COUNTIF('Top5'!I:I, D246) &gt; 0, "Yes", "No")</f>
        <v>No</v>
      </c>
    </row>
    <row r="247" spans="1:5">
      <c r="A247" s="1">
        <v>45667</v>
      </c>
      <c r="B247" s="6">
        <v>0.48472222222222222</v>
      </c>
      <c r="C247" s="10" t="s">
        <v>22</v>
      </c>
      <c r="D247" t="str" cm="1">
        <f t="array" ref="D247">INDEX($H$2:$H$35, MATCH(1, (A247 &gt;= $F$2:$F$35) * (A247 &lt;= $G$2:$G$35), 0))</f>
        <v>08-01-2025 to 14-01-2025</v>
      </c>
      <c r="E247" t="str">
        <f>IF(COUNTIF('Top5'!I:I, D247) &gt; 0, "Yes", "No")</f>
        <v>No</v>
      </c>
    </row>
    <row r="248" spans="1:5">
      <c r="A248" s="1">
        <v>45667</v>
      </c>
      <c r="B248" s="6">
        <v>0.48472222222222222</v>
      </c>
      <c r="C248" s="10" t="s">
        <v>22</v>
      </c>
      <c r="D248" t="str" cm="1">
        <f t="array" ref="D248">INDEX($H$2:$H$35, MATCH(1, (A248 &gt;= $F$2:$F$35) * (A248 &lt;= $G$2:$G$35), 0))</f>
        <v>08-01-2025 to 14-01-2025</v>
      </c>
      <c r="E248" t="str">
        <f>IF(COUNTIF('Top5'!I:I, D248) &gt; 0, "Yes", "No")</f>
        <v>No</v>
      </c>
    </row>
    <row r="249" spans="1:5">
      <c r="A249" s="1">
        <v>45667</v>
      </c>
      <c r="B249" s="6">
        <v>0.75277777777777777</v>
      </c>
      <c r="C249" s="10" t="s">
        <v>70</v>
      </c>
      <c r="D249" t="str" cm="1">
        <f t="array" ref="D249">INDEX($H$2:$H$35, MATCH(1, (A249 &gt;= $F$2:$F$35) * (A249 &lt;= $G$2:$G$35), 0))</f>
        <v>08-01-2025 to 14-01-2025</v>
      </c>
      <c r="E249" t="str">
        <f>IF(COUNTIF('Top5'!I:I, D249) &gt; 0, "Yes", "No")</f>
        <v>No</v>
      </c>
    </row>
    <row r="250" spans="1:5">
      <c r="A250" s="1">
        <v>45667</v>
      </c>
      <c r="B250" s="6">
        <v>0.77361111111111114</v>
      </c>
      <c r="C250" s="10" t="s">
        <v>70</v>
      </c>
      <c r="D250" t="str" cm="1">
        <f t="array" ref="D250">INDEX($H$2:$H$35, MATCH(1, (A250 &gt;= $F$2:$F$35) * (A250 &lt;= $G$2:$G$35), 0))</f>
        <v>08-01-2025 to 14-01-2025</v>
      </c>
      <c r="E250" t="str">
        <f>IF(COUNTIF('Top5'!I:I, D250) &gt; 0, "Yes", "No")</f>
        <v>No</v>
      </c>
    </row>
    <row r="251" spans="1:5">
      <c r="A251" s="1">
        <v>45667</v>
      </c>
      <c r="B251" s="6">
        <v>0.77569444444444446</v>
      </c>
      <c r="C251" s="10" t="s">
        <v>70</v>
      </c>
      <c r="D251" t="str" cm="1">
        <f t="array" ref="D251">INDEX($H$2:$H$35, MATCH(1, (A251 &gt;= $F$2:$F$35) * (A251 &lt;= $G$2:$G$35), 0))</f>
        <v>08-01-2025 to 14-01-2025</v>
      </c>
      <c r="E251" t="str">
        <f>IF(COUNTIF('Top5'!I:I, D251) &gt; 0, "Yes", "No")</f>
        <v>No</v>
      </c>
    </row>
    <row r="252" spans="1:5">
      <c r="A252" s="1">
        <v>45667</v>
      </c>
      <c r="B252" s="6">
        <v>0.78888888888888886</v>
      </c>
      <c r="C252" s="10" t="s">
        <v>70</v>
      </c>
      <c r="D252" t="str" cm="1">
        <f t="array" ref="D252">INDEX($H$2:$H$35, MATCH(1, (A252 &gt;= $F$2:$F$35) * (A252 &lt;= $G$2:$G$35), 0))</f>
        <v>08-01-2025 to 14-01-2025</v>
      </c>
      <c r="E252" t="str">
        <f>IF(COUNTIF('Top5'!I:I, D252) &gt; 0, "Yes", "No")</f>
        <v>No</v>
      </c>
    </row>
    <row r="253" spans="1:5">
      <c r="A253" s="1">
        <v>45668</v>
      </c>
      <c r="B253" s="6">
        <v>1.3888888888888889E-3</v>
      </c>
      <c r="C253" s="10" t="s">
        <v>70</v>
      </c>
      <c r="D253" t="str" cm="1">
        <f t="array" ref="D253">INDEX($H$2:$H$35, MATCH(1, (A253 &gt;= $F$2:$F$35) * (A253 &lt;= $G$2:$G$35), 0))</f>
        <v>08-01-2025 to 14-01-2025</v>
      </c>
      <c r="E253" t="str">
        <f>IF(COUNTIF('Top5'!I:I, D253) &gt; 0, "Yes", "No")</f>
        <v>No</v>
      </c>
    </row>
    <row r="254" spans="1:5">
      <c r="A254" s="1">
        <v>45668</v>
      </c>
      <c r="B254" s="6">
        <v>2.0833333333333333E-3</v>
      </c>
      <c r="C254" s="10" t="s">
        <v>70</v>
      </c>
      <c r="D254" t="str" cm="1">
        <f t="array" ref="D254">INDEX($H$2:$H$35, MATCH(1, (A254 &gt;= $F$2:$F$35) * (A254 &lt;= $G$2:$G$35), 0))</f>
        <v>08-01-2025 to 14-01-2025</v>
      </c>
      <c r="E254" t="str">
        <f>IF(COUNTIF('Top5'!I:I, D254) &gt; 0, "Yes", "No")</f>
        <v>No</v>
      </c>
    </row>
    <row r="255" spans="1:5">
      <c r="A255" s="1">
        <v>45668</v>
      </c>
      <c r="B255" s="6">
        <v>2.0833333333333333E-3</v>
      </c>
      <c r="C255" s="10" t="s">
        <v>70</v>
      </c>
      <c r="D255" t="str" cm="1">
        <f t="array" ref="D255">INDEX($H$2:$H$35, MATCH(1, (A255 &gt;= $F$2:$F$35) * (A255 &lt;= $G$2:$G$35), 0))</f>
        <v>08-01-2025 to 14-01-2025</v>
      </c>
      <c r="E255" t="str">
        <f>IF(COUNTIF('Top5'!I:I, D255) &gt; 0, "Yes", "No")</f>
        <v>No</v>
      </c>
    </row>
    <row r="256" spans="1:5">
      <c r="A256" s="1">
        <v>45668</v>
      </c>
      <c r="B256" s="6">
        <v>3.472222222222222E-3</v>
      </c>
      <c r="C256" s="10" t="s">
        <v>70</v>
      </c>
      <c r="D256" t="str" cm="1">
        <f t="array" ref="D256">INDEX($H$2:$H$35, MATCH(1, (A256 &gt;= $F$2:$F$35) * (A256 &lt;= $G$2:$G$35), 0))</f>
        <v>08-01-2025 to 14-01-2025</v>
      </c>
      <c r="E256" t="str">
        <f>IF(COUNTIF('Top5'!I:I, D256) &gt; 0, "Yes", "No")</f>
        <v>No</v>
      </c>
    </row>
    <row r="257" spans="1:5">
      <c r="A257" s="1">
        <v>45668</v>
      </c>
      <c r="B257" s="6">
        <v>6.9444444444444441E-3</v>
      </c>
      <c r="C257" s="10" t="s">
        <v>70</v>
      </c>
      <c r="D257" t="str" cm="1">
        <f t="array" ref="D257">INDEX($H$2:$H$35, MATCH(1, (A257 &gt;= $F$2:$F$35) * (A257 &lt;= $G$2:$G$35), 0))</f>
        <v>08-01-2025 to 14-01-2025</v>
      </c>
      <c r="E257" t="str">
        <f>IF(COUNTIF('Top5'!I:I, D257) &gt; 0, "Yes", "No")</f>
        <v>No</v>
      </c>
    </row>
    <row r="258" spans="1:5">
      <c r="A258" s="1">
        <v>45668</v>
      </c>
      <c r="B258" s="6">
        <v>7.6388888888888886E-3</v>
      </c>
      <c r="C258" s="10" t="s">
        <v>70</v>
      </c>
      <c r="D258" t="str" cm="1">
        <f t="array" ref="D258">INDEX($H$2:$H$35, MATCH(1, (A258 &gt;= $F$2:$F$35) * (A258 &lt;= $G$2:$G$35), 0))</f>
        <v>08-01-2025 to 14-01-2025</v>
      </c>
      <c r="E258" t="str">
        <f>IF(COUNTIF('Top5'!I:I, D258) &gt; 0, "Yes", "No")</f>
        <v>No</v>
      </c>
    </row>
    <row r="259" spans="1:5">
      <c r="A259" s="1">
        <v>45668</v>
      </c>
      <c r="B259" s="6">
        <v>8.3333333333333332E-3</v>
      </c>
      <c r="C259" s="10" t="s">
        <v>70</v>
      </c>
      <c r="D259" t="str" cm="1">
        <f t="array" ref="D259">INDEX($H$2:$H$35, MATCH(1, (A259 &gt;= $F$2:$F$35) * (A259 &lt;= $G$2:$G$35), 0))</f>
        <v>08-01-2025 to 14-01-2025</v>
      </c>
      <c r="E259" t="str">
        <f>IF(COUNTIF('Top5'!I:I, D259) &gt; 0, "Yes", "No")</f>
        <v>No</v>
      </c>
    </row>
    <row r="260" spans="1:5">
      <c r="A260" s="1">
        <v>45668</v>
      </c>
      <c r="B260" s="6">
        <v>0.54583333333333328</v>
      </c>
      <c r="C260" s="10" t="s">
        <v>71</v>
      </c>
      <c r="D260" t="str" cm="1">
        <f t="array" ref="D260">INDEX($H$2:$H$35, MATCH(1, (A260 &gt;= $F$2:$F$35) * (A260 &lt;= $G$2:$G$35), 0))</f>
        <v>08-01-2025 to 14-01-2025</v>
      </c>
      <c r="E260" t="str">
        <f>IF(COUNTIF('Top5'!I:I, D260) &gt; 0, "Yes", "No")</f>
        <v>No</v>
      </c>
    </row>
    <row r="261" spans="1:5">
      <c r="A261" s="1">
        <v>45668</v>
      </c>
      <c r="B261" s="6">
        <v>0.54583333333333328</v>
      </c>
      <c r="C261" s="10" t="s">
        <v>71</v>
      </c>
      <c r="D261" t="str" cm="1">
        <f t="array" ref="D261">INDEX($H$2:$H$35, MATCH(1, (A261 &gt;= $F$2:$F$35) * (A261 &lt;= $G$2:$G$35), 0))</f>
        <v>08-01-2025 to 14-01-2025</v>
      </c>
      <c r="E261" t="str">
        <f>IF(COUNTIF('Top5'!I:I, D261) &gt; 0, "Yes", "No")</f>
        <v>No</v>
      </c>
    </row>
    <row r="262" spans="1:5">
      <c r="A262" s="1">
        <v>45668</v>
      </c>
      <c r="B262" s="6">
        <v>0.55902777777777779</v>
      </c>
      <c r="C262" s="10" t="s">
        <v>71</v>
      </c>
      <c r="D262" t="str" cm="1">
        <f t="array" ref="D262">INDEX($H$2:$H$35, MATCH(1, (A262 &gt;= $F$2:$F$35) * (A262 &lt;= $G$2:$G$35), 0))</f>
        <v>08-01-2025 to 14-01-2025</v>
      </c>
      <c r="E262" t="str">
        <f>IF(COUNTIF('Top5'!I:I, D262) &gt; 0, "Yes", "No")</f>
        <v>No</v>
      </c>
    </row>
    <row r="263" spans="1:5">
      <c r="A263" s="1">
        <v>45668</v>
      </c>
      <c r="B263" s="6">
        <v>0.72152777777777777</v>
      </c>
      <c r="C263" s="10" t="s">
        <v>70</v>
      </c>
      <c r="D263" t="str" cm="1">
        <f t="array" ref="D263">INDEX($H$2:$H$35, MATCH(1, (A263 &gt;= $F$2:$F$35) * (A263 &lt;= $G$2:$G$35), 0))</f>
        <v>08-01-2025 to 14-01-2025</v>
      </c>
      <c r="E263" t="str">
        <f>IF(COUNTIF('Top5'!I:I, D263) &gt; 0, "Yes", "No")</f>
        <v>No</v>
      </c>
    </row>
    <row r="264" spans="1:5">
      <c r="A264" s="1">
        <v>45668</v>
      </c>
      <c r="B264" s="6">
        <v>0.76041666666666663</v>
      </c>
      <c r="C264" s="10" t="s">
        <v>70</v>
      </c>
      <c r="D264" t="str" cm="1">
        <f t="array" ref="D264">INDEX($H$2:$H$35, MATCH(1, (A264 &gt;= $F$2:$F$35) * (A264 &lt;= $G$2:$G$35), 0))</f>
        <v>08-01-2025 to 14-01-2025</v>
      </c>
      <c r="E264" t="str">
        <f>IF(COUNTIF('Top5'!I:I, D264) &gt; 0, "Yes", "No")</f>
        <v>No</v>
      </c>
    </row>
    <row r="265" spans="1:5">
      <c r="A265" s="1">
        <v>45668</v>
      </c>
      <c r="B265" s="6">
        <v>0.76111111111111107</v>
      </c>
      <c r="C265" s="10" t="s">
        <v>70</v>
      </c>
      <c r="D265" t="str" cm="1">
        <f t="array" ref="D265">INDEX($H$2:$H$35, MATCH(1, (A265 &gt;= $F$2:$F$35) * (A265 &lt;= $G$2:$G$35), 0))</f>
        <v>08-01-2025 to 14-01-2025</v>
      </c>
      <c r="E265" t="str">
        <f>IF(COUNTIF('Top5'!I:I, D265) &gt; 0, "Yes", "No")</f>
        <v>No</v>
      </c>
    </row>
    <row r="266" spans="1:5">
      <c r="A266" s="1">
        <v>45668</v>
      </c>
      <c r="B266" s="6">
        <v>0.80208333333333337</v>
      </c>
      <c r="C266" s="10" t="s">
        <v>70</v>
      </c>
      <c r="D266" t="str" cm="1">
        <f t="array" ref="D266">INDEX($H$2:$H$35, MATCH(1, (A266 &gt;= $F$2:$F$35) * (A266 &lt;= $G$2:$G$35), 0))</f>
        <v>08-01-2025 to 14-01-2025</v>
      </c>
      <c r="E266" t="str">
        <f>IF(COUNTIF('Top5'!I:I, D266) &gt; 0, "Yes", "No")</f>
        <v>No</v>
      </c>
    </row>
    <row r="267" spans="1:5">
      <c r="A267" s="1">
        <v>45668</v>
      </c>
      <c r="B267" s="6">
        <v>0.96736111111111112</v>
      </c>
      <c r="C267" s="10" t="s">
        <v>70</v>
      </c>
      <c r="D267" t="str" cm="1">
        <f t="array" ref="D267">INDEX($H$2:$H$35, MATCH(1, (A267 &gt;= $F$2:$F$35) * (A267 &lt;= $G$2:$G$35), 0))</f>
        <v>08-01-2025 to 14-01-2025</v>
      </c>
      <c r="E267" t="str">
        <f>IF(COUNTIF('Top5'!I:I, D267) &gt; 0, "Yes", "No")</f>
        <v>No</v>
      </c>
    </row>
    <row r="268" spans="1:5">
      <c r="A268" s="1">
        <v>45669</v>
      </c>
      <c r="B268" s="6">
        <v>6.9444444444444447E-4</v>
      </c>
      <c r="C268" s="10" t="s">
        <v>70</v>
      </c>
      <c r="D268" t="str" cm="1">
        <f t="array" ref="D268">INDEX($H$2:$H$35, MATCH(1, (A268 &gt;= $F$2:$F$35) * (A268 &lt;= $G$2:$G$35), 0))</f>
        <v>08-01-2025 to 14-01-2025</v>
      </c>
      <c r="E268" t="str">
        <f>IF(COUNTIF('Top5'!I:I, D268) &gt; 0, "Yes", "No")</f>
        <v>No</v>
      </c>
    </row>
    <row r="269" spans="1:5">
      <c r="A269" s="1">
        <v>45669</v>
      </c>
      <c r="B269" s="6">
        <v>6.2500000000000003E-3</v>
      </c>
      <c r="C269" s="10" t="s">
        <v>70</v>
      </c>
      <c r="D269" t="str" cm="1">
        <f t="array" ref="D269">INDEX($H$2:$H$35, MATCH(1, (A269 &gt;= $F$2:$F$35) * (A269 &lt;= $G$2:$G$35), 0))</f>
        <v>08-01-2025 to 14-01-2025</v>
      </c>
      <c r="E269" t="str">
        <f>IF(COUNTIF('Top5'!I:I, D269) &gt; 0, "Yes", "No")</f>
        <v>No</v>
      </c>
    </row>
    <row r="270" spans="1:5">
      <c r="A270" s="1">
        <v>45669</v>
      </c>
      <c r="B270" s="6">
        <v>6.2500000000000003E-3</v>
      </c>
      <c r="C270" s="10" t="s">
        <v>70</v>
      </c>
      <c r="D270" t="str" cm="1">
        <f t="array" ref="D270">INDEX($H$2:$H$35, MATCH(1, (A270 &gt;= $F$2:$F$35) * (A270 &lt;= $G$2:$G$35), 0))</f>
        <v>08-01-2025 to 14-01-2025</v>
      </c>
      <c r="E270" t="str">
        <f>IF(COUNTIF('Top5'!I:I, D270) &gt; 0, "Yes", "No")</f>
        <v>No</v>
      </c>
    </row>
    <row r="271" spans="1:5">
      <c r="A271" s="1">
        <v>45669</v>
      </c>
      <c r="B271" s="6">
        <v>6.9444444444444441E-3</v>
      </c>
      <c r="C271" s="10" t="s">
        <v>70</v>
      </c>
      <c r="D271" t="str" cm="1">
        <f t="array" ref="D271">INDEX($H$2:$H$35, MATCH(1, (A271 &gt;= $F$2:$F$35) * (A271 &lt;= $G$2:$G$35), 0))</f>
        <v>08-01-2025 to 14-01-2025</v>
      </c>
      <c r="E271" t="str">
        <f>IF(COUNTIF('Top5'!I:I, D271) &gt; 0, "Yes", "No")</f>
        <v>No</v>
      </c>
    </row>
    <row r="272" spans="1:5">
      <c r="A272" s="1">
        <v>45669</v>
      </c>
      <c r="B272" s="6">
        <v>0.5805555555555556</v>
      </c>
      <c r="C272" s="10" t="s">
        <v>71</v>
      </c>
      <c r="D272" t="str" cm="1">
        <f t="array" ref="D272">INDEX($H$2:$H$35, MATCH(1, (A272 &gt;= $F$2:$F$35) * (A272 &lt;= $G$2:$G$35), 0))</f>
        <v>08-01-2025 to 14-01-2025</v>
      </c>
      <c r="E272" t="str">
        <f>IF(COUNTIF('Top5'!I:I, D272) &gt; 0, "Yes", "No")</f>
        <v>No</v>
      </c>
    </row>
    <row r="273" spans="1:5">
      <c r="A273" s="1">
        <v>45669</v>
      </c>
      <c r="B273" s="6">
        <v>0.80833333333333335</v>
      </c>
      <c r="C273" s="10" t="s">
        <v>70</v>
      </c>
      <c r="D273" t="str" cm="1">
        <f t="array" ref="D273">INDEX($H$2:$H$35, MATCH(1, (A273 &gt;= $F$2:$F$35) * (A273 &lt;= $G$2:$G$35), 0))</f>
        <v>08-01-2025 to 14-01-2025</v>
      </c>
      <c r="E273" t="str">
        <f>IF(COUNTIF('Top5'!I:I, D273) &gt; 0, "Yes", "No")</f>
        <v>No</v>
      </c>
    </row>
    <row r="274" spans="1:5">
      <c r="A274" s="1">
        <v>45670</v>
      </c>
      <c r="B274" s="6">
        <v>2.7777777777777779E-3</v>
      </c>
      <c r="C274" s="10" t="s">
        <v>70</v>
      </c>
      <c r="D274" t="str" cm="1">
        <f t="array" ref="D274">INDEX($H$2:$H$35, MATCH(1, (A274 &gt;= $F$2:$F$35) * (A274 &lt;= $G$2:$G$35), 0))</f>
        <v>08-01-2025 to 14-01-2025</v>
      </c>
      <c r="E274" t="str">
        <f>IF(COUNTIF('Top5'!I:I, D274) &gt; 0, "Yes", "No")</f>
        <v>No</v>
      </c>
    </row>
    <row r="275" spans="1:5">
      <c r="A275" s="1">
        <v>45670</v>
      </c>
      <c r="B275" s="6">
        <v>2.7777777777777779E-3</v>
      </c>
      <c r="C275" s="10" t="s">
        <v>70</v>
      </c>
      <c r="D275" t="str" cm="1">
        <f t="array" ref="D275">INDEX($H$2:$H$35, MATCH(1, (A275 &gt;= $F$2:$F$35) * (A275 &lt;= $G$2:$G$35), 0))</f>
        <v>08-01-2025 to 14-01-2025</v>
      </c>
      <c r="E275" t="str">
        <f>IF(COUNTIF('Top5'!I:I, D275) &gt; 0, "Yes", "No")</f>
        <v>No</v>
      </c>
    </row>
    <row r="276" spans="1:5">
      <c r="A276" s="1">
        <v>45670</v>
      </c>
      <c r="B276" s="6">
        <v>2.7777777777777779E-3</v>
      </c>
      <c r="C276" s="10" t="s">
        <v>70</v>
      </c>
      <c r="D276" t="str" cm="1">
        <f t="array" ref="D276">INDEX($H$2:$H$35, MATCH(1, (A276 &gt;= $F$2:$F$35) * (A276 &lt;= $G$2:$G$35), 0))</f>
        <v>08-01-2025 to 14-01-2025</v>
      </c>
      <c r="E276" t="str">
        <f>IF(COUNTIF('Top5'!I:I, D276) &gt; 0, "Yes", "No")</f>
        <v>No</v>
      </c>
    </row>
    <row r="277" spans="1:5">
      <c r="A277" s="1">
        <v>45670</v>
      </c>
      <c r="B277" s="6">
        <v>3.472222222222222E-3</v>
      </c>
      <c r="C277" s="10" t="s">
        <v>70</v>
      </c>
      <c r="D277" t="str" cm="1">
        <f t="array" ref="D277">INDEX($H$2:$H$35, MATCH(1, (A277 &gt;= $F$2:$F$35) * (A277 &lt;= $G$2:$G$35), 0))</f>
        <v>08-01-2025 to 14-01-2025</v>
      </c>
      <c r="E277" t="str">
        <f>IF(COUNTIF('Top5'!I:I, D277) &gt; 0, "Yes", "No")</f>
        <v>No</v>
      </c>
    </row>
    <row r="278" spans="1:5">
      <c r="A278" s="1">
        <v>45670</v>
      </c>
      <c r="B278" s="6">
        <v>4.1666666666666666E-3</v>
      </c>
      <c r="C278" s="10" t="s">
        <v>70</v>
      </c>
      <c r="D278" t="str" cm="1">
        <f t="array" ref="D278">INDEX($H$2:$H$35, MATCH(1, (A278 &gt;= $F$2:$F$35) * (A278 &lt;= $G$2:$G$35), 0))</f>
        <v>08-01-2025 to 14-01-2025</v>
      </c>
      <c r="E278" t="str">
        <f>IF(COUNTIF('Top5'!I:I, D278) &gt; 0, "Yes", "No")</f>
        <v>No</v>
      </c>
    </row>
    <row r="279" spans="1:5">
      <c r="A279" s="1">
        <v>45670</v>
      </c>
      <c r="B279" s="6">
        <v>4.1666666666666666E-3</v>
      </c>
      <c r="C279" s="10" t="s">
        <v>70</v>
      </c>
      <c r="D279" t="str" cm="1">
        <f t="array" ref="D279">INDEX($H$2:$H$35, MATCH(1, (A279 &gt;= $F$2:$F$35) * (A279 &lt;= $G$2:$G$35), 0))</f>
        <v>08-01-2025 to 14-01-2025</v>
      </c>
      <c r="E279" t="str">
        <f>IF(COUNTIF('Top5'!I:I, D279) &gt; 0, "Yes", "No")</f>
        <v>No</v>
      </c>
    </row>
    <row r="280" spans="1:5">
      <c r="A280" s="1">
        <v>45670</v>
      </c>
      <c r="B280" s="6">
        <v>4.1666666666666666E-3</v>
      </c>
      <c r="C280" s="10" t="s">
        <v>70</v>
      </c>
      <c r="D280" t="str" cm="1">
        <f t="array" ref="D280">INDEX($H$2:$H$35, MATCH(1, (A280 &gt;= $F$2:$F$35) * (A280 &lt;= $G$2:$G$35), 0))</f>
        <v>08-01-2025 to 14-01-2025</v>
      </c>
      <c r="E280" t="str">
        <f>IF(COUNTIF('Top5'!I:I, D280) &gt; 0, "Yes", "No")</f>
        <v>No</v>
      </c>
    </row>
    <row r="281" spans="1:5">
      <c r="A281" s="1">
        <v>45670</v>
      </c>
      <c r="B281" s="6">
        <v>4.1666666666666666E-3</v>
      </c>
      <c r="C281" s="10" t="s">
        <v>70</v>
      </c>
      <c r="D281" t="str" cm="1">
        <f t="array" ref="D281">INDEX($H$2:$H$35, MATCH(1, (A281 &gt;= $F$2:$F$35) * (A281 &lt;= $G$2:$G$35), 0))</f>
        <v>08-01-2025 to 14-01-2025</v>
      </c>
      <c r="E281" t="str">
        <f>IF(COUNTIF('Top5'!I:I, D281) &gt; 0, "Yes", "No")</f>
        <v>No</v>
      </c>
    </row>
    <row r="282" spans="1:5">
      <c r="A282" s="1">
        <v>45670</v>
      </c>
      <c r="B282" s="6">
        <v>4.8611111111111112E-3</v>
      </c>
      <c r="C282" s="10" t="s">
        <v>70</v>
      </c>
      <c r="D282" t="str" cm="1">
        <f t="array" ref="D282">INDEX($H$2:$H$35, MATCH(1, (A282 &gt;= $F$2:$F$35) * (A282 &lt;= $G$2:$G$35), 0))</f>
        <v>08-01-2025 to 14-01-2025</v>
      </c>
      <c r="E282" t="str">
        <f>IF(COUNTIF('Top5'!I:I, D282) &gt; 0, "Yes", "No")</f>
        <v>No</v>
      </c>
    </row>
    <row r="283" spans="1:5">
      <c r="A283" s="1">
        <v>45670</v>
      </c>
      <c r="B283" s="6">
        <v>5.5555555555555558E-3</v>
      </c>
      <c r="C283" s="10" t="s">
        <v>70</v>
      </c>
      <c r="D283" t="str" cm="1">
        <f t="array" ref="D283">INDEX($H$2:$H$35, MATCH(1, (A283 &gt;= $F$2:$F$35) * (A283 &lt;= $G$2:$G$35), 0))</f>
        <v>08-01-2025 to 14-01-2025</v>
      </c>
      <c r="E283" t="str">
        <f>IF(COUNTIF('Top5'!I:I, D283) &gt; 0, "Yes", "No")</f>
        <v>No</v>
      </c>
    </row>
    <row r="284" spans="1:5">
      <c r="A284" s="1">
        <v>45670</v>
      </c>
      <c r="B284" s="6">
        <v>6.2500000000000003E-3</v>
      </c>
      <c r="C284" s="10" t="s">
        <v>70</v>
      </c>
      <c r="D284" t="str" cm="1">
        <f t="array" ref="D284">INDEX($H$2:$H$35, MATCH(1, (A284 &gt;= $F$2:$F$35) * (A284 &lt;= $G$2:$G$35), 0))</f>
        <v>08-01-2025 to 14-01-2025</v>
      </c>
      <c r="E284" t="str">
        <f>IF(COUNTIF('Top5'!I:I, D284) &gt; 0, "Yes", "No")</f>
        <v>No</v>
      </c>
    </row>
    <row r="285" spans="1:5">
      <c r="A285" s="1">
        <v>45670</v>
      </c>
      <c r="B285" s="6">
        <v>6.9444444444444441E-3</v>
      </c>
      <c r="C285" s="10" t="s">
        <v>70</v>
      </c>
      <c r="D285" t="str" cm="1">
        <f t="array" ref="D285">INDEX($H$2:$H$35, MATCH(1, (A285 &gt;= $F$2:$F$35) * (A285 &lt;= $G$2:$G$35), 0))</f>
        <v>08-01-2025 to 14-01-2025</v>
      </c>
      <c r="E285" t="str">
        <f>IF(COUNTIF('Top5'!I:I, D285) &gt; 0, "Yes", "No")</f>
        <v>No</v>
      </c>
    </row>
    <row r="286" spans="1:5">
      <c r="A286" s="1">
        <v>45670</v>
      </c>
      <c r="B286" s="6">
        <v>6.9444444444444441E-3</v>
      </c>
      <c r="C286" s="10" t="s">
        <v>70</v>
      </c>
      <c r="D286" t="str" cm="1">
        <f t="array" ref="D286">INDEX($H$2:$H$35, MATCH(1, (A286 &gt;= $F$2:$F$35) * (A286 &lt;= $G$2:$G$35), 0))</f>
        <v>08-01-2025 to 14-01-2025</v>
      </c>
      <c r="E286" t="str">
        <f>IF(COUNTIF('Top5'!I:I, D286) &gt; 0, "Yes", "No")</f>
        <v>No</v>
      </c>
    </row>
    <row r="287" spans="1:5">
      <c r="A287" s="1">
        <v>45670</v>
      </c>
      <c r="B287" s="6">
        <v>7.6388888888888886E-3</v>
      </c>
      <c r="C287" s="10" t="s">
        <v>70</v>
      </c>
      <c r="D287" t="str" cm="1">
        <f t="array" ref="D287">INDEX($H$2:$H$35, MATCH(1, (A287 &gt;= $F$2:$F$35) * (A287 &lt;= $G$2:$G$35), 0))</f>
        <v>08-01-2025 to 14-01-2025</v>
      </c>
      <c r="E287" t="str">
        <f>IF(COUNTIF('Top5'!I:I, D287) &gt; 0, "Yes", "No")</f>
        <v>No</v>
      </c>
    </row>
    <row r="288" spans="1:5">
      <c r="A288" s="1">
        <v>45670</v>
      </c>
      <c r="B288" s="6">
        <v>7.6388888888888886E-3</v>
      </c>
      <c r="C288" s="10" t="s">
        <v>70</v>
      </c>
      <c r="D288" t="str" cm="1">
        <f t="array" ref="D288">INDEX($H$2:$H$35, MATCH(1, (A288 &gt;= $F$2:$F$35) * (A288 &lt;= $G$2:$G$35), 0))</f>
        <v>08-01-2025 to 14-01-2025</v>
      </c>
      <c r="E288" t="str">
        <f>IF(COUNTIF('Top5'!I:I, D288) &gt; 0, "Yes", "No")</f>
        <v>No</v>
      </c>
    </row>
    <row r="289" spans="1:5">
      <c r="A289" s="1">
        <v>45670</v>
      </c>
      <c r="B289" s="6">
        <v>7.6388888888888886E-3</v>
      </c>
      <c r="C289" s="10" t="s">
        <v>70</v>
      </c>
      <c r="D289" t="str" cm="1">
        <f t="array" ref="D289">INDEX($H$2:$H$35, MATCH(1, (A289 &gt;= $F$2:$F$35) * (A289 &lt;= $G$2:$G$35), 0))</f>
        <v>08-01-2025 to 14-01-2025</v>
      </c>
      <c r="E289" t="str">
        <f>IF(COUNTIF('Top5'!I:I, D289) &gt; 0, "Yes", "No")</f>
        <v>No</v>
      </c>
    </row>
    <row r="290" spans="1:5">
      <c r="A290" s="1">
        <v>45670</v>
      </c>
      <c r="B290" s="6">
        <v>9.0277777777777769E-3</v>
      </c>
      <c r="C290" s="10" t="s">
        <v>70</v>
      </c>
      <c r="D290" t="str" cm="1">
        <f t="array" ref="D290">INDEX($H$2:$H$35, MATCH(1, (A290 &gt;= $F$2:$F$35) * (A290 &lt;= $G$2:$G$35), 0))</f>
        <v>08-01-2025 to 14-01-2025</v>
      </c>
      <c r="E290" t="str">
        <f>IF(COUNTIF('Top5'!I:I, D290) &gt; 0, "Yes", "No")</f>
        <v>No</v>
      </c>
    </row>
    <row r="291" spans="1:5">
      <c r="A291" s="1">
        <v>45670</v>
      </c>
      <c r="B291" s="6">
        <v>9.7222222222222224E-3</v>
      </c>
      <c r="C291" s="10" t="s">
        <v>70</v>
      </c>
      <c r="D291" t="str" cm="1">
        <f t="array" ref="D291">INDEX($H$2:$H$35, MATCH(1, (A291 &gt;= $F$2:$F$35) * (A291 &lt;= $G$2:$G$35), 0))</f>
        <v>08-01-2025 to 14-01-2025</v>
      </c>
      <c r="E291" t="str">
        <f>IF(COUNTIF('Top5'!I:I, D291) &gt; 0, "Yes", "No")</f>
        <v>No</v>
      </c>
    </row>
    <row r="292" spans="1:5">
      <c r="A292" s="1">
        <v>45670</v>
      </c>
      <c r="B292" s="6">
        <v>9.7222222222222224E-3</v>
      </c>
      <c r="C292" s="10" t="s">
        <v>70</v>
      </c>
      <c r="D292" t="str" cm="1">
        <f t="array" ref="D292">INDEX($H$2:$H$35, MATCH(1, (A292 &gt;= $F$2:$F$35) * (A292 &lt;= $G$2:$G$35), 0))</f>
        <v>08-01-2025 to 14-01-2025</v>
      </c>
      <c r="E292" t="str">
        <f>IF(COUNTIF('Top5'!I:I, D292) &gt; 0, "Yes", "No")</f>
        <v>No</v>
      </c>
    </row>
    <row r="293" spans="1:5">
      <c r="A293" s="1">
        <v>45670</v>
      </c>
      <c r="B293" s="6">
        <v>1.0416666666666666E-2</v>
      </c>
      <c r="C293" s="10" t="s">
        <v>70</v>
      </c>
      <c r="D293" t="str" cm="1">
        <f t="array" ref="D293">INDEX($H$2:$H$35, MATCH(1, (A293 &gt;= $F$2:$F$35) * (A293 &lt;= $G$2:$G$35), 0))</f>
        <v>08-01-2025 to 14-01-2025</v>
      </c>
      <c r="E293" t="str">
        <f>IF(COUNTIF('Top5'!I:I, D293) &gt; 0, "Yes", "No")</f>
        <v>No</v>
      </c>
    </row>
    <row r="294" spans="1:5">
      <c r="A294" s="1">
        <v>45670</v>
      </c>
      <c r="B294" s="6">
        <v>1.1111111111111112E-2</v>
      </c>
      <c r="C294" s="10" t="s">
        <v>70</v>
      </c>
      <c r="D294" t="str" cm="1">
        <f t="array" ref="D294">INDEX($H$2:$H$35, MATCH(1, (A294 &gt;= $F$2:$F$35) * (A294 &lt;= $G$2:$G$35), 0))</f>
        <v>08-01-2025 to 14-01-2025</v>
      </c>
      <c r="E294" t="str">
        <f>IF(COUNTIF('Top5'!I:I, D294) &gt; 0, "Yes", "No")</f>
        <v>No</v>
      </c>
    </row>
    <row r="295" spans="1:5">
      <c r="A295" s="1">
        <v>45670</v>
      </c>
      <c r="B295" s="6">
        <v>1.3888888888888888E-2</v>
      </c>
      <c r="C295" s="10" t="s">
        <v>70</v>
      </c>
      <c r="D295" t="str" cm="1">
        <f t="array" ref="D295">INDEX($H$2:$H$35, MATCH(1, (A295 &gt;= $F$2:$F$35) * (A295 &lt;= $G$2:$G$35), 0))</f>
        <v>08-01-2025 to 14-01-2025</v>
      </c>
      <c r="E295" t="str">
        <f>IF(COUNTIF('Top5'!I:I, D295) &gt; 0, "Yes", "No")</f>
        <v>No</v>
      </c>
    </row>
    <row r="296" spans="1:5">
      <c r="A296" s="1">
        <v>45670</v>
      </c>
      <c r="B296" s="6">
        <v>1.8749999999999999E-2</v>
      </c>
      <c r="C296" s="10" t="s">
        <v>70</v>
      </c>
      <c r="D296" t="str" cm="1">
        <f t="array" ref="D296">INDEX($H$2:$H$35, MATCH(1, (A296 &gt;= $F$2:$F$35) * (A296 &lt;= $G$2:$G$35), 0))</f>
        <v>08-01-2025 to 14-01-2025</v>
      </c>
      <c r="E296" t="str">
        <f>IF(COUNTIF('Top5'!I:I, D296) &gt; 0, "Yes", "No")</f>
        <v>No</v>
      </c>
    </row>
    <row r="297" spans="1:5">
      <c r="A297" s="1">
        <v>45670</v>
      </c>
      <c r="B297" s="6">
        <v>2.2222222222222223E-2</v>
      </c>
      <c r="C297" s="10" t="s">
        <v>70</v>
      </c>
      <c r="D297" t="str" cm="1">
        <f t="array" ref="D297">INDEX($H$2:$H$35, MATCH(1, (A297 &gt;= $F$2:$F$35) * (A297 &lt;= $G$2:$G$35), 0))</f>
        <v>08-01-2025 to 14-01-2025</v>
      </c>
      <c r="E297" t="str">
        <f>IF(COUNTIF('Top5'!I:I, D297) &gt; 0, "Yes", "No")</f>
        <v>No</v>
      </c>
    </row>
    <row r="298" spans="1:5">
      <c r="A298" s="1">
        <v>45670</v>
      </c>
      <c r="B298" s="6">
        <v>2.6388888888888889E-2</v>
      </c>
      <c r="C298" s="10" t="s">
        <v>70</v>
      </c>
      <c r="D298" t="str" cm="1">
        <f t="array" ref="D298">INDEX($H$2:$H$35, MATCH(1, (A298 &gt;= $F$2:$F$35) * (A298 &lt;= $G$2:$G$35), 0))</f>
        <v>08-01-2025 to 14-01-2025</v>
      </c>
      <c r="E298" t="str">
        <f>IF(COUNTIF('Top5'!I:I, D298) &gt; 0, "Yes", "No")</f>
        <v>No</v>
      </c>
    </row>
    <row r="299" spans="1:5">
      <c r="A299" s="1">
        <v>45670</v>
      </c>
      <c r="B299" s="6">
        <v>2.8472222222222222E-2</v>
      </c>
      <c r="C299" s="10" t="s">
        <v>70</v>
      </c>
      <c r="D299" t="str" cm="1">
        <f t="array" ref="D299">INDEX($H$2:$H$35, MATCH(1, (A299 &gt;= $F$2:$F$35) * (A299 &lt;= $G$2:$G$35), 0))</f>
        <v>08-01-2025 to 14-01-2025</v>
      </c>
      <c r="E299" t="str">
        <f>IF(COUNTIF('Top5'!I:I, D299) &gt; 0, "Yes", "No")</f>
        <v>No</v>
      </c>
    </row>
    <row r="300" spans="1:5">
      <c r="A300" s="1">
        <v>45670</v>
      </c>
      <c r="B300" s="6">
        <v>0.53541666666666665</v>
      </c>
      <c r="C300" s="10" t="s">
        <v>71</v>
      </c>
      <c r="D300" t="str" cm="1">
        <f t="array" ref="D300">INDEX($H$2:$H$35, MATCH(1, (A300 &gt;= $F$2:$F$35) * (A300 &lt;= $G$2:$G$35), 0))</f>
        <v>08-01-2025 to 14-01-2025</v>
      </c>
      <c r="E300" t="str">
        <f>IF(COUNTIF('Top5'!I:I, D300) &gt; 0, "Yes", "No")</f>
        <v>No</v>
      </c>
    </row>
    <row r="301" spans="1:5">
      <c r="A301" s="1">
        <v>45670</v>
      </c>
      <c r="B301" s="6">
        <v>0.53541666666666665</v>
      </c>
      <c r="C301" s="10" t="s">
        <v>71</v>
      </c>
      <c r="D301" t="str" cm="1">
        <f t="array" ref="D301">INDEX($H$2:$H$35, MATCH(1, (A301 &gt;= $F$2:$F$35) * (A301 &lt;= $G$2:$G$35), 0))</f>
        <v>08-01-2025 to 14-01-2025</v>
      </c>
      <c r="E301" t="str">
        <f>IF(COUNTIF('Top5'!I:I, D301) &gt; 0, "Yes", "No")</f>
        <v>No</v>
      </c>
    </row>
    <row r="302" spans="1:5">
      <c r="A302" s="1">
        <v>45670</v>
      </c>
      <c r="B302" s="6">
        <v>0.55138888888888893</v>
      </c>
      <c r="C302" s="10" t="s">
        <v>71</v>
      </c>
      <c r="D302" t="str" cm="1">
        <f t="array" ref="D302">INDEX($H$2:$H$35, MATCH(1, (A302 &gt;= $F$2:$F$35) * (A302 &lt;= $G$2:$G$35), 0))</f>
        <v>08-01-2025 to 14-01-2025</v>
      </c>
      <c r="E302" t="str">
        <f>IF(COUNTIF('Top5'!I:I, D302) &gt; 0, "Yes", "No")</f>
        <v>No</v>
      </c>
    </row>
    <row r="303" spans="1:5">
      <c r="A303" s="1">
        <v>45670</v>
      </c>
      <c r="B303" s="6">
        <v>0.55277777777777781</v>
      </c>
      <c r="C303" s="10" t="s">
        <v>71</v>
      </c>
      <c r="D303" t="str" cm="1">
        <f t="array" ref="D303">INDEX($H$2:$H$35, MATCH(1, (A303 &gt;= $F$2:$F$35) * (A303 &lt;= $G$2:$G$35), 0))</f>
        <v>08-01-2025 to 14-01-2025</v>
      </c>
      <c r="E303" t="str">
        <f>IF(COUNTIF('Top5'!I:I, D303) &gt; 0, "Yes", "No")</f>
        <v>No</v>
      </c>
    </row>
    <row r="304" spans="1:5">
      <c r="A304" s="1">
        <v>45670</v>
      </c>
      <c r="B304" s="6">
        <v>0.7006944444444444</v>
      </c>
      <c r="C304" s="10" t="s">
        <v>71</v>
      </c>
      <c r="D304" t="str" cm="1">
        <f t="array" ref="D304">INDEX($H$2:$H$35, MATCH(1, (A304 &gt;= $F$2:$F$35) * (A304 &lt;= $G$2:$G$35), 0))</f>
        <v>08-01-2025 to 14-01-2025</v>
      </c>
      <c r="E304" t="str">
        <f>IF(COUNTIF('Top5'!I:I, D304) &gt; 0, "Yes", "No")</f>
        <v>No</v>
      </c>
    </row>
    <row r="305" spans="1:5">
      <c r="A305" s="1">
        <v>45670</v>
      </c>
      <c r="B305" s="6">
        <v>0.70972222222222225</v>
      </c>
      <c r="C305" s="10" t="s">
        <v>70</v>
      </c>
      <c r="D305" t="str" cm="1">
        <f t="array" ref="D305">INDEX($H$2:$H$35, MATCH(1, (A305 &gt;= $F$2:$F$35) * (A305 &lt;= $G$2:$G$35), 0))</f>
        <v>08-01-2025 to 14-01-2025</v>
      </c>
      <c r="E305" t="str">
        <f>IF(COUNTIF('Top5'!I:I, D305) &gt; 0, "Yes", "No")</f>
        <v>No</v>
      </c>
    </row>
    <row r="306" spans="1:5">
      <c r="A306" s="1">
        <v>45670</v>
      </c>
      <c r="B306" s="6">
        <v>0.80208333333333337</v>
      </c>
      <c r="C306" s="10" t="s">
        <v>70</v>
      </c>
      <c r="D306" t="str" cm="1">
        <f t="array" ref="D306">INDEX($H$2:$H$35, MATCH(1, (A306 &gt;= $F$2:$F$35) * (A306 &lt;= $G$2:$G$35), 0))</f>
        <v>08-01-2025 to 14-01-2025</v>
      </c>
      <c r="E306" t="str">
        <f>IF(COUNTIF('Top5'!I:I, D306) &gt; 0, "Yes", "No")</f>
        <v>No</v>
      </c>
    </row>
    <row r="307" spans="1:5">
      <c r="A307" s="1">
        <v>45671</v>
      </c>
      <c r="B307" s="6">
        <v>0.50277777777777777</v>
      </c>
      <c r="C307" s="10" t="s">
        <v>71</v>
      </c>
      <c r="D307" t="str" cm="1">
        <f t="array" ref="D307">INDEX($H$2:$H$35, MATCH(1, (A307 &gt;= $F$2:$F$35) * (A307 &lt;= $G$2:$G$35), 0))</f>
        <v>08-01-2025 to 14-01-2025</v>
      </c>
      <c r="E307" t="str">
        <f>IF(COUNTIF('Top5'!I:I, D307) &gt; 0, "Yes", "No")</f>
        <v>No</v>
      </c>
    </row>
    <row r="308" spans="1:5">
      <c r="A308" s="1">
        <v>45671</v>
      </c>
      <c r="B308" s="6">
        <v>0.50277777777777777</v>
      </c>
      <c r="C308" s="10" t="s">
        <v>71</v>
      </c>
      <c r="D308" t="str" cm="1">
        <f t="array" ref="D308">INDEX($H$2:$H$35, MATCH(1, (A308 &gt;= $F$2:$F$35) * (A308 &lt;= $G$2:$G$35), 0))</f>
        <v>08-01-2025 to 14-01-2025</v>
      </c>
      <c r="E308" t="str">
        <f>IF(COUNTIF('Top5'!I:I, D308) &gt; 0, "Yes", "No")</f>
        <v>No</v>
      </c>
    </row>
    <row r="309" spans="1:5">
      <c r="A309" s="1">
        <v>45671</v>
      </c>
      <c r="B309" s="6">
        <v>0.50277777777777777</v>
      </c>
      <c r="C309" s="10" t="s">
        <v>71</v>
      </c>
      <c r="D309" t="str" cm="1">
        <f t="array" ref="D309">INDEX($H$2:$H$35, MATCH(1, (A309 &gt;= $F$2:$F$35) * (A309 &lt;= $G$2:$G$35), 0))</f>
        <v>08-01-2025 to 14-01-2025</v>
      </c>
      <c r="E309" t="str">
        <f>IF(COUNTIF('Top5'!I:I, D309) &gt; 0, "Yes", "No")</f>
        <v>No</v>
      </c>
    </row>
    <row r="310" spans="1:5">
      <c r="A310" s="1">
        <v>45671</v>
      </c>
      <c r="B310" s="6">
        <v>0.50277777777777777</v>
      </c>
      <c r="C310" s="10" t="s">
        <v>71</v>
      </c>
      <c r="D310" t="str" cm="1">
        <f t="array" ref="D310">INDEX($H$2:$H$35, MATCH(1, (A310 &gt;= $F$2:$F$35) * (A310 &lt;= $G$2:$G$35), 0))</f>
        <v>08-01-2025 to 14-01-2025</v>
      </c>
      <c r="E310" t="str">
        <f>IF(COUNTIF('Top5'!I:I, D310) &gt; 0, "Yes", "No")</f>
        <v>No</v>
      </c>
    </row>
    <row r="311" spans="1:5">
      <c r="A311" s="1">
        <v>45671</v>
      </c>
      <c r="B311" s="6">
        <v>0.53680555555555554</v>
      </c>
      <c r="C311" s="10" t="s">
        <v>71</v>
      </c>
      <c r="D311" t="str" cm="1">
        <f t="array" ref="D311">INDEX($H$2:$H$35, MATCH(1, (A311 &gt;= $F$2:$F$35) * (A311 &lt;= $G$2:$G$35), 0))</f>
        <v>08-01-2025 to 14-01-2025</v>
      </c>
      <c r="E311" t="str">
        <f>IF(COUNTIF('Top5'!I:I, D311) &gt; 0, "Yes", "No")</f>
        <v>No</v>
      </c>
    </row>
    <row r="312" spans="1:5">
      <c r="A312" s="1">
        <v>45671</v>
      </c>
      <c r="B312" s="6">
        <v>0.53749999999999998</v>
      </c>
      <c r="C312" s="10" t="s">
        <v>71</v>
      </c>
      <c r="D312" t="str" cm="1">
        <f t="array" ref="D312">INDEX($H$2:$H$35, MATCH(1, (A312 &gt;= $F$2:$F$35) * (A312 &lt;= $G$2:$G$35), 0))</f>
        <v>08-01-2025 to 14-01-2025</v>
      </c>
      <c r="E312" t="str">
        <f>IF(COUNTIF('Top5'!I:I, D312) &gt; 0, "Yes", "No")</f>
        <v>No</v>
      </c>
    </row>
    <row r="313" spans="1:5">
      <c r="A313" s="1">
        <v>45671</v>
      </c>
      <c r="B313" s="6">
        <v>0.62569444444444444</v>
      </c>
      <c r="C313" s="10" t="s">
        <v>71</v>
      </c>
      <c r="D313" t="str" cm="1">
        <f t="array" ref="D313">INDEX($H$2:$H$35, MATCH(1, (A313 &gt;= $F$2:$F$35) * (A313 &lt;= $G$2:$G$35), 0))</f>
        <v>08-01-2025 to 14-01-2025</v>
      </c>
      <c r="E313" t="str">
        <f>IF(COUNTIF('Top5'!I:I, D313) &gt; 0, "Yes", "No")</f>
        <v>No</v>
      </c>
    </row>
    <row r="314" spans="1:5">
      <c r="A314" s="1">
        <v>45671</v>
      </c>
      <c r="B314" s="6">
        <v>0.9868055555555556</v>
      </c>
      <c r="C314" s="10" t="s">
        <v>70</v>
      </c>
      <c r="D314" t="str" cm="1">
        <f t="array" ref="D314">INDEX($H$2:$H$35, MATCH(1, (A314 &gt;= $F$2:$F$35) * (A314 &lt;= $G$2:$G$35), 0))</f>
        <v>08-01-2025 to 14-01-2025</v>
      </c>
      <c r="E314" t="str">
        <f>IF(COUNTIF('Top5'!I:I, D314) &gt; 0, "Yes", "No")</f>
        <v>No</v>
      </c>
    </row>
    <row r="315" spans="1:5">
      <c r="A315" s="1">
        <v>45671</v>
      </c>
      <c r="B315" s="6">
        <v>0.98750000000000004</v>
      </c>
      <c r="C315" s="10" t="s">
        <v>70</v>
      </c>
      <c r="D315" t="str" cm="1">
        <f t="array" ref="D315">INDEX($H$2:$H$35, MATCH(1, (A315 &gt;= $F$2:$F$35) * (A315 &lt;= $G$2:$G$35), 0))</f>
        <v>08-01-2025 to 14-01-2025</v>
      </c>
      <c r="E315" t="str">
        <f>IF(COUNTIF('Top5'!I:I, D315) &gt; 0, "Yes", "No")</f>
        <v>No</v>
      </c>
    </row>
    <row r="316" spans="1:5">
      <c r="A316" s="1">
        <v>45672</v>
      </c>
      <c r="B316" s="6">
        <v>3.472222222222222E-3</v>
      </c>
      <c r="C316" s="10" t="s">
        <v>70</v>
      </c>
      <c r="D316" t="str" cm="1">
        <f t="array" ref="D316">INDEX($H$2:$H$35, MATCH(1, (A316 &gt;= $F$2:$F$35) * (A316 &lt;= $G$2:$G$35), 0))</f>
        <v>15-01-2025 to 21-01-2025</v>
      </c>
      <c r="E316" t="str">
        <f>IF(COUNTIF('Top5'!I:I, D316) &gt; 0, "Yes", "No")</f>
        <v>No</v>
      </c>
    </row>
    <row r="317" spans="1:5">
      <c r="A317" s="1">
        <v>45672</v>
      </c>
      <c r="B317" s="6">
        <v>6.2500000000000003E-3</v>
      </c>
      <c r="C317" s="10" t="s">
        <v>70</v>
      </c>
      <c r="D317" t="str" cm="1">
        <f t="array" ref="D317">INDEX($H$2:$H$35, MATCH(1, (A317 &gt;= $F$2:$F$35) * (A317 &lt;= $G$2:$G$35), 0))</f>
        <v>15-01-2025 to 21-01-2025</v>
      </c>
      <c r="E317" t="str">
        <f>IF(COUNTIF('Top5'!I:I, D317) &gt; 0, "Yes", "No")</f>
        <v>No</v>
      </c>
    </row>
    <row r="318" spans="1:5">
      <c r="A318" s="1">
        <v>45672</v>
      </c>
      <c r="B318" s="6">
        <v>1.8749999999999999E-2</v>
      </c>
      <c r="C318" s="10" t="s">
        <v>70</v>
      </c>
      <c r="D318" t="str" cm="1">
        <f t="array" ref="D318">INDEX($H$2:$H$35, MATCH(1, (A318 &gt;= $F$2:$F$35) * (A318 &lt;= $G$2:$G$35), 0))</f>
        <v>15-01-2025 to 21-01-2025</v>
      </c>
      <c r="E318" t="str">
        <f>IF(COUNTIF('Top5'!I:I, D318) &gt; 0, "Yes", "No")</f>
        <v>No</v>
      </c>
    </row>
    <row r="319" spans="1:5">
      <c r="A319" s="1">
        <v>45672</v>
      </c>
      <c r="B319" s="6">
        <v>1.8749999999999999E-2</v>
      </c>
      <c r="C319" s="10" t="s">
        <v>70</v>
      </c>
      <c r="D319" t="str" cm="1">
        <f t="array" ref="D319">INDEX($H$2:$H$35, MATCH(1, (A319 &gt;= $F$2:$F$35) * (A319 &lt;= $G$2:$G$35), 0))</f>
        <v>15-01-2025 to 21-01-2025</v>
      </c>
      <c r="E319" t="str">
        <f>IF(COUNTIF('Top5'!I:I, D319) &gt; 0, "Yes", "No")</f>
        <v>No</v>
      </c>
    </row>
    <row r="320" spans="1:5">
      <c r="A320" s="1">
        <v>45672</v>
      </c>
      <c r="B320" s="6">
        <v>1.8749999999999999E-2</v>
      </c>
      <c r="C320" s="10" t="s">
        <v>70</v>
      </c>
      <c r="D320" t="str" cm="1">
        <f t="array" ref="D320">INDEX($H$2:$H$35, MATCH(1, (A320 &gt;= $F$2:$F$35) * (A320 &lt;= $G$2:$G$35), 0))</f>
        <v>15-01-2025 to 21-01-2025</v>
      </c>
      <c r="E320" t="str">
        <f>IF(COUNTIF('Top5'!I:I, D320) &gt; 0, "Yes", "No")</f>
        <v>No</v>
      </c>
    </row>
    <row r="321" spans="1:5">
      <c r="A321" s="1">
        <v>45672</v>
      </c>
      <c r="B321" s="6">
        <v>1.8749999999999999E-2</v>
      </c>
      <c r="C321" s="10" t="s">
        <v>70</v>
      </c>
      <c r="D321" t="str" cm="1">
        <f t="array" ref="D321">INDEX($H$2:$H$35, MATCH(1, (A321 &gt;= $F$2:$F$35) * (A321 &lt;= $G$2:$G$35), 0))</f>
        <v>15-01-2025 to 21-01-2025</v>
      </c>
      <c r="E321" t="str">
        <f>IF(COUNTIF('Top5'!I:I, D321) &gt; 0, "Yes", "No")</f>
        <v>No</v>
      </c>
    </row>
    <row r="322" spans="1:5">
      <c r="A322" s="1">
        <v>45672</v>
      </c>
      <c r="B322" s="6">
        <v>1.8749999999999999E-2</v>
      </c>
      <c r="C322" s="10" t="s">
        <v>70</v>
      </c>
      <c r="D322" t="str" cm="1">
        <f t="array" ref="D322">INDEX($H$2:$H$35, MATCH(1, (A322 &gt;= $F$2:$F$35) * (A322 &lt;= $G$2:$G$35), 0))</f>
        <v>15-01-2025 to 21-01-2025</v>
      </c>
      <c r="E322" t="str">
        <f>IF(COUNTIF('Top5'!I:I, D322) &gt; 0, "Yes", "No")</f>
        <v>No</v>
      </c>
    </row>
    <row r="323" spans="1:5">
      <c r="A323" s="1">
        <v>45672</v>
      </c>
      <c r="B323" s="6">
        <v>1.8749999999999999E-2</v>
      </c>
      <c r="C323" s="10" t="s">
        <v>70</v>
      </c>
      <c r="D323" t="str" cm="1">
        <f t="array" ref="D323">INDEX($H$2:$H$35, MATCH(1, (A323 &gt;= $F$2:$F$35) * (A323 &lt;= $G$2:$G$35), 0))</f>
        <v>15-01-2025 to 21-01-2025</v>
      </c>
      <c r="E323" t="str">
        <f>IF(COUNTIF('Top5'!I:I, D323) &gt; 0, "Yes", "No")</f>
        <v>No</v>
      </c>
    </row>
    <row r="324" spans="1:5">
      <c r="A324" s="1">
        <v>45672</v>
      </c>
      <c r="B324" s="6">
        <v>1.8749999999999999E-2</v>
      </c>
      <c r="C324" s="10" t="s">
        <v>70</v>
      </c>
      <c r="D324" t="str" cm="1">
        <f t="array" ref="D324">INDEX($H$2:$H$35, MATCH(1, (A324 &gt;= $F$2:$F$35) * (A324 &lt;= $G$2:$G$35), 0))</f>
        <v>15-01-2025 to 21-01-2025</v>
      </c>
      <c r="E324" t="str">
        <f>IF(COUNTIF('Top5'!I:I, D324) &gt; 0, "Yes", "No")</f>
        <v>No</v>
      </c>
    </row>
    <row r="325" spans="1:5">
      <c r="A325" s="1">
        <v>45672</v>
      </c>
      <c r="B325" s="6">
        <v>1.8749999999999999E-2</v>
      </c>
      <c r="C325" s="10" t="s">
        <v>70</v>
      </c>
      <c r="D325" t="str" cm="1">
        <f t="array" ref="D325">INDEX($H$2:$H$35, MATCH(1, (A325 &gt;= $F$2:$F$35) * (A325 &lt;= $G$2:$G$35), 0))</f>
        <v>15-01-2025 to 21-01-2025</v>
      </c>
      <c r="E325" t="str">
        <f>IF(COUNTIF('Top5'!I:I, D325) &gt; 0, "Yes", "No")</f>
        <v>No</v>
      </c>
    </row>
    <row r="326" spans="1:5">
      <c r="A326" s="1">
        <v>45672</v>
      </c>
      <c r="B326" s="6">
        <v>1.8749999999999999E-2</v>
      </c>
      <c r="C326" s="10" t="s">
        <v>70</v>
      </c>
      <c r="D326" t="str" cm="1">
        <f t="array" ref="D326">INDEX($H$2:$H$35, MATCH(1, (A326 &gt;= $F$2:$F$35) * (A326 &lt;= $G$2:$G$35), 0))</f>
        <v>15-01-2025 to 21-01-2025</v>
      </c>
      <c r="E326" t="str">
        <f>IF(COUNTIF('Top5'!I:I, D326) &gt; 0, "Yes", "No")</f>
        <v>No</v>
      </c>
    </row>
    <row r="327" spans="1:5">
      <c r="A327" s="1">
        <v>45672</v>
      </c>
      <c r="B327" s="6">
        <v>0.51458333333333328</v>
      </c>
      <c r="C327" s="10" t="s">
        <v>71</v>
      </c>
      <c r="D327" t="str" cm="1">
        <f t="array" ref="D327">INDEX($H$2:$H$35, MATCH(1, (A327 &gt;= $F$2:$F$35) * (A327 &lt;= $G$2:$G$35), 0))</f>
        <v>15-01-2025 to 21-01-2025</v>
      </c>
      <c r="E327" t="str">
        <f>IF(COUNTIF('Top5'!I:I, D327) &gt; 0, "Yes", "No")</f>
        <v>No</v>
      </c>
    </row>
    <row r="328" spans="1:5">
      <c r="A328" s="1">
        <v>45672</v>
      </c>
      <c r="B328" s="6">
        <v>0.52569444444444446</v>
      </c>
      <c r="C328" s="10" t="s">
        <v>71</v>
      </c>
      <c r="D328" t="str" cm="1">
        <f t="array" ref="D328">INDEX($H$2:$H$35, MATCH(1, (A328 &gt;= $F$2:$F$35) * (A328 &lt;= $G$2:$G$35), 0))</f>
        <v>15-01-2025 to 21-01-2025</v>
      </c>
      <c r="E328" t="str">
        <f>IF(COUNTIF('Top5'!I:I, D328) &gt; 0, "Yes", "No")</f>
        <v>No</v>
      </c>
    </row>
    <row r="329" spans="1:5">
      <c r="A329" s="1">
        <v>45672</v>
      </c>
      <c r="B329" s="6">
        <v>0.93055555555555558</v>
      </c>
      <c r="C329" s="10" t="s">
        <v>70</v>
      </c>
      <c r="D329" t="str" cm="1">
        <f t="array" ref="D329">INDEX($H$2:$H$35, MATCH(1, (A329 &gt;= $F$2:$F$35) * (A329 &lt;= $G$2:$G$35), 0))</f>
        <v>15-01-2025 to 21-01-2025</v>
      </c>
      <c r="E329" t="str">
        <f>IF(COUNTIF('Top5'!I:I, D329) &gt; 0, "Yes", "No")</f>
        <v>No</v>
      </c>
    </row>
    <row r="330" spans="1:5">
      <c r="A330" s="1">
        <v>45672</v>
      </c>
      <c r="B330" s="6">
        <v>0.93055555555555558</v>
      </c>
      <c r="C330" s="10" t="s">
        <v>70</v>
      </c>
      <c r="D330" t="str" cm="1">
        <f t="array" ref="D330">INDEX($H$2:$H$35, MATCH(1, (A330 &gt;= $F$2:$F$35) * (A330 &lt;= $G$2:$G$35), 0))</f>
        <v>15-01-2025 to 21-01-2025</v>
      </c>
      <c r="E330" t="str">
        <f>IF(COUNTIF('Top5'!I:I, D330) &gt; 0, "Yes", "No")</f>
        <v>No</v>
      </c>
    </row>
    <row r="331" spans="1:5">
      <c r="A331" s="1">
        <v>45672</v>
      </c>
      <c r="B331" s="6">
        <v>0.93194444444444446</v>
      </c>
      <c r="C331" s="10" t="s">
        <v>70</v>
      </c>
      <c r="D331" t="str" cm="1">
        <f t="array" ref="D331">INDEX($H$2:$H$35, MATCH(1, (A331 &gt;= $F$2:$F$35) * (A331 &lt;= $G$2:$G$35), 0))</f>
        <v>15-01-2025 to 21-01-2025</v>
      </c>
      <c r="E331" t="str">
        <f>IF(COUNTIF('Top5'!I:I, D331) &gt; 0, "Yes", "No")</f>
        <v>No</v>
      </c>
    </row>
    <row r="332" spans="1:5">
      <c r="A332" s="1">
        <v>45672</v>
      </c>
      <c r="B332" s="6">
        <v>0.93263888888888891</v>
      </c>
      <c r="C332" s="10" t="s">
        <v>70</v>
      </c>
      <c r="D332" t="str" cm="1">
        <f t="array" ref="D332">INDEX($H$2:$H$35, MATCH(1, (A332 &gt;= $F$2:$F$35) * (A332 &lt;= $G$2:$G$35), 0))</f>
        <v>15-01-2025 to 21-01-2025</v>
      </c>
      <c r="E332" t="str">
        <f>IF(COUNTIF('Top5'!I:I, D332) &gt; 0, "Yes", "No")</f>
        <v>No</v>
      </c>
    </row>
    <row r="333" spans="1:5">
      <c r="A333" s="1">
        <v>45673</v>
      </c>
      <c r="B333" s="6">
        <v>0.57361111111111107</v>
      </c>
      <c r="C333" s="10" t="s">
        <v>71</v>
      </c>
      <c r="D333" t="str" cm="1">
        <f t="array" ref="D333">INDEX($H$2:$H$35, MATCH(1, (A333 &gt;= $F$2:$F$35) * (A333 &lt;= $G$2:$G$35), 0))</f>
        <v>15-01-2025 to 21-01-2025</v>
      </c>
      <c r="E333" t="str">
        <f>IF(COUNTIF('Top5'!I:I, D333) &gt; 0, "Yes", "No")</f>
        <v>No</v>
      </c>
    </row>
    <row r="334" spans="1:5">
      <c r="A334" s="1">
        <v>45673</v>
      </c>
      <c r="B334" s="6">
        <v>0.72222222222222221</v>
      </c>
      <c r="C334" s="10" t="s">
        <v>70</v>
      </c>
      <c r="D334" t="str" cm="1">
        <f t="array" ref="D334">INDEX($H$2:$H$35, MATCH(1, (A334 &gt;= $F$2:$F$35) * (A334 &lt;= $G$2:$G$35), 0))</f>
        <v>15-01-2025 to 21-01-2025</v>
      </c>
      <c r="E334" t="str">
        <f>IF(COUNTIF('Top5'!I:I, D334) &gt; 0, "Yes", "No")</f>
        <v>No</v>
      </c>
    </row>
    <row r="335" spans="1:5">
      <c r="A335" s="1">
        <v>45673</v>
      </c>
      <c r="B335" s="6">
        <v>0.72222222222222221</v>
      </c>
      <c r="C335" s="10" t="s">
        <v>70</v>
      </c>
      <c r="D335" t="str" cm="1">
        <f t="array" ref="D335">INDEX($H$2:$H$35, MATCH(1, (A335 &gt;= $F$2:$F$35) * (A335 &lt;= $G$2:$G$35), 0))</f>
        <v>15-01-2025 to 21-01-2025</v>
      </c>
      <c r="E335" t="str">
        <f>IF(COUNTIF('Top5'!I:I, D335) &gt; 0, "Yes", "No")</f>
        <v>No</v>
      </c>
    </row>
    <row r="336" spans="1:5">
      <c r="A336" s="1">
        <v>45673</v>
      </c>
      <c r="B336" s="6">
        <v>0.8</v>
      </c>
      <c r="C336" s="10" t="s">
        <v>70</v>
      </c>
      <c r="D336" t="str" cm="1">
        <f t="array" ref="D336">INDEX($H$2:$H$35, MATCH(1, (A336 &gt;= $F$2:$F$35) * (A336 &lt;= $G$2:$G$35), 0))</f>
        <v>15-01-2025 to 21-01-2025</v>
      </c>
      <c r="E336" t="str">
        <f>IF(COUNTIF('Top5'!I:I, D336) &gt; 0, "Yes", "No")</f>
        <v>No</v>
      </c>
    </row>
    <row r="337" spans="1:5">
      <c r="A337" s="1">
        <v>45674</v>
      </c>
      <c r="B337" s="6">
        <v>0.78541666666666665</v>
      </c>
      <c r="C337" s="10" t="s">
        <v>70</v>
      </c>
      <c r="D337" t="str" cm="1">
        <f t="array" ref="D337">INDEX($H$2:$H$35, MATCH(1, (A337 &gt;= $F$2:$F$35) * (A337 &lt;= $G$2:$G$35), 0))</f>
        <v>15-01-2025 to 21-01-2025</v>
      </c>
      <c r="E337" t="str">
        <f>IF(COUNTIF('Top5'!I:I, D337) &gt; 0, "Yes", "No")</f>
        <v>No</v>
      </c>
    </row>
    <row r="338" spans="1:5">
      <c r="A338" s="1">
        <v>45674</v>
      </c>
      <c r="B338" s="6">
        <v>0.92500000000000004</v>
      </c>
      <c r="C338" s="10" t="s">
        <v>70</v>
      </c>
      <c r="D338" t="str" cm="1">
        <f t="array" ref="D338">INDEX($H$2:$H$35, MATCH(1, (A338 &gt;= $F$2:$F$35) * (A338 &lt;= $G$2:$G$35), 0))</f>
        <v>15-01-2025 to 21-01-2025</v>
      </c>
      <c r="E338" t="str">
        <f>IF(COUNTIF('Top5'!I:I, D338) &gt; 0, "Yes", "No")</f>
        <v>No</v>
      </c>
    </row>
    <row r="339" spans="1:5">
      <c r="A339" s="1">
        <v>45675</v>
      </c>
      <c r="B339" s="6">
        <v>0.5756944444444444</v>
      </c>
      <c r="C339" s="10" t="s">
        <v>71</v>
      </c>
      <c r="D339" t="str" cm="1">
        <f t="array" ref="D339">INDEX($H$2:$H$35, MATCH(1, (A339 &gt;= $F$2:$F$35) * (A339 &lt;= $G$2:$G$35), 0))</f>
        <v>15-01-2025 to 21-01-2025</v>
      </c>
      <c r="E339" t="str">
        <f>IF(COUNTIF('Top5'!I:I, D339) &gt; 0, "Yes", "No")</f>
        <v>No</v>
      </c>
    </row>
    <row r="340" spans="1:5">
      <c r="A340" s="1">
        <v>45675</v>
      </c>
      <c r="B340" s="6">
        <v>0.5756944444444444</v>
      </c>
      <c r="C340" s="10" t="s">
        <v>71</v>
      </c>
      <c r="D340" t="str" cm="1">
        <f t="array" ref="D340">INDEX($H$2:$H$35, MATCH(1, (A340 &gt;= $F$2:$F$35) * (A340 &lt;= $G$2:$G$35), 0))</f>
        <v>15-01-2025 to 21-01-2025</v>
      </c>
      <c r="E340" t="str">
        <f>IF(COUNTIF('Top5'!I:I, D340) &gt; 0, "Yes", "No")</f>
        <v>No</v>
      </c>
    </row>
    <row r="341" spans="1:5">
      <c r="A341" s="1">
        <v>45675</v>
      </c>
      <c r="B341" s="6">
        <v>0.57777777777777772</v>
      </c>
      <c r="C341" s="10" t="s">
        <v>71</v>
      </c>
      <c r="D341" t="str" cm="1">
        <f t="array" ref="D341">INDEX($H$2:$H$35, MATCH(1, (A341 &gt;= $F$2:$F$35) * (A341 &lt;= $G$2:$G$35), 0))</f>
        <v>15-01-2025 to 21-01-2025</v>
      </c>
      <c r="E341" t="str">
        <f>IF(COUNTIF('Top5'!I:I, D341) &gt; 0, "Yes", "No")</f>
        <v>No</v>
      </c>
    </row>
    <row r="342" spans="1:5">
      <c r="A342" s="1">
        <v>45675</v>
      </c>
      <c r="B342" s="6">
        <v>0.77152777777777781</v>
      </c>
      <c r="C342" s="10" t="s">
        <v>70</v>
      </c>
      <c r="D342" t="str" cm="1">
        <f t="array" ref="D342">INDEX($H$2:$H$35, MATCH(1, (A342 &gt;= $F$2:$F$35) * (A342 &lt;= $G$2:$G$35), 0))</f>
        <v>15-01-2025 to 21-01-2025</v>
      </c>
      <c r="E342" t="str">
        <f>IF(COUNTIF('Top5'!I:I, D342) &gt; 0, "Yes", "No")</f>
        <v>No</v>
      </c>
    </row>
    <row r="343" spans="1:5">
      <c r="A343" s="1">
        <v>45675</v>
      </c>
      <c r="B343" s="6">
        <v>0.84097222222222223</v>
      </c>
      <c r="C343" s="10" t="s">
        <v>70</v>
      </c>
      <c r="D343" t="str" cm="1">
        <f t="array" ref="D343">INDEX($H$2:$H$35, MATCH(1, (A343 &gt;= $F$2:$F$35) * (A343 &lt;= $G$2:$G$35), 0))</f>
        <v>15-01-2025 to 21-01-2025</v>
      </c>
      <c r="E343" t="str">
        <f>IF(COUNTIF('Top5'!I:I, D343) &gt; 0, "Yes", "No")</f>
        <v>No</v>
      </c>
    </row>
    <row r="344" spans="1:5">
      <c r="A344" s="1">
        <v>45675</v>
      </c>
      <c r="B344" s="6">
        <v>0.84583333333333333</v>
      </c>
      <c r="C344" s="10" t="s">
        <v>70</v>
      </c>
      <c r="D344" t="str" cm="1">
        <f t="array" ref="D344">INDEX($H$2:$H$35, MATCH(1, (A344 &gt;= $F$2:$F$35) * (A344 &lt;= $G$2:$G$35), 0))</f>
        <v>15-01-2025 to 21-01-2025</v>
      </c>
      <c r="E344" t="str">
        <f>IF(COUNTIF('Top5'!I:I, D344) &gt; 0, "Yes", "No")</f>
        <v>No</v>
      </c>
    </row>
    <row r="345" spans="1:5">
      <c r="A345" s="1">
        <v>45675</v>
      </c>
      <c r="B345" s="6">
        <v>0.84791666666666665</v>
      </c>
      <c r="C345" s="10" t="s">
        <v>70</v>
      </c>
      <c r="D345" t="str" cm="1">
        <f t="array" ref="D345">INDEX($H$2:$H$35, MATCH(1, (A345 &gt;= $F$2:$F$35) * (A345 &lt;= $G$2:$G$35), 0))</f>
        <v>15-01-2025 to 21-01-2025</v>
      </c>
      <c r="E345" t="str">
        <f>IF(COUNTIF('Top5'!I:I, D345) &gt; 0, "Yes", "No")</f>
        <v>No</v>
      </c>
    </row>
    <row r="346" spans="1:5">
      <c r="A346" s="1">
        <v>45675</v>
      </c>
      <c r="B346" s="6">
        <v>0.84861111111111109</v>
      </c>
      <c r="C346" s="10" t="s">
        <v>70</v>
      </c>
      <c r="D346" t="str" cm="1">
        <f t="array" ref="D346">INDEX($H$2:$H$35, MATCH(1, (A346 &gt;= $F$2:$F$35) * (A346 &lt;= $G$2:$G$35), 0))</f>
        <v>15-01-2025 to 21-01-2025</v>
      </c>
      <c r="E346" t="str">
        <f>IF(COUNTIF('Top5'!I:I, D346) &gt; 0, "Yes", "No")</f>
        <v>No</v>
      </c>
    </row>
    <row r="347" spans="1:5">
      <c r="A347" s="1">
        <v>45675</v>
      </c>
      <c r="B347" s="6">
        <v>0.93819444444444444</v>
      </c>
      <c r="C347" s="10" t="s">
        <v>70</v>
      </c>
      <c r="D347" t="str" cm="1">
        <f t="array" ref="D347">INDEX($H$2:$H$35, MATCH(1, (A347 &gt;= $F$2:$F$35) * (A347 &lt;= $G$2:$G$35), 0))</f>
        <v>15-01-2025 to 21-01-2025</v>
      </c>
      <c r="E347" t="str">
        <f>IF(COUNTIF('Top5'!I:I, D347) &gt; 0, "Yes", "No")</f>
        <v>No</v>
      </c>
    </row>
    <row r="348" spans="1:5">
      <c r="A348" s="1">
        <v>45676</v>
      </c>
      <c r="B348" s="6">
        <v>1.0416666666666666E-2</v>
      </c>
      <c r="C348" s="10" t="s">
        <v>70</v>
      </c>
      <c r="D348" t="str" cm="1">
        <f t="array" ref="D348">INDEX($H$2:$H$35, MATCH(1, (A348 &gt;= $F$2:$F$35) * (A348 &lt;= $G$2:$G$35), 0))</f>
        <v>15-01-2025 to 21-01-2025</v>
      </c>
      <c r="E348" t="str">
        <f>IF(COUNTIF('Top5'!I:I, D348) &gt; 0, "Yes", "No")</f>
        <v>No</v>
      </c>
    </row>
    <row r="349" spans="1:5">
      <c r="A349" s="1">
        <v>45676</v>
      </c>
      <c r="B349" s="6">
        <v>1.0416666666666666E-2</v>
      </c>
      <c r="C349" s="10" t="s">
        <v>70</v>
      </c>
      <c r="D349" t="str" cm="1">
        <f t="array" ref="D349">INDEX($H$2:$H$35, MATCH(1, (A349 &gt;= $F$2:$F$35) * (A349 &lt;= $G$2:$G$35), 0))</f>
        <v>15-01-2025 to 21-01-2025</v>
      </c>
      <c r="E349" t="str">
        <f>IF(COUNTIF('Top5'!I:I, D349) &gt; 0, "Yes", "No")</f>
        <v>No</v>
      </c>
    </row>
    <row r="350" spans="1:5">
      <c r="A350" s="1">
        <v>45676</v>
      </c>
      <c r="B350" s="6">
        <v>1.0416666666666666E-2</v>
      </c>
      <c r="C350" s="10" t="s">
        <v>70</v>
      </c>
      <c r="D350" t="str" cm="1">
        <f t="array" ref="D350">INDEX($H$2:$H$35, MATCH(1, (A350 &gt;= $F$2:$F$35) * (A350 &lt;= $G$2:$G$35), 0))</f>
        <v>15-01-2025 to 21-01-2025</v>
      </c>
      <c r="E350" t="str">
        <f>IF(COUNTIF('Top5'!I:I, D350) &gt; 0, "Yes", "No")</f>
        <v>No</v>
      </c>
    </row>
    <row r="351" spans="1:5">
      <c r="A351" s="1">
        <v>45676</v>
      </c>
      <c r="B351" s="6">
        <v>1.0416666666666666E-2</v>
      </c>
      <c r="C351" s="10" t="s">
        <v>70</v>
      </c>
      <c r="D351" t="str" cm="1">
        <f t="array" ref="D351">INDEX($H$2:$H$35, MATCH(1, (A351 &gt;= $F$2:$F$35) * (A351 &lt;= $G$2:$G$35), 0))</f>
        <v>15-01-2025 to 21-01-2025</v>
      </c>
      <c r="E351" t="str">
        <f>IF(COUNTIF('Top5'!I:I, D351) &gt; 0, "Yes", "No")</f>
        <v>No</v>
      </c>
    </row>
    <row r="352" spans="1:5">
      <c r="A352" s="1">
        <v>45676</v>
      </c>
      <c r="B352" s="6">
        <v>1.3888888888888888E-2</v>
      </c>
      <c r="C352" s="10" t="s">
        <v>70</v>
      </c>
      <c r="D352" t="str" cm="1">
        <f t="array" ref="D352">INDEX($H$2:$H$35, MATCH(1, (A352 &gt;= $F$2:$F$35) * (A352 &lt;= $G$2:$G$35), 0))</f>
        <v>15-01-2025 to 21-01-2025</v>
      </c>
      <c r="E352" t="str">
        <f>IF(COUNTIF('Top5'!I:I, D352) &gt; 0, "Yes", "No")</f>
        <v>No</v>
      </c>
    </row>
    <row r="353" spans="1:5">
      <c r="A353" s="1">
        <v>45676</v>
      </c>
      <c r="B353" s="6">
        <v>1.5277777777777777E-2</v>
      </c>
      <c r="C353" s="10" t="s">
        <v>70</v>
      </c>
      <c r="D353" t="str" cm="1">
        <f t="array" ref="D353">INDEX($H$2:$H$35, MATCH(1, (A353 &gt;= $F$2:$F$35) * (A353 &lt;= $G$2:$G$35), 0))</f>
        <v>15-01-2025 to 21-01-2025</v>
      </c>
      <c r="E353" t="str">
        <f>IF(COUNTIF('Top5'!I:I, D353) &gt; 0, "Yes", "No")</f>
        <v>No</v>
      </c>
    </row>
    <row r="354" spans="1:5">
      <c r="A354" s="1">
        <v>45676</v>
      </c>
      <c r="B354" s="6">
        <v>0.67083333333333328</v>
      </c>
      <c r="C354" s="10" t="s">
        <v>71</v>
      </c>
      <c r="D354" t="str" cm="1">
        <f t="array" ref="D354">INDEX($H$2:$H$35, MATCH(1, (A354 &gt;= $F$2:$F$35) * (A354 &lt;= $G$2:$G$35), 0))</f>
        <v>15-01-2025 to 21-01-2025</v>
      </c>
      <c r="E354" t="str">
        <f>IF(COUNTIF('Top5'!I:I, D354) &gt; 0, "Yes", "No")</f>
        <v>No</v>
      </c>
    </row>
    <row r="355" spans="1:5">
      <c r="A355" s="1">
        <v>45676</v>
      </c>
      <c r="B355" s="6">
        <v>0.75277777777777777</v>
      </c>
      <c r="C355" s="10" t="s">
        <v>70</v>
      </c>
      <c r="D355" t="str" cm="1">
        <f t="array" ref="D355">INDEX($H$2:$H$35, MATCH(1, (A355 &gt;= $F$2:$F$35) * (A355 &lt;= $G$2:$G$35), 0))</f>
        <v>15-01-2025 to 21-01-2025</v>
      </c>
      <c r="E355" t="str">
        <f>IF(COUNTIF('Top5'!I:I, D355) &gt; 0, "Yes", "No")</f>
        <v>No</v>
      </c>
    </row>
    <row r="356" spans="1:5">
      <c r="A356" s="1">
        <v>45678</v>
      </c>
      <c r="B356" s="6">
        <v>0.48958333333333331</v>
      </c>
      <c r="C356" s="10" t="s">
        <v>22</v>
      </c>
      <c r="D356" t="str" cm="1">
        <f t="array" ref="D356">INDEX($H$2:$H$35, MATCH(1, (A356 &gt;= $F$2:$F$35) * (A356 &lt;= $G$2:$G$35), 0))</f>
        <v>15-01-2025 to 21-01-2025</v>
      </c>
      <c r="E356" t="str">
        <f>IF(COUNTIF('Top5'!I:I, D356) &gt; 0, "Yes", "No")</f>
        <v>No</v>
      </c>
    </row>
    <row r="357" spans="1:5">
      <c r="A357" s="1">
        <v>45681</v>
      </c>
      <c r="B357" s="6">
        <v>0.77013888888888893</v>
      </c>
      <c r="C357" s="10" t="s">
        <v>70</v>
      </c>
      <c r="D357" t="str" cm="1">
        <f t="array" ref="D357">INDEX($H$2:$H$35, MATCH(1, (A357 &gt;= $F$2:$F$35) * (A357 &lt;= $G$2:$G$35), 0))</f>
        <v>22-01-2025 to 28-01-2025</v>
      </c>
      <c r="E357" t="str">
        <f>IF(COUNTIF('Top5'!I:I, D357) &gt; 0, "Yes", "No")</f>
        <v>No</v>
      </c>
    </row>
    <row r="358" spans="1:5">
      <c r="A358" s="1">
        <v>45683</v>
      </c>
      <c r="B358" s="6">
        <v>0.46388888888888891</v>
      </c>
      <c r="C358" s="10" t="s">
        <v>22</v>
      </c>
      <c r="D358" t="str" cm="1">
        <f t="array" ref="D358">INDEX($H$2:$H$35, MATCH(1, (A358 &gt;= $F$2:$F$35) * (A358 &lt;= $G$2:$G$35), 0))</f>
        <v>22-01-2025 to 28-01-2025</v>
      </c>
      <c r="E358" t="str">
        <f>IF(COUNTIF('Top5'!I:I, D358) &gt; 0, "Yes", "No")</f>
        <v>No</v>
      </c>
    </row>
    <row r="359" spans="1:5">
      <c r="A359" s="1">
        <v>45683</v>
      </c>
      <c r="B359" s="6">
        <v>0.46875</v>
      </c>
      <c r="C359" s="10" t="s">
        <v>22</v>
      </c>
      <c r="D359" t="str" cm="1">
        <f t="array" ref="D359">INDEX($H$2:$H$35, MATCH(1, (A359 &gt;= $F$2:$F$35) * (A359 &lt;= $G$2:$G$35), 0))</f>
        <v>22-01-2025 to 28-01-2025</v>
      </c>
      <c r="E359" t="str">
        <f>IF(COUNTIF('Top5'!I:I, D359) &gt; 0, "Yes", "No")</f>
        <v>No</v>
      </c>
    </row>
    <row r="360" spans="1:5">
      <c r="A360" s="1">
        <v>45683</v>
      </c>
      <c r="B360" s="6">
        <v>0.98541666666666672</v>
      </c>
      <c r="C360" s="10" t="s">
        <v>70</v>
      </c>
      <c r="D360" t="str" cm="1">
        <f t="array" ref="D360">INDEX($H$2:$H$35, MATCH(1, (A360 &gt;= $F$2:$F$35) * (A360 &lt;= $G$2:$G$35), 0))</f>
        <v>22-01-2025 to 28-01-2025</v>
      </c>
      <c r="E360" t="str">
        <f>IF(COUNTIF('Top5'!I:I, D360) &gt; 0, "Yes", "No")</f>
        <v>No</v>
      </c>
    </row>
    <row r="361" spans="1:5">
      <c r="A361" s="1">
        <v>45683</v>
      </c>
      <c r="B361" s="6">
        <v>0.98611111111111116</v>
      </c>
      <c r="C361" s="10" t="s">
        <v>70</v>
      </c>
      <c r="D361" t="str" cm="1">
        <f t="array" ref="D361">INDEX($H$2:$H$35, MATCH(1, (A361 &gt;= $F$2:$F$35) * (A361 &lt;= $G$2:$G$35), 0))</f>
        <v>22-01-2025 to 28-01-2025</v>
      </c>
      <c r="E361" t="str">
        <f>IF(COUNTIF('Top5'!I:I, D361) &gt; 0, "Yes", "No")</f>
        <v>No</v>
      </c>
    </row>
    <row r="362" spans="1:5">
      <c r="A362" s="1">
        <v>45684</v>
      </c>
      <c r="B362" s="6">
        <v>2.0833333333333333E-3</v>
      </c>
      <c r="C362" s="10" t="s">
        <v>70</v>
      </c>
      <c r="D362" t="str" cm="1">
        <f t="array" ref="D362">INDEX($H$2:$H$35, MATCH(1, (A362 &gt;= $F$2:$F$35) * (A362 &lt;= $G$2:$G$35), 0))</f>
        <v>22-01-2025 to 28-01-2025</v>
      </c>
      <c r="E362" t="str">
        <f>IF(COUNTIF('Top5'!I:I, D362) &gt; 0, "Yes", "No")</f>
        <v>No</v>
      </c>
    </row>
    <row r="363" spans="1:5">
      <c r="A363" s="1">
        <v>45684</v>
      </c>
      <c r="B363" s="6">
        <v>2.7777777777777779E-3</v>
      </c>
      <c r="C363" s="10" t="s">
        <v>70</v>
      </c>
      <c r="D363" t="str" cm="1">
        <f t="array" ref="D363">INDEX($H$2:$H$35, MATCH(1, (A363 &gt;= $F$2:$F$35) * (A363 &lt;= $G$2:$G$35), 0))</f>
        <v>22-01-2025 to 28-01-2025</v>
      </c>
      <c r="E363" t="str">
        <f>IF(COUNTIF('Top5'!I:I, D363) &gt; 0, "Yes", "No")</f>
        <v>No</v>
      </c>
    </row>
    <row r="364" spans="1:5">
      <c r="A364" s="1">
        <v>45685</v>
      </c>
      <c r="B364" s="6">
        <v>0.53263888888888888</v>
      </c>
      <c r="C364" s="10" t="s">
        <v>71</v>
      </c>
      <c r="D364" t="str" cm="1">
        <f t="array" ref="D364">INDEX($H$2:$H$35, MATCH(1, (A364 &gt;= $F$2:$F$35) * (A364 &lt;= $G$2:$G$35), 0))</f>
        <v>22-01-2025 to 28-01-2025</v>
      </c>
      <c r="E364" t="str">
        <f>IF(COUNTIF('Top5'!I:I, D364) &gt; 0, "Yes", "No")</f>
        <v>No</v>
      </c>
    </row>
    <row r="365" spans="1:5">
      <c r="A365" s="1">
        <v>45686</v>
      </c>
      <c r="B365" s="6">
        <v>7.6388888888888886E-3</v>
      </c>
      <c r="C365" s="10" t="s">
        <v>70</v>
      </c>
      <c r="D365" t="str" cm="1">
        <f t="array" ref="D365">INDEX($H$2:$H$35, MATCH(1, (A365 &gt;= $F$2:$F$35) * (A365 &lt;= $G$2:$G$35), 0))</f>
        <v>29-01-2025 to 31-01-2025</v>
      </c>
      <c r="E365" t="str">
        <f>IF(COUNTIF('Top5'!I:I, D365) &gt; 0, "Yes", "No")</f>
        <v>No</v>
      </c>
    </row>
    <row r="366" spans="1:5">
      <c r="A366" s="1">
        <v>45686</v>
      </c>
      <c r="B366" s="6">
        <v>7.6388888888888886E-3</v>
      </c>
      <c r="C366" s="10" t="s">
        <v>70</v>
      </c>
      <c r="D366" t="str" cm="1">
        <f t="array" ref="D366">INDEX($H$2:$H$35, MATCH(1, (A366 &gt;= $F$2:$F$35) * (A366 &lt;= $G$2:$G$35), 0))</f>
        <v>29-01-2025 to 31-01-2025</v>
      </c>
      <c r="E366" t="str">
        <f>IF(COUNTIF('Top5'!I:I, D366) &gt; 0, "Yes", "No")</f>
        <v>No</v>
      </c>
    </row>
    <row r="367" spans="1:5">
      <c r="A367" s="1">
        <v>45686</v>
      </c>
      <c r="B367" s="6">
        <v>7.6388888888888886E-3</v>
      </c>
      <c r="C367" s="10" t="s">
        <v>70</v>
      </c>
      <c r="D367" t="str" cm="1">
        <f t="array" ref="D367">INDEX($H$2:$H$35, MATCH(1, (A367 &gt;= $F$2:$F$35) * (A367 &lt;= $G$2:$G$35), 0))</f>
        <v>29-01-2025 to 31-01-2025</v>
      </c>
      <c r="E367" t="str">
        <f>IF(COUNTIF('Top5'!I:I, D367) &gt; 0, "Yes", "No")</f>
        <v>No</v>
      </c>
    </row>
    <row r="368" spans="1:5">
      <c r="A368" s="1">
        <v>45686</v>
      </c>
      <c r="B368" s="6">
        <v>7.6388888888888886E-3</v>
      </c>
      <c r="C368" s="10" t="s">
        <v>70</v>
      </c>
      <c r="D368" t="str" cm="1">
        <f t="array" ref="D368">INDEX($H$2:$H$35, MATCH(1, (A368 &gt;= $F$2:$F$35) * (A368 &lt;= $G$2:$G$35), 0))</f>
        <v>29-01-2025 to 31-01-2025</v>
      </c>
      <c r="E368" t="str">
        <f>IF(COUNTIF('Top5'!I:I, D368) &gt; 0, "Yes", "No")</f>
        <v>No</v>
      </c>
    </row>
    <row r="369" spans="1:5">
      <c r="A369" s="1">
        <v>45686</v>
      </c>
      <c r="B369" s="6">
        <v>9.0277777777777769E-3</v>
      </c>
      <c r="C369" s="10" t="s">
        <v>70</v>
      </c>
      <c r="D369" t="str" cm="1">
        <f t="array" ref="D369">INDEX($H$2:$H$35, MATCH(1, (A369 &gt;= $F$2:$F$35) * (A369 &lt;= $G$2:$G$35), 0))</f>
        <v>29-01-2025 to 31-01-2025</v>
      </c>
      <c r="E369" t="str">
        <f>IF(COUNTIF('Top5'!I:I, D369) &gt; 0, "Yes", "No")</f>
        <v>No</v>
      </c>
    </row>
    <row r="370" spans="1:5">
      <c r="A370" s="1">
        <v>45686</v>
      </c>
      <c r="B370" s="6">
        <v>9.0277777777777769E-3</v>
      </c>
      <c r="C370" s="10" t="s">
        <v>70</v>
      </c>
      <c r="D370" t="str" cm="1">
        <f t="array" ref="D370">INDEX($H$2:$H$35, MATCH(1, (A370 &gt;= $F$2:$F$35) * (A370 &lt;= $G$2:$G$35), 0))</f>
        <v>29-01-2025 to 31-01-2025</v>
      </c>
      <c r="E370" t="str">
        <f>IF(COUNTIF('Top5'!I:I, D370) &gt; 0, "Yes", "No")</f>
        <v>No</v>
      </c>
    </row>
    <row r="371" spans="1:5">
      <c r="A371" s="1">
        <v>45686</v>
      </c>
      <c r="B371" s="6">
        <v>0.79583333333333328</v>
      </c>
      <c r="C371" s="10" t="s">
        <v>70</v>
      </c>
      <c r="D371" t="str" cm="1">
        <f t="array" ref="D371">INDEX($H$2:$H$35, MATCH(1, (A371 &gt;= $F$2:$F$35) * (A371 &lt;= $G$2:$G$35), 0))</f>
        <v>29-01-2025 to 31-01-2025</v>
      </c>
      <c r="E371" t="str">
        <f>IF(COUNTIF('Top5'!I:I, D371) &gt; 0, "Yes", "No")</f>
        <v>No</v>
      </c>
    </row>
    <row r="372" spans="1:5">
      <c r="A372" s="1">
        <v>45687</v>
      </c>
      <c r="B372" s="6">
        <v>0.65486111111111112</v>
      </c>
      <c r="C372" s="10" t="s">
        <v>71</v>
      </c>
      <c r="D372" t="str" cm="1">
        <f t="array" ref="D372">INDEX($H$2:$H$35, MATCH(1, (A372 &gt;= $F$2:$F$35) * (A372 &lt;= $G$2:$G$35), 0))</f>
        <v>29-01-2025 to 31-01-2025</v>
      </c>
      <c r="E372" t="str">
        <f>IF(COUNTIF('Top5'!I:I, D372) &gt; 0, "Yes", "No")</f>
        <v>No</v>
      </c>
    </row>
    <row r="373" spans="1:5">
      <c r="A373" s="1">
        <v>45687</v>
      </c>
      <c r="B373" s="6">
        <v>0.65486111111111112</v>
      </c>
      <c r="C373" s="10" t="s">
        <v>71</v>
      </c>
      <c r="D373" t="str" cm="1">
        <f t="array" ref="D373">INDEX($H$2:$H$35, MATCH(1, (A373 &gt;= $F$2:$F$35) * (A373 &lt;= $G$2:$G$35), 0))</f>
        <v>29-01-2025 to 31-01-2025</v>
      </c>
      <c r="E373" t="str">
        <f>IF(COUNTIF('Top5'!I:I, D373) &gt; 0, "Yes", "No")</f>
        <v>No</v>
      </c>
    </row>
    <row r="374" spans="1:5">
      <c r="A374" s="1">
        <v>45687</v>
      </c>
      <c r="B374" s="6">
        <v>0.65555555555555556</v>
      </c>
      <c r="C374" s="10" t="s">
        <v>71</v>
      </c>
      <c r="D374" t="str" cm="1">
        <f t="array" ref="D374">INDEX($H$2:$H$35, MATCH(1, (A374 &gt;= $F$2:$F$35) * (A374 &lt;= $G$2:$G$35), 0))</f>
        <v>29-01-2025 to 31-01-2025</v>
      </c>
      <c r="E374" t="str">
        <f>IF(COUNTIF('Top5'!I:I, D374) &gt; 0, "Yes", "No")</f>
        <v>No</v>
      </c>
    </row>
    <row r="375" spans="1:5">
      <c r="A375" s="1">
        <v>45687</v>
      </c>
      <c r="B375" s="6">
        <v>0.68472222222222223</v>
      </c>
      <c r="C375" s="10" t="s">
        <v>71</v>
      </c>
      <c r="D375" t="str" cm="1">
        <f t="array" ref="D375">INDEX($H$2:$H$35, MATCH(1, (A375 &gt;= $F$2:$F$35) * (A375 &lt;= $G$2:$G$35), 0))</f>
        <v>29-01-2025 to 31-01-2025</v>
      </c>
      <c r="E375" t="str">
        <f>IF(COUNTIF('Top5'!I:I, D375) &gt; 0, "Yes", "No")</f>
        <v>No</v>
      </c>
    </row>
    <row r="376" spans="1:5">
      <c r="A376" s="1">
        <v>45687</v>
      </c>
      <c r="B376" s="6">
        <v>0.92222222222222228</v>
      </c>
      <c r="C376" s="10" t="s">
        <v>70</v>
      </c>
      <c r="D376" t="str" cm="1">
        <f t="array" ref="D376">INDEX($H$2:$H$35, MATCH(1, (A376 &gt;= $F$2:$F$35) * (A376 &lt;= $G$2:$G$35), 0))</f>
        <v>29-01-2025 to 31-01-2025</v>
      </c>
      <c r="E376" t="str">
        <f>IF(COUNTIF('Top5'!I:I, D376) &gt; 0, "Yes", "No")</f>
        <v>No</v>
      </c>
    </row>
    <row r="377" spans="1:5">
      <c r="A377" s="1">
        <v>45688</v>
      </c>
      <c r="B377" s="6">
        <v>0.58611111111111114</v>
      </c>
      <c r="C377" s="10" t="s">
        <v>71</v>
      </c>
      <c r="D377" t="str" cm="1">
        <f t="array" ref="D377">INDEX($H$2:$H$35, MATCH(1, (A377 &gt;= $F$2:$F$35) * (A377 &lt;= $G$2:$G$35), 0))</f>
        <v>29-01-2025 to 31-01-2025</v>
      </c>
      <c r="E377" t="str">
        <f>IF(COUNTIF('Top5'!I:I, D377) &gt; 0, "Yes", "No")</f>
        <v>No</v>
      </c>
    </row>
    <row r="378" spans="1:5">
      <c r="A378" s="1">
        <v>45688</v>
      </c>
      <c r="B378" s="6">
        <v>0.61250000000000004</v>
      </c>
      <c r="C378" s="10" t="s">
        <v>71</v>
      </c>
      <c r="D378" t="str" cm="1">
        <f t="array" ref="D378">INDEX($H$2:$H$35, MATCH(1, (A378 &gt;= $F$2:$F$35) * (A378 &lt;= $G$2:$G$35), 0))</f>
        <v>29-01-2025 to 31-01-2025</v>
      </c>
      <c r="E378" t="str">
        <f>IF(COUNTIF('Top5'!I:I, D378) &gt; 0, "Yes", "No")</f>
        <v>No</v>
      </c>
    </row>
    <row r="379" spans="1:5">
      <c r="A379" s="1">
        <v>45689</v>
      </c>
      <c r="B379" s="6">
        <v>0.36249999999999999</v>
      </c>
      <c r="C379" s="10" t="s">
        <v>22</v>
      </c>
      <c r="D379" t="str" cm="1">
        <f t="array" ref="D379">INDEX($H$2:$H$35, MATCH(1, (A379 &gt;= $F$2:$F$35) * (A379 &lt;= $G$2:$G$35), 0))</f>
        <v>01-02-2025 to 07-02-2025</v>
      </c>
      <c r="E379" t="str">
        <f>IF(COUNTIF('Top5'!I:I, D379) &gt; 0, "Yes", "No")</f>
        <v>No</v>
      </c>
    </row>
    <row r="380" spans="1:5">
      <c r="A380" s="1">
        <v>45689</v>
      </c>
      <c r="B380" s="6">
        <v>0.36249999999999999</v>
      </c>
      <c r="C380" s="10" t="s">
        <v>22</v>
      </c>
      <c r="D380" t="str" cm="1">
        <f t="array" ref="D380">INDEX($H$2:$H$35, MATCH(1, (A380 &gt;= $F$2:$F$35) * (A380 &lt;= $G$2:$G$35), 0))</f>
        <v>01-02-2025 to 07-02-2025</v>
      </c>
      <c r="E380" t="str">
        <f>IF(COUNTIF('Top5'!I:I, D380) &gt; 0, "Yes", "No")</f>
        <v>No</v>
      </c>
    </row>
    <row r="381" spans="1:5">
      <c r="A381" s="1">
        <v>45689</v>
      </c>
      <c r="B381" s="6">
        <v>0.40416666666666667</v>
      </c>
      <c r="C381" s="10" t="s">
        <v>22</v>
      </c>
      <c r="D381" t="str" cm="1">
        <f t="array" ref="D381">INDEX($H$2:$H$35, MATCH(1, (A381 &gt;= $F$2:$F$35) * (A381 &lt;= $G$2:$G$35), 0))</f>
        <v>01-02-2025 to 07-02-2025</v>
      </c>
      <c r="E381" t="str">
        <f>IF(COUNTIF('Top5'!I:I, D381) &gt; 0, "Yes", "No")</f>
        <v>No</v>
      </c>
    </row>
    <row r="382" spans="1:5">
      <c r="A382" s="1">
        <v>45689</v>
      </c>
      <c r="B382" s="6">
        <v>0.44583333333333336</v>
      </c>
      <c r="C382" s="10" t="s">
        <v>22</v>
      </c>
      <c r="D382" t="str" cm="1">
        <f t="array" ref="D382">INDEX($H$2:$H$35, MATCH(1, (A382 &gt;= $F$2:$F$35) * (A382 &lt;= $G$2:$G$35), 0))</f>
        <v>01-02-2025 to 07-02-2025</v>
      </c>
      <c r="E382" t="str">
        <f>IF(COUNTIF('Top5'!I:I, D382) &gt; 0, "Yes", "No")</f>
        <v>No</v>
      </c>
    </row>
    <row r="383" spans="1:5">
      <c r="A383" s="1">
        <v>45689</v>
      </c>
      <c r="B383" s="6">
        <v>0.44583333333333336</v>
      </c>
      <c r="C383" s="10" t="s">
        <v>22</v>
      </c>
      <c r="D383" t="str" cm="1">
        <f t="array" ref="D383">INDEX($H$2:$H$35, MATCH(1, (A383 &gt;= $F$2:$F$35) * (A383 &lt;= $G$2:$G$35), 0))</f>
        <v>01-02-2025 to 07-02-2025</v>
      </c>
      <c r="E383" t="str">
        <f>IF(COUNTIF('Top5'!I:I, D383) &gt; 0, "Yes", "No")</f>
        <v>No</v>
      </c>
    </row>
    <row r="384" spans="1:5">
      <c r="A384" s="1">
        <v>45689</v>
      </c>
      <c r="B384" s="6">
        <v>0.4513888888888889</v>
      </c>
      <c r="C384" s="10" t="s">
        <v>22</v>
      </c>
      <c r="D384" t="str" cm="1">
        <f t="array" ref="D384">INDEX($H$2:$H$35, MATCH(1, (A384 &gt;= $F$2:$F$35) * (A384 &lt;= $G$2:$G$35), 0))</f>
        <v>01-02-2025 to 07-02-2025</v>
      </c>
      <c r="E384" t="str">
        <f>IF(COUNTIF('Top5'!I:I, D384) &gt; 0, "Yes", "No")</f>
        <v>No</v>
      </c>
    </row>
    <row r="385" spans="1:5">
      <c r="A385" s="1">
        <v>45689</v>
      </c>
      <c r="B385" s="6">
        <v>0.64027777777777772</v>
      </c>
      <c r="C385" s="10" t="s">
        <v>71</v>
      </c>
      <c r="D385" t="str" cm="1">
        <f t="array" ref="D385">INDEX($H$2:$H$35, MATCH(1, (A385 &gt;= $F$2:$F$35) * (A385 &lt;= $G$2:$G$35), 0))</f>
        <v>01-02-2025 to 07-02-2025</v>
      </c>
      <c r="E385" t="str">
        <f>IF(COUNTIF('Top5'!I:I, D385) &gt; 0, "Yes", "No")</f>
        <v>No</v>
      </c>
    </row>
    <row r="386" spans="1:5">
      <c r="A386" s="1">
        <v>45690</v>
      </c>
      <c r="B386" s="6">
        <v>0.39791666666666664</v>
      </c>
      <c r="C386" s="10" t="s">
        <v>22</v>
      </c>
      <c r="D386" t="str" cm="1">
        <f t="array" ref="D386">INDEX($H$2:$H$35, MATCH(1, (A386 &gt;= $F$2:$F$35) * (A386 &lt;= $G$2:$G$35), 0))</f>
        <v>01-02-2025 to 07-02-2025</v>
      </c>
      <c r="E386" t="str">
        <f>IF(COUNTIF('Top5'!I:I, D386) &gt; 0, "Yes", "No")</f>
        <v>No</v>
      </c>
    </row>
    <row r="387" spans="1:5">
      <c r="A387" s="1">
        <v>45690</v>
      </c>
      <c r="B387" s="6">
        <v>0.4</v>
      </c>
      <c r="C387" s="10" t="s">
        <v>22</v>
      </c>
      <c r="D387" t="str" cm="1">
        <f t="array" ref="D387">INDEX($H$2:$H$35, MATCH(1, (A387 &gt;= $F$2:$F$35) * (A387 &lt;= $G$2:$G$35), 0))</f>
        <v>01-02-2025 to 07-02-2025</v>
      </c>
      <c r="E387" t="str">
        <f>IF(COUNTIF('Top5'!I:I, D387) &gt; 0, "Yes", "No")</f>
        <v>No</v>
      </c>
    </row>
    <row r="388" spans="1:5">
      <c r="A388" s="1">
        <v>45690</v>
      </c>
      <c r="B388" s="6">
        <v>0.4</v>
      </c>
      <c r="C388" s="10" t="s">
        <v>22</v>
      </c>
      <c r="D388" t="str" cm="1">
        <f t="array" ref="D388">INDEX($H$2:$H$35, MATCH(1, (A388 &gt;= $F$2:$F$35) * (A388 &lt;= $G$2:$G$35), 0))</f>
        <v>01-02-2025 to 07-02-2025</v>
      </c>
      <c r="E388" t="str">
        <f>IF(COUNTIF('Top5'!I:I, D388) &gt; 0, "Yes", "No")</f>
        <v>No</v>
      </c>
    </row>
    <row r="389" spans="1:5">
      <c r="A389" s="1">
        <v>45690</v>
      </c>
      <c r="B389" s="6">
        <v>0.40972222222222221</v>
      </c>
      <c r="C389" s="10" t="s">
        <v>22</v>
      </c>
      <c r="D389" t="str" cm="1">
        <f t="array" ref="D389">INDEX($H$2:$H$35, MATCH(1, (A389 &gt;= $F$2:$F$35) * (A389 &lt;= $G$2:$G$35), 0))</f>
        <v>01-02-2025 to 07-02-2025</v>
      </c>
      <c r="E389" t="str">
        <f>IF(COUNTIF('Top5'!I:I, D389) &gt; 0, "Yes", "No")</f>
        <v>No</v>
      </c>
    </row>
    <row r="390" spans="1:5">
      <c r="A390" s="1">
        <v>45692</v>
      </c>
      <c r="B390" s="6">
        <v>0.49652777777777779</v>
      </c>
      <c r="C390" s="10" t="s">
        <v>22</v>
      </c>
      <c r="D390" t="str" cm="1">
        <f t="array" ref="D390">INDEX($H$2:$H$35, MATCH(1, (A390 &gt;= $F$2:$F$35) * (A390 &lt;= $G$2:$G$35), 0))</f>
        <v>01-02-2025 to 07-02-2025</v>
      </c>
      <c r="E390" t="str">
        <f>IF(COUNTIF('Top5'!I:I, D390) &gt; 0, "Yes", "No")</f>
        <v>No</v>
      </c>
    </row>
    <row r="391" spans="1:5">
      <c r="A391" s="1">
        <v>45692</v>
      </c>
      <c r="B391" s="6">
        <v>0.97986111111111107</v>
      </c>
      <c r="C391" s="10" t="s">
        <v>70</v>
      </c>
      <c r="D391" t="str" cm="1">
        <f t="array" ref="D391">INDEX($H$2:$H$35, MATCH(1, (A391 &gt;= $F$2:$F$35) * (A391 &lt;= $G$2:$G$35), 0))</f>
        <v>01-02-2025 to 07-02-2025</v>
      </c>
      <c r="E391" t="str">
        <f>IF(COUNTIF('Top5'!I:I, D391) &gt; 0, "Yes", "No")</f>
        <v>No</v>
      </c>
    </row>
    <row r="392" spans="1:5">
      <c r="A392" s="1">
        <v>45693</v>
      </c>
      <c r="B392" s="6">
        <v>2.7777777777777779E-3</v>
      </c>
      <c r="C392" s="10" t="s">
        <v>70</v>
      </c>
      <c r="D392" t="str" cm="1">
        <f t="array" ref="D392">INDEX($H$2:$H$35, MATCH(1, (A392 &gt;= $F$2:$F$35) * (A392 &lt;= $G$2:$G$35), 0))</f>
        <v>01-02-2025 to 07-02-2025</v>
      </c>
      <c r="E392" t="str">
        <f>IF(COUNTIF('Top5'!I:I, D392) &gt; 0, "Yes", "No")</f>
        <v>No</v>
      </c>
    </row>
    <row r="393" spans="1:5">
      <c r="A393" s="1">
        <v>45693</v>
      </c>
      <c r="B393" s="6">
        <v>0.39791666666666664</v>
      </c>
      <c r="C393" s="10" t="s">
        <v>22</v>
      </c>
      <c r="D393" t="str" cm="1">
        <f t="array" ref="D393">INDEX($H$2:$H$35, MATCH(1, (A393 &gt;= $F$2:$F$35) * (A393 &lt;= $G$2:$G$35), 0))</f>
        <v>01-02-2025 to 07-02-2025</v>
      </c>
      <c r="E393" t="str">
        <f>IF(COUNTIF('Top5'!I:I, D393) &gt; 0, "Yes", "No")</f>
        <v>No</v>
      </c>
    </row>
    <row r="394" spans="1:5">
      <c r="A394" s="1">
        <v>45693</v>
      </c>
      <c r="B394" s="6">
        <v>0.62430555555555556</v>
      </c>
      <c r="C394" s="10" t="s">
        <v>71</v>
      </c>
      <c r="D394" t="str" cm="1">
        <f t="array" ref="D394">INDEX($H$2:$H$35, MATCH(1, (A394 &gt;= $F$2:$F$35) * (A394 &lt;= $G$2:$G$35), 0))</f>
        <v>01-02-2025 to 07-02-2025</v>
      </c>
      <c r="E394" t="str">
        <f>IF(COUNTIF('Top5'!I:I, D394) &gt; 0, "Yes", "No")</f>
        <v>No</v>
      </c>
    </row>
    <row r="395" spans="1:5">
      <c r="A395" s="1">
        <v>45694</v>
      </c>
      <c r="B395" s="6">
        <v>0.42986111111111114</v>
      </c>
      <c r="C395" s="10" t="s">
        <v>22</v>
      </c>
      <c r="D395" t="str" cm="1">
        <f t="array" ref="D395">INDEX($H$2:$H$35, MATCH(1, (A395 &gt;= $F$2:$F$35) * (A395 &lt;= $G$2:$G$35), 0))</f>
        <v>01-02-2025 to 07-02-2025</v>
      </c>
      <c r="E395" t="str">
        <f>IF(COUNTIF('Top5'!I:I, D395) &gt; 0, "Yes", "No")</f>
        <v>No</v>
      </c>
    </row>
    <row r="396" spans="1:5">
      <c r="A396" s="1">
        <v>45694</v>
      </c>
      <c r="B396" s="6">
        <v>0.86597222222222225</v>
      </c>
      <c r="C396" s="10" t="s">
        <v>70</v>
      </c>
      <c r="D396" t="str" cm="1">
        <f t="array" ref="D396">INDEX($H$2:$H$35, MATCH(1, (A396 &gt;= $F$2:$F$35) * (A396 &lt;= $G$2:$G$35), 0))</f>
        <v>01-02-2025 to 07-02-2025</v>
      </c>
      <c r="E396" t="str">
        <f>IF(COUNTIF('Top5'!I:I, D396) &gt; 0, "Yes", "No")</f>
        <v>No</v>
      </c>
    </row>
    <row r="397" spans="1:5">
      <c r="A397" s="1">
        <v>45694</v>
      </c>
      <c r="B397" s="6">
        <v>0.88958333333333328</v>
      </c>
      <c r="C397" s="10" t="s">
        <v>70</v>
      </c>
      <c r="D397" t="str" cm="1">
        <f t="array" ref="D397">INDEX($H$2:$H$35, MATCH(1, (A397 &gt;= $F$2:$F$35) * (A397 &lt;= $G$2:$G$35), 0))</f>
        <v>01-02-2025 to 07-02-2025</v>
      </c>
      <c r="E397" t="str">
        <f>IF(COUNTIF('Top5'!I:I, D397) &gt; 0, "Yes", "No")</f>
        <v>No</v>
      </c>
    </row>
    <row r="398" spans="1:5">
      <c r="A398" s="1">
        <v>45694</v>
      </c>
      <c r="B398" s="6">
        <v>0.89027777777777772</v>
      </c>
      <c r="C398" s="10" t="s">
        <v>70</v>
      </c>
      <c r="D398" t="str" cm="1">
        <f t="array" ref="D398">INDEX($H$2:$H$35, MATCH(1, (A398 &gt;= $F$2:$F$35) * (A398 &lt;= $G$2:$G$35), 0))</f>
        <v>01-02-2025 to 07-02-2025</v>
      </c>
      <c r="E398" t="str">
        <f>IF(COUNTIF('Top5'!I:I, D398) &gt; 0, "Yes", "No")</f>
        <v>No</v>
      </c>
    </row>
    <row r="399" spans="1:5">
      <c r="A399" s="1">
        <v>45694</v>
      </c>
      <c r="B399" s="6">
        <v>0.95</v>
      </c>
      <c r="C399" s="10" t="s">
        <v>70</v>
      </c>
      <c r="D399" t="str" cm="1">
        <f t="array" ref="D399">INDEX($H$2:$H$35, MATCH(1, (A399 &gt;= $F$2:$F$35) * (A399 &lt;= $G$2:$G$35), 0))</f>
        <v>01-02-2025 to 07-02-2025</v>
      </c>
      <c r="E399" t="str">
        <f>IF(COUNTIF('Top5'!I:I, D399) &gt; 0, "Yes", "No")</f>
        <v>No</v>
      </c>
    </row>
    <row r="400" spans="1:5">
      <c r="A400" s="1">
        <v>45695</v>
      </c>
      <c r="B400" s="6">
        <v>0.44027777777777777</v>
      </c>
      <c r="C400" s="10" t="s">
        <v>22</v>
      </c>
      <c r="D400" t="str" cm="1">
        <f t="array" ref="D400">INDEX($H$2:$H$35, MATCH(1, (A400 &gt;= $F$2:$F$35) * (A400 &lt;= $G$2:$G$35), 0))</f>
        <v>01-02-2025 to 07-02-2025</v>
      </c>
      <c r="E400" t="str">
        <f>IF(COUNTIF('Top5'!I:I, D400) &gt; 0, "Yes", "No")</f>
        <v>No</v>
      </c>
    </row>
    <row r="401" spans="1:5">
      <c r="A401" s="1">
        <v>45695</v>
      </c>
      <c r="B401" s="6">
        <v>0.60902777777777772</v>
      </c>
      <c r="C401" s="10" t="s">
        <v>71</v>
      </c>
      <c r="D401" t="str" cm="1">
        <f t="array" ref="D401">INDEX($H$2:$H$35, MATCH(1, (A401 &gt;= $F$2:$F$35) * (A401 &lt;= $G$2:$G$35), 0))</f>
        <v>01-02-2025 to 07-02-2025</v>
      </c>
      <c r="E401" t="str">
        <f>IF(COUNTIF('Top5'!I:I, D401) &gt; 0, "Yes", "No")</f>
        <v>No</v>
      </c>
    </row>
    <row r="402" spans="1:5">
      <c r="A402" s="1">
        <v>45695</v>
      </c>
      <c r="B402" s="6">
        <v>0.83819444444444446</v>
      </c>
      <c r="C402" s="10" t="s">
        <v>70</v>
      </c>
      <c r="D402" t="str" cm="1">
        <f t="array" ref="D402">INDEX($H$2:$H$35, MATCH(1, (A402 &gt;= $F$2:$F$35) * (A402 &lt;= $G$2:$G$35), 0))</f>
        <v>01-02-2025 to 07-02-2025</v>
      </c>
      <c r="E402" t="str">
        <f>IF(COUNTIF('Top5'!I:I, D402) &gt; 0, "Yes", "No")</f>
        <v>No</v>
      </c>
    </row>
    <row r="403" spans="1:5">
      <c r="A403" s="1">
        <v>45695</v>
      </c>
      <c r="B403" s="6">
        <v>0.94930555555555551</v>
      </c>
      <c r="C403" s="10" t="s">
        <v>70</v>
      </c>
      <c r="D403" t="str" cm="1">
        <f t="array" ref="D403">INDEX($H$2:$H$35, MATCH(1, (A403 &gt;= $F$2:$F$35) * (A403 &lt;= $G$2:$G$35), 0))</f>
        <v>01-02-2025 to 07-02-2025</v>
      </c>
      <c r="E403" t="str">
        <f>IF(COUNTIF('Top5'!I:I, D403) &gt; 0, "Yes", "No")</f>
        <v>No</v>
      </c>
    </row>
    <row r="404" spans="1:5">
      <c r="A404" s="1">
        <v>45695</v>
      </c>
      <c r="B404" s="6">
        <v>0.9506944444444444</v>
      </c>
      <c r="C404" s="10" t="s">
        <v>70</v>
      </c>
      <c r="D404" t="str" cm="1">
        <f t="array" ref="D404">INDEX($H$2:$H$35, MATCH(1, (A404 &gt;= $F$2:$F$35) * (A404 &lt;= $G$2:$G$35), 0))</f>
        <v>01-02-2025 to 07-02-2025</v>
      </c>
      <c r="E404" t="str">
        <f>IF(COUNTIF('Top5'!I:I, D404) &gt; 0, "Yes", "No")</f>
        <v>No</v>
      </c>
    </row>
    <row r="405" spans="1:5">
      <c r="A405" s="1">
        <v>45695</v>
      </c>
      <c r="B405" s="6">
        <v>0.95486111111111116</v>
      </c>
      <c r="C405" s="10" t="s">
        <v>70</v>
      </c>
      <c r="D405" t="str" cm="1">
        <f t="array" ref="D405">INDEX($H$2:$H$35, MATCH(1, (A405 &gt;= $F$2:$F$35) * (A405 &lt;= $G$2:$G$35), 0))</f>
        <v>01-02-2025 to 07-02-2025</v>
      </c>
      <c r="E405" t="str">
        <f>IF(COUNTIF('Top5'!I:I, D405) &gt; 0, "Yes", "No")</f>
        <v>No</v>
      </c>
    </row>
    <row r="406" spans="1:5">
      <c r="A406" s="1">
        <v>45695</v>
      </c>
      <c r="B406" s="6">
        <v>0.98541666666666672</v>
      </c>
      <c r="C406" s="10" t="s">
        <v>70</v>
      </c>
      <c r="D406" t="str" cm="1">
        <f t="array" ref="D406">INDEX($H$2:$H$35, MATCH(1, (A406 &gt;= $F$2:$F$35) * (A406 &lt;= $G$2:$G$35), 0))</f>
        <v>01-02-2025 to 07-02-2025</v>
      </c>
      <c r="E406" t="str">
        <f>IF(COUNTIF('Top5'!I:I, D406) &gt; 0, "Yes", "No")</f>
        <v>No</v>
      </c>
    </row>
    <row r="407" spans="1:5">
      <c r="A407" s="1">
        <v>45696</v>
      </c>
      <c r="B407" s="6">
        <v>0.97013888888888888</v>
      </c>
      <c r="C407" s="10" t="s">
        <v>70</v>
      </c>
      <c r="D407" t="str" cm="1">
        <f t="array" ref="D407">INDEX($H$2:$H$35, MATCH(1, (A407 &gt;= $F$2:$F$35) * (A407 &lt;= $G$2:$G$35), 0))</f>
        <v>08-02-2025 to 14-02-2025</v>
      </c>
      <c r="E407" t="str">
        <f>IF(COUNTIF('Top5'!I:I, D407) &gt; 0, "Yes", "No")</f>
        <v>No</v>
      </c>
    </row>
    <row r="408" spans="1:5">
      <c r="A408" s="1">
        <v>45696</v>
      </c>
      <c r="B408" s="6">
        <v>0.9770833333333333</v>
      </c>
      <c r="C408" s="10" t="s">
        <v>70</v>
      </c>
      <c r="D408" t="str" cm="1">
        <f t="array" ref="D408">INDEX($H$2:$H$35, MATCH(1, (A408 &gt;= $F$2:$F$35) * (A408 &lt;= $G$2:$G$35), 0))</f>
        <v>08-02-2025 to 14-02-2025</v>
      </c>
      <c r="E408" t="str">
        <f>IF(COUNTIF('Top5'!I:I, D408) &gt; 0, "Yes", "No")</f>
        <v>No</v>
      </c>
    </row>
    <row r="409" spans="1:5">
      <c r="A409" s="1">
        <v>45697</v>
      </c>
      <c r="B409" s="6">
        <v>5.5555555555555558E-3</v>
      </c>
      <c r="C409" s="10" t="s">
        <v>70</v>
      </c>
      <c r="D409" t="str" cm="1">
        <f t="array" ref="D409">INDEX($H$2:$H$35, MATCH(1, (A409 &gt;= $F$2:$F$35) * (A409 &lt;= $G$2:$G$35), 0))</f>
        <v>08-02-2025 to 14-02-2025</v>
      </c>
      <c r="E409" t="str">
        <f>IF(COUNTIF('Top5'!I:I, D409) &gt; 0, "Yes", "No")</f>
        <v>No</v>
      </c>
    </row>
    <row r="410" spans="1:5">
      <c r="A410" s="1">
        <v>45697</v>
      </c>
      <c r="B410" s="6">
        <v>1.0416666666666666E-2</v>
      </c>
      <c r="C410" s="10" t="s">
        <v>70</v>
      </c>
      <c r="D410" t="str" cm="1">
        <f t="array" ref="D410">INDEX($H$2:$H$35, MATCH(1, (A410 &gt;= $F$2:$F$35) * (A410 &lt;= $G$2:$G$35), 0))</f>
        <v>08-02-2025 to 14-02-2025</v>
      </c>
      <c r="E410" t="str">
        <f>IF(COUNTIF('Top5'!I:I, D410) &gt; 0, "Yes", "No")</f>
        <v>No</v>
      </c>
    </row>
    <row r="411" spans="1:5">
      <c r="A411" s="1">
        <v>45697</v>
      </c>
      <c r="B411" s="6">
        <v>1.1111111111111112E-2</v>
      </c>
      <c r="C411" s="10" t="s">
        <v>70</v>
      </c>
      <c r="D411" t="str" cm="1">
        <f t="array" ref="D411">INDEX($H$2:$H$35, MATCH(1, (A411 &gt;= $F$2:$F$35) * (A411 &lt;= $G$2:$G$35), 0))</f>
        <v>08-02-2025 to 14-02-2025</v>
      </c>
      <c r="E411" t="str">
        <f>IF(COUNTIF('Top5'!I:I, D411) &gt; 0, "Yes", "No")</f>
        <v>No</v>
      </c>
    </row>
    <row r="412" spans="1:5">
      <c r="A412" s="1">
        <v>45697</v>
      </c>
      <c r="B412" s="6">
        <v>1.1111111111111112E-2</v>
      </c>
      <c r="C412" s="10" t="s">
        <v>70</v>
      </c>
      <c r="D412" t="str" cm="1">
        <f t="array" ref="D412">INDEX($H$2:$H$35, MATCH(1, (A412 &gt;= $F$2:$F$35) * (A412 &lt;= $G$2:$G$35), 0))</f>
        <v>08-02-2025 to 14-02-2025</v>
      </c>
      <c r="E412" t="str">
        <f>IF(COUNTIF('Top5'!I:I, D412) &gt; 0, "Yes", "No")</f>
        <v>No</v>
      </c>
    </row>
    <row r="413" spans="1:5">
      <c r="A413" s="1">
        <v>45697</v>
      </c>
      <c r="B413" s="6">
        <v>1.5277777777777777E-2</v>
      </c>
      <c r="C413" s="10" t="s">
        <v>70</v>
      </c>
      <c r="D413" t="str" cm="1">
        <f t="array" ref="D413">INDEX($H$2:$H$35, MATCH(1, (A413 &gt;= $F$2:$F$35) * (A413 &lt;= $G$2:$G$35), 0))</f>
        <v>08-02-2025 to 14-02-2025</v>
      </c>
      <c r="E413" t="str">
        <f>IF(COUNTIF('Top5'!I:I, D413) &gt; 0, "Yes", "No")</f>
        <v>No</v>
      </c>
    </row>
    <row r="414" spans="1:5">
      <c r="A414" s="1">
        <v>45697</v>
      </c>
      <c r="B414" s="6">
        <v>0.63888888888888884</v>
      </c>
      <c r="C414" s="10" t="s">
        <v>71</v>
      </c>
      <c r="D414" t="str" cm="1">
        <f t="array" ref="D414">INDEX($H$2:$H$35, MATCH(1, (A414 &gt;= $F$2:$F$35) * (A414 &lt;= $G$2:$G$35), 0))</f>
        <v>08-02-2025 to 14-02-2025</v>
      </c>
      <c r="E414" t="str">
        <f>IF(COUNTIF('Top5'!I:I, D414) &gt; 0, "Yes", "No")</f>
        <v>No</v>
      </c>
    </row>
    <row r="415" spans="1:5">
      <c r="A415" s="1">
        <v>45697</v>
      </c>
      <c r="B415" s="6">
        <v>0.95625000000000004</v>
      </c>
      <c r="C415" s="10" t="s">
        <v>70</v>
      </c>
      <c r="D415" t="str" cm="1">
        <f t="array" ref="D415">INDEX($H$2:$H$35, MATCH(1, (A415 &gt;= $F$2:$F$35) * (A415 &lt;= $G$2:$G$35), 0))</f>
        <v>08-02-2025 to 14-02-2025</v>
      </c>
      <c r="E415" t="str">
        <f>IF(COUNTIF('Top5'!I:I, D415) &gt; 0, "Yes", "No")</f>
        <v>No</v>
      </c>
    </row>
    <row r="416" spans="1:5">
      <c r="A416" s="1">
        <v>45698</v>
      </c>
      <c r="B416" s="6">
        <v>0.89097222222222228</v>
      </c>
      <c r="C416" s="10" t="s">
        <v>70</v>
      </c>
      <c r="D416" t="str" cm="1">
        <f t="array" ref="D416">INDEX($H$2:$H$35, MATCH(1, (A416 &gt;= $F$2:$F$35) * (A416 &lt;= $G$2:$G$35), 0))</f>
        <v>08-02-2025 to 14-02-2025</v>
      </c>
      <c r="E416" t="str">
        <f>IF(COUNTIF('Top5'!I:I, D416) &gt; 0, "Yes", "No")</f>
        <v>No</v>
      </c>
    </row>
    <row r="417" spans="1:5">
      <c r="A417" s="1">
        <v>45699</v>
      </c>
      <c r="B417" s="6">
        <v>0.50624999999999998</v>
      </c>
      <c r="C417" s="10" t="s">
        <v>71</v>
      </c>
      <c r="D417" t="str" cm="1">
        <f t="array" ref="D417">INDEX($H$2:$H$35, MATCH(1, (A417 &gt;= $F$2:$F$35) * (A417 &lt;= $G$2:$G$35), 0))</f>
        <v>08-02-2025 to 14-02-2025</v>
      </c>
      <c r="E417" t="str">
        <f>IF(COUNTIF('Top5'!I:I, D417) &gt; 0, "Yes", "No")</f>
        <v>No</v>
      </c>
    </row>
    <row r="418" spans="1:5">
      <c r="A418" s="1">
        <v>45700</v>
      </c>
      <c r="B418" s="6">
        <v>1.6666666666666666E-2</v>
      </c>
      <c r="C418" s="10" t="s">
        <v>70</v>
      </c>
      <c r="D418" t="str" cm="1">
        <f t="array" ref="D418">INDEX($H$2:$H$35, MATCH(1, (A418 &gt;= $F$2:$F$35) * (A418 &lt;= $G$2:$G$35), 0))</f>
        <v>08-02-2025 to 14-02-2025</v>
      </c>
      <c r="E418" t="str">
        <f>IF(COUNTIF('Top5'!I:I, D418) &gt; 0, "Yes", "No")</f>
        <v>No</v>
      </c>
    </row>
    <row r="419" spans="1:5">
      <c r="A419" s="1">
        <v>45700</v>
      </c>
      <c r="B419" s="6">
        <v>1.9444444444444445E-2</v>
      </c>
      <c r="C419" s="10" t="s">
        <v>70</v>
      </c>
      <c r="D419" t="str" cm="1">
        <f t="array" ref="D419">INDEX($H$2:$H$35, MATCH(1, (A419 &gt;= $F$2:$F$35) * (A419 &lt;= $G$2:$G$35), 0))</f>
        <v>08-02-2025 to 14-02-2025</v>
      </c>
      <c r="E419" t="str">
        <f>IF(COUNTIF('Top5'!I:I, D419) &gt; 0, "Yes", "No")</f>
        <v>No</v>
      </c>
    </row>
    <row r="420" spans="1:5">
      <c r="A420" s="1">
        <v>45700</v>
      </c>
      <c r="B420" s="6">
        <v>0.50138888888888888</v>
      </c>
      <c r="C420" s="10" t="s">
        <v>71</v>
      </c>
      <c r="D420" t="str" cm="1">
        <f t="array" ref="D420">INDEX($H$2:$H$35, MATCH(1, (A420 &gt;= $F$2:$F$35) * (A420 &lt;= $G$2:$G$35), 0))</f>
        <v>08-02-2025 to 14-02-2025</v>
      </c>
      <c r="E420" t="str">
        <f>IF(COUNTIF('Top5'!I:I, D420) &gt; 0, "Yes", "No")</f>
        <v>No</v>
      </c>
    </row>
    <row r="421" spans="1:5">
      <c r="A421" s="1">
        <v>45700</v>
      </c>
      <c r="B421" s="6">
        <v>0.52430555555555558</v>
      </c>
      <c r="C421" s="10" t="s">
        <v>71</v>
      </c>
      <c r="D421" t="str" cm="1">
        <f t="array" ref="D421">INDEX($H$2:$H$35, MATCH(1, (A421 &gt;= $F$2:$F$35) * (A421 &lt;= $G$2:$G$35), 0))</f>
        <v>08-02-2025 to 14-02-2025</v>
      </c>
      <c r="E421" t="str">
        <f>IF(COUNTIF('Top5'!I:I, D421) &gt; 0, "Yes", "No")</f>
        <v>No</v>
      </c>
    </row>
    <row r="422" spans="1:5">
      <c r="A422" s="1">
        <v>45700</v>
      </c>
      <c r="B422" s="6">
        <v>0.54374999999999996</v>
      </c>
      <c r="C422" s="10" t="s">
        <v>71</v>
      </c>
      <c r="D422" t="str" cm="1">
        <f t="array" ref="D422">INDEX($H$2:$H$35, MATCH(1, (A422 &gt;= $F$2:$F$35) * (A422 &lt;= $G$2:$G$35), 0))</f>
        <v>08-02-2025 to 14-02-2025</v>
      </c>
      <c r="E422" t="str">
        <f>IF(COUNTIF('Top5'!I:I, D422) &gt; 0, "Yes", "No")</f>
        <v>No</v>
      </c>
    </row>
    <row r="423" spans="1:5">
      <c r="A423" s="1">
        <v>45700</v>
      </c>
      <c r="B423" s="6">
        <v>0.61527777777777781</v>
      </c>
      <c r="C423" s="10" t="s">
        <v>71</v>
      </c>
      <c r="D423" t="str" cm="1">
        <f t="array" ref="D423">INDEX($H$2:$H$35, MATCH(1, (A423 &gt;= $F$2:$F$35) * (A423 &lt;= $G$2:$G$35), 0))</f>
        <v>08-02-2025 to 14-02-2025</v>
      </c>
      <c r="E423" t="str">
        <f>IF(COUNTIF('Top5'!I:I, D423) &gt; 0, "Yes", "No")</f>
        <v>No</v>
      </c>
    </row>
    <row r="424" spans="1:5">
      <c r="A424" s="1">
        <v>45700</v>
      </c>
      <c r="B424" s="6">
        <v>0.9458333333333333</v>
      </c>
      <c r="C424" s="10" t="s">
        <v>70</v>
      </c>
      <c r="D424" t="str" cm="1">
        <f t="array" ref="D424">INDEX($H$2:$H$35, MATCH(1, (A424 &gt;= $F$2:$F$35) * (A424 &lt;= $G$2:$G$35), 0))</f>
        <v>08-02-2025 to 14-02-2025</v>
      </c>
      <c r="E424" t="str">
        <f>IF(COUNTIF('Top5'!I:I, D424) &gt; 0, "Yes", "No")</f>
        <v>No</v>
      </c>
    </row>
    <row r="425" spans="1:5">
      <c r="A425" s="1">
        <v>45700</v>
      </c>
      <c r="B425" s="6">
        <v>0.99236111111111114</v>
      </c>
      <c r="C425" s="10" t="s">
        <v>70</v>
      </c>
      <c r="D425" t="str" cm="1">
        <f t="array" ref="D425">INDEX($H$2:$H$35, MATCH(1, (A425 &gt;= $F$2:$F$35) * (A425 &lt;= $G$2:$G$35), 0))</f>
        <v>08-02-2025 to 14-02-2025</v>
      </c>
      <c r="E425" t="str">
        <f>IF(COUNTIF('Top5'!I:I, D425) &gt; 0, "Yes", "No")</f>
        <v>No</v>
      </c>
    </row>
    <row r="426" spans="1:5">
      <c r="A426" s="1">
        <v>45701</v>
      </c>
      <c r="B426" s="6">
        <v>0.42708333333333331</v>
      </c>
      <c r="C426" s="10" t="s">
        <v>22</v>
      </c>
      <c r="D426" t="str" cm="1">
        <f t="array" ref="D426">INDEX($H$2:$H$35, MATCH(1, (A426 &gt;= $F$2:$F$35) * (A426 &lt;= $G$2:$G$35), 0))</f>
        <v>08-02-2025 to 14-02-2025</v>
      </c>
      <c r="E426" t="str">
        <f>IF(COUNTIF('Top5'!I:I, D426) &gt; 0, "Yes", "No")</f>
        <v>No</v>
      </c>
    </row>
    <row r="427" spans="1:5">
      <c r="A427" s="1">
        <v>45701</v>
      </c>
      <c r="B427" s="6">
        <v>0.86041666666666672</v>
      </c>
      <c r="C427" s="10" t="s">
        <v>70</v>
      </c>
      <c r="D427" t="str" cm="1">
        <f t="array" ref="D427">INDEX($H$2:$H$35, MATCH(1, (A427 &gt;= $F$2:$F$35) * (A427 &lt;= $G$2:$G$35), 0))</f>
        <v>08-02-2025 to 14-02-2025</v>
      </c>
      <c r="E427" t="str">
        <f>IF(COUNTIF('Top5'!I:I, D427) &gt; 0, "Yes", "No")</f>
        <v>No</v>
      </c>
    </row>
    <row r="428" spans="1:5">
      <c r="A428" s="1">
        <v>45701</v>
      </c>
      <c r="B428" s="6">
        <v>0.86458333333333337</v>
      </c>
      <c r="C428" s="10" t="s">
        <v>70</v>
      </c>
      <c r="D428" t="str" cm="1">
        <f t="array" ref="D428">INDEX($H$2:$H$35, MATCH(1, (A428 &gt;= $F$2:$F$35) * (A428 &lt;= $G$2:$G$35), 0))</f>
        <v>08-02-2025 to 14-02-2025</v>
      </c>
      <c r="E428" t="str">
        <f>IF(COUNTIF('Top5'!I:I, D428) &gt; 0, "Yes", "No")</f>
        <v>No</v>
      </c>
    </row>
    <row r="429" spans="1:5">
      <c r="A429" s="1">
        <v>45701</v>
      </c>
      <c r="B429" s="6">
        <v>0.86458333333333337</v>
      </c>
      <c r="C429" s="10" t="s">
        <v>70</v>
      </c>
      <c r="D429" t="str" cm="1">
        <f t="array" ref="D429">INDEX($H$2:$H$35, MATCH(1, (A429 &gt;= $F$2:$F$35) * (A429 &lt;= $G$2:$G$35), 0))</f>
        <v>08-02-2025 to 14-02-2025</v>
      </c>
      <c r="E429" t="str">
        <f>IF(COUNTIF('Top5'!I:I, D429) &gt; 0, "Yes", "No")</f>
        <v>No</v>
      </c>
    </row>
    <row r="430" spans="1:5">
      <c r="A430" s="1">
        <v>45701</v>
      </c>
      <c r="B430" s="6">
        <v>0.88680555555555551</v>
      </c>
      <c r="C430" s="10" t="s">
        <v>70</v>
      </c>
      <c r="D430" t="str" cm="1">
        <f t="array" ref="D430">INDEX($H$2:$H$35, MATCH(1, (A430 &gt;= $F$2:$F$35) * (A430 &lt;= $G$2:$G$35), 0))</f>
        <v>08-02-2025 to 14-02-2025</v>
      </c>
      <c r="E430" t="str">
        <f>IF(COUNTIF('Top5'!I:I, D430) &gt; 0, "Yes", "No")</f>
        <v>No</v>
      </c>
    </row>
    <row r="431" spans="1:5">
      <c r="A431" s="1">
        <v>45702</v>
      </c>
      <c r="B431" s="6">
        <v>0.37847222222222221</v>
      </c>
      <c r="C431" s="10" t="s">
        <v>22</v>
      </c>
      <c r="D431" t="str" cm="1">
        <f t="array" ref="D431">INDEX($H$2:$H$35, MATCH(1, (A431 &gt;= $F$2:$F$35) * (A431 &lt;= $G$2:$G$35), 0))</f>
        <v>08-02-2025 to 14-02-2025</v>
      </c>
      <c r="E431" t="str">
        <f>IF(COUNTIF('Top5'!I:I, D431) &gt; 0, "Yes", "No")</f>
        <v>No</v>
      </c>
    </row>
    <row r="432" spans="1:5">
      <c r="A432" s="1">
        <v>45702</v>
      </c>
      <c r="B432" s="6">
        <v>0.38472222222222224</v>
      </c>
      <c r="C432" s="10" t="s">
        <v>22</v>
      </c>
      <c r="D432" t="str" cm="1">
        <f t="array" ref="D432">INDEX($H$2:$H$35, MATCH(1, (A432 &gt;= $F$2:$F$35) * (A432 &lt;= $G$2:$G$35), 0))</f>
        <v>08-02-2025 to 14-02-2025</v>
      </c>
      <c r="E432" t="str">
        <f>IF(COUNTIF('Top5'!I:I, D432) &gt; 0, "Yes", "No")</f>
        <v>No</v>
      </c>
    </row>
    <row r="433" spans="1:5">
      <c r="A433" s="1">
        <v>45702</v>
      </c>
      <c r="B433" s="6">
        <v>0.39444444444444443</v>
      </c>
      <c r="C433" s="10" t="s">
        <v>22</v>
      </c>
      <c r="D433" t="str" cm="1">
        <f t="array" ref="D433">INDEX($H$2:$H$35, MATCH(1, (A433 &gt;= $F$2:$F$35) * (A433 &lt;= $G$2:$G$35), 0))</f>
        <v>08-02-2025 to 14-02-2025</v>
      </c>
      <c r="E433" t="str">
        <f>IF(COUNTIF('Top5'!I:I, D433) &gt; 0, "Yes", "No")</f>
        <v>No</v>
      </c>
    </row>
    <row r="434" spans="1:5">
      <c r="A434" s="1">
        <v>45702</v>
      </c>
      <c r="B434" s="6">
        <v>0.40833333333333333</v>
      </c>
      <c r="C434" s="10" t="s">
        <v>22</v>
      </c>
      <c r="D434" t="str" cm="1">
        <f t="array" ref="D434">INDEX($H$2:$H$35, MATCH(1, (A434 &gt;= $F$2:$F$35) * (A434 &lt;= $G$2:$G$35), 0))</f>
        <v>08-02-2025 to 14-02-2025</v>
      </c>
      <c r="E434" t="str">
        <f>IF(COUNTIF('Top5'!I:I, D434) &gt; 0, "Yes", "No")</f>
        <v>No</v>
      </c>
    </row>
    <row r="435" spans="1:5">
      <c r="A435" s="1">
        <v>45703</v>
      </c>
      <c r="B435" s="6">
        <v>1.1111111111111112E-2</v>
      </c>
      <c r="C435" s="10" t="s">
        <v>70</v>
      </c>
      <c r="D435" t="str" cm="1">
        <f t="array" ref="D435">INDEX($H$2:$H$35, MATCH(1, (A435 &gt;= $F$2:$F$35) * (A435 &lt;= $G$2:$G$35), 0))</f>
        <v>15-02-2025 to 21-02-2025</v>
      </c>
      <c r="E435" t="str">
        <f>IF(COUNTIF('Top5'!I:I, D435) &gt; 0, "Yes", "No")</f>
        <v>No</v>
      </c>
    </row>
    <row r="436" spans="1:5">
      <c r="A436" s="1">
        <v>45703</v>
      </c>
      <c r="B436" s="6">
        <v>1.1111111111111112E-2</v>
      </c>
      <c r="C436" s="10" t="s">
        <v>70</v>
      </c>
      <c r="D436" t="str" cm="1">
        <f t="array" ref="D436">INDEX($H$2:$H$35, MATCH(1, (A436 &gt;= $F$2:$F$35) * (A436 &lt;= $G$2:$G$35), 0))</f>
        <v>15-02-2025 to 21-02-2025</v>
      </c>
      <c r="E436" t="str">
        <f>IF(COUNTIF('Top5'!I:I, D436) &gt; 0, "Yes", "No")</f>
        <v>No</v>
      </c>
    </row>
    <row r="437" spans="1:5">
      <c r="A437" s="1">
        <v>45703</v>
      </c>
      <c r="B437" s="6">
        <v>1.8055555555555554E-2</v>
      </c>
      <c r="C437" s="10" t="s">
        <v>70</v>
      </c>
      <c r="D437" t="str" cm="1">
        <f t="array" ref="D437">INDEX($H$2:$H$35, MATCH(1, (A437 &gt;= $F$2:$F$35) * (A437 &lt;= $G$2:$G$35), 0))</f>
        <v>15-02-2025 to 21-02-2025</v>
      </c>
      <c r="E437" t="str">
        <f>IF(COUNTIF('Top5'!I:I, D437) &gt; 0, "Yes", "No")</f>
        <v>No</v>
      </c>
    </row>
    <row r="438" spans="1:5">
      <c r="A438" s="1">
        <v>45703</v>
      </c>
      <c r="B438" s="6">
        <v>0.58472222222222225</v>
      </c>
      <c r="C438" s="10" t="s">
        <v>71</v>
      </c>
      <c r="D438" t="str" cm="1">
        <f t="array" ref="D438">INDEX($H$2:$H$35, MATCH(1, (A438 &gt;= $F$2:$F$35) * (A438 &lt;= $G$2:$G$35), 0))</f>
        <v>15-02-2025 to 21-02-2025</v>
      </c>
      <c r="E438" t="str">
        <f>IF(COUNTIF('Top5'!I:I, D438) &gt; 0, "Yes", "No")</f>
        <v>No</v>
      </c>
    </row>
    <row r="439" spans="1:5">
      <c r="A439" s="1">
        <v>45703</v>
      </c>
      <c r="B439" s="6">
        <v>0.59513888888888888</v>
      </c>
      <c r="C439" s="10" t="s">
        <v>71</v>
      </c>
      <c r="D439" t="str" cm="1">
        <f t="array" ref="D439">INDEX($H$2:$H$35, MATCH(1, (A439 &gt;= $F$2:$F$35) * (A439 &lt;= $G$2:$G$35), 0))</f>
        <v>15-02-2025 to 21-02-2025</v>
      </c>
      <c r="E439" t="str">
        <f>IF(COUNTIF('Top5'!I:I, D439) &gt; 0, "Yes", "No")</f>
        <v>No</v>
      </c>
    </row>
    <row r="440" spans="1:5">
      <c r="A440" s="1">
        <v>45703</v>
      </c>
      <c r="B440" s="6">
        <v>0.59583333333333333</v>
      </c>
      <c r="C440" s="10" t="s">
        <v>71</v>
      </c>
      <c r="D440" t="str" cm="1">
        <f t="array" ref="D440">INDEX($H$2:$H$35, MATCH(1, (A440 &gt;= $F$2:$F$35) * (A440 &lt;= $G$2:$G$35), 0))</f>
        <v>15-02-2025 to 21-02-2025</v>
      </c>
      <c r="E440" t="str">
        <f>IF(COUNTIF('Top5'!I:I, D440) &gt; 0, "Yes", "No")</f>
        <v>No</v>
      </c>
    </row>
    <row r="441" spans="1:5">
      <c r="A441" s="1">
        <v>45704</v>
      </c>
      <c r="B441" s="6">
        <v>0.71111111111111114</v>
      </c>
      <c r="C441" s="10" t="s">
        <v>70</v>
      </c>
      <c r="D441" t="str" cm="1">
        <f t="array" ref="D441">INDEX($H$2:$H$35, MATCH(1, (A441 &gt;= $F$2:$F$35) * (A441 &lt;= $G$2:$G$35), 0))</f>
        <v>15-02-2025 to 21-02-2025</v>
      </c>
      <c r="E441" t="str">
        <f>IF(COUNTIF('Top5'!I:I, D441) &gt; 0, "Yes", "No")</f>
        <v>No</v>
      </c>
    </row>
    <row r="442" spans="1:5">
      <c r="A442" s="1">
        <v>45704</v>
      </c>
      <c r="B442" s="6">
        <v>0.71250000000000002</v>
      </c>
      <c r="C442" s="10" t="s">
        <v>70</v>
      </c>
      <c r="D442" t="str" cm="1">
        <f t="array" ref="D442">INDEX($H$2:$H$35, MATCH(1, (A442 &gt;= $F$2:$F$35) * (A442 &lt;= $G$2:$G$35), 0))</f>
        <v>15-02-2025 to 21-02-2025</v>
      </c>
      <c r="E442" t="str">
        <f>IF(COUNTIF('Top5'!I:I, D442) &gt; 0, "Yes", "No")</f>
        <v>No</v>
      </c>
    </row>
    <row r="443" spans="1:5">
      <c r="A443" s="1">
        <v>45704</v>
      </c>
      <c r="B443" s="6">
        <v>0.71388888888888891</v>
      </c>
      <c r="C443" s="10" t="s">
        <v>70</v>
      </c>
      <c r="D443" t="str" cm="1">
        <f t="array" ref="D443">INDEX($H$2:$H$35, MATCH(1, (A443 &gt;= $F$2:$F$35) * (A443 &lt;= $G$2:$G$35), 0))</f>
        <v>15-02-2025 to 21-02-2025</v>
      </c>
      <c r="E443" t="str">
        <f>IF(COUNTIF('Top5'!I:I, D443) &gt; 0, "Yes", "No")</f>
        <v>No</v>
      </c>
    </row>
    <row r="444" spans="1:5">
      <c r="A444" s="1">
        <v>45704</v>
      </c>
      <c r="B444" s="6">
        <v>0.71805555555555556</v>
      </c>
      <c r="C444" s="10" t="s">
        <v>70</v>
      </c>
      <c r="D444" t="str" cm="1">
        <f t="array" ref="D444">INDEX($H$2:$H$35, MATCH(1, (A444 &gt;= $F$2:$F$35) * (A444 &lt;= $G$2:$G$35), 0))</f>
        <v>15-02-2025 to 21-02-2025</v>
      </c>
      <c r="E444" t="str">
        <f>IF(COUNTIF('Top5'!I:I, D444) &gt; 0, "Yes", "No")</f>
        <v>No</v>
      </c>
    </row>
    <row r="445" spans="1:5">
      <c r="A445" s="1">
        <v>45704</v>
      </c>
      <c r="B445" s="6">
        <v>0.72430555555555554</v>
      </c>
      <c r="C445" s="10" t="s">
        <v>70</v>
      </c>
      <c r="D445" t="str" cm="1">
        <f t="array" ref="D445">INDEX($H$2:$H$35, MATCH(1, (A445 &gt;= $F$2:$F$35) * (A445 &lt;= $G$2:$G$35), 0))</f>
        <v>15-02-2025 to 21-02-2025</v>
      </c>
      <c r="E445" t="str">
        <f>IF(COUNTIF('Top5'!I:I, D445) &gt; 0, "Yes", "No")</f>
        <v>No</v>
      </c>
    </row>
    <row r="446" spans="1:5">
      <c r="A446" s="1">
        <v>45704</v>
      </c>
      <c r="B446" s="6">
        <v>0.99791666666666667</v>
      </c>
      <c r="C446" s="10" t="s">
        <v>70</v>
      </c>
      <c r="D446" t="str" cm="1">
        <f t="array" ref="D446">INDEX($H$2:$H$35, MATCH(1, (A446 &gt;= $F$2:$F$35) * (A446 &lt;= $G$2:$G$35), 0))</f>
        <v>15-02-2025 to 21-02-2025</v>
      </c>
      <c r="E446" t="str">
        <f>IF(COUNTIF('Top5'!I:I, D446) &gt; 0, "Yes", "No")</f>
        <v>No</v>
      </c>
    </row>
    <row r="447" spans="1:5">
      <c r="A447" s="1">
        <v>45705</v>
      </c>
      <c r="B447" s="6">
        <v>3.472222222222222E-3</v>
      </c>
      <c r="C447" s="10" t="s">
        <v>70</v>
      </c>
      <c r="D447" t="str" cm="1">
        <f t="array" ref="D447">INDEX($H$2:$H$35, MATCH(1, (A447 &gt;= $F$2:$F$35) * (A447 &lt;= $G$2:$G$35), 0))</f>
        <v>15-02-2025 to 21-02-2025</v>
      </c>
      <c r="E447" t="str">
        <f>IF(COUNTIF('Top5'!I:I, D447) &gt; 0, "Yes", "No")</f>
        <v>No</v>
      </c>
    </row>
    <row r="448" spans="1:5">
      <c r="A448" s="1">
        <v>45705</v>
      </c>
      <c r="B448" s="6">
        <v>0.96805555555555556</v>
      </c>
      <c r="C448" s="10" t="s">
        <v>70</v>
      </c>
      <c r="D448" t="str" cm="1">
        <f t="array" ref="D448">INDEX($H$2:$H$35, MATCH(1, (A448 &gt;= $F$2:$F$35) * (A448 &lt;= $G$2:$G$35), 0))</f>
        <v>15-02-2025 to 21-02-2025</v>
      </c>
      <c r="E448" t="str">
        <f>IF(COUNTIF('Top5'!I:I, D448) &gt; 0, "Yes", "No")</f>
        <v>No</v>
      </c>
    </row>
    <row r="449" spans="1:5">
      <c r="A449" s="1">
        <v>45707</v>
      </c>
      <c r="B449" s="6">
        <v>0.42083333333333334</v>
      </c>
      <c r="C449" s="10" t="s">
        <v>22</v>
      </c>
      <c r="D449" t="str" cm="1">
        <f t="array" ref="D449">INDEX($H$2:$H$35, MATCH(1, (A449 &gt;= $F$2:$F$35) * (A449 &lt;= $G$2:$G$35), 0))</f>
        <v>15-02-2025 to 21-02-2025</v>
      </c>
      <c r="E449" t="str">
        <f>IF(COUNTIF('Top5'!I:I, D449) &gt; 0, "Yes", "No")</f>
        <v>No</v>
      </c>
    </row>
    <row r="450" spans="1:5">
      <c r="A450" s="1">
        <v>45707</v>
      </c>
      <c r="B450" s="6">
        <v>0.45069444444444445</v>
      </c>
      <c r="C450" s="10" t="s">
        <v>22</v>
      </c>
      <c r="D450" t="str" cm="1">
        <f t="array" ref="D450">INDEX($H$2:$H$35, MATCH(1, (A450 &gt;= $F$2:$F$35) * (A450 &lt;= $G$2:$G$35), 0))</f>
        <v>15-02-2025 to 21-02-2025</v>
      </c>
      <c r="E450" t="str">
        <f>IF(COUNTIF('Top5'!I:I, D450) &gt; 0, "Yes", "No")</f>
        <v>No</v>
      </c>
    </row>
    <row r="451" spans="1:5">
      <c r="A451" s="1">
        <v>45707</v>
      </c>
      <c r="B451" s="6">
        <v>0.66736111111111107</v>
      </c>
      <c r="C451" s="10" t="s">
        <v>71</v>
      </c>
      <c r="D451" t="str" cm="1">
        <f t="array" ref="D451">INDEX($H$2:$H$35, MATCH(1, (A451 &gt;= $F$2:$F$35) * (A451 &lt;= $G$2:$G$35), 0))</f>
        <v>15-02-2025 to 21-02-2025</v>
      </c>
      <c r="E451" t="str">
        <f>IF(COUNTIF('Top5'!I:I, D451) &gt; 0, "Yes", "No")</f>
        <v>No</v>
      </c>
    </row>
    <row r="452" spans="1:5">
      <c r="A452" s="1">
        <v>45707</v>
      </c>
      <c r="B452" s="6">
        <v>0.66736111111111107</v>
      </c>
      <c r="C452" s="10" t="s">
        <v>71</v>
      </c>
      <c r="D452" t="str" cm="1">
        <f t="array" ref="D452">INDEX($H$2:$H$35, MATCH(1, (A452 &gt;= $F$2:$F$35) * (A452 &lt;= $G$2:$G$35), 0))</f>
        <v>15-02-2025 to 21-02-2025</v>
      </c>
      <c r="E452" t="str">
        <f>IF(COUNTIF('Top5'!I:I, D452) &gt; 0, "Yes", "No")</f>
        <v>No</v>
      </c>
    </row>
    <row r="453" spans="1:5">
      <c r="A453" s="1">
        <v>45707</v>
      </c>
      <c r="B453" s="6">
        <v>0.78055555555555556</v>
      </c>
      <c r="C453" s="10" t="s">
        <v>70</v>
      </c>
      <c r="D453" t="str" cm="1">
        <f t="array" ref="D453">INDEX($H$2:$H$35, MATCH(1, (A453 &gt;= $F$2:$F$35) * (A453 &lt;= $G$2:$G$35), 0))</f>
        <v>15-02-2025 to 21-02-2025</v>
      </c>
      <c r="E453" t="str">
        <f>IF(COUNTIF('Top5'!I:I, D453) &gt; 0, "Yes", "No")</f>
        <v>No</v>
      </c>
    </row>
    <row r="454" spans="1:5">
      <c r="A454" s="1">
        <v>45708</v>
      </c>
      <c r="B454" s="6">
        <v>0.97847222222222219</v>
      </c>
      <c r="C454" s="10" t="s">
        <v>70</v>
      </c>
      <c r="D454" t="str" cm="1">
        <f t="array" ref="D454">INDEX($H$2:$H$35, MATCH(1, (A454 &gt;= $F$2:$F$35) * (A454 &lt;= $G$2:$G$35), 0))</f>
        <v>15-02-2025 to 21-02-2025</v>
      </c>
      <c r="E454" t="str">
        <f>IF(COUNTIF('Top5'!I:I, D454) &gt; 0, "Yes", "No")</f>
        <v>No</v>
      </c>
    </row>
    <row r="455" spans="1:5">
      <c r="A455" s="1">
        <v>45708</v>
      </c>
      <c r="B455" s="6">
        <v>0.9819444444444444</v>
      </c>
      <c r="C455" s="10" t="s">
        <v>70</v>
      </c>
      <c r="D455" t="str" cm="1">
        <f t="array" ref="D455">INDEX($H$2:$H$35, MATCH(1, (A455 &gt;= $F$2:$F$35) * (A455 &lt;= $G$2:$G$35), 0))</f>
        <v>15-02-2025 to 21-02-2025</v>
      </c>
      <c r="E455" t="str">
        <f>IF(COUNTIF('Top5'!I:I, D455) &gt; 0, "Yes", "No")</f>
        <v>No</v>
      </c>
    </row>
    <row r="456" spans="1:5">
      <c r="A456" s="1">
        <v>45709</v>
      </c>
      <c r="B456" s="6">
        <v>4.8611111111111112E-3</v>
      </c>
      <c r="C456" s="10" t="s">
        <v>70</v>
      </c>
      <c r="D456" t="str" cm="1">
        <f t="array" ref="D456">INDEX($H$2:$H$35, MATCH(1, (A456 &gt;= $F$2:$F$35) * (A456 &lt;= $G$2:$G$35), 0))</f>
        <v>15-02-2025 to 21-02-2025</v>
      </c>
      <c r="E456" t="str">
        <f>IF(COUNTIF('Top5'!I:I, D456) &gt; 0, "Yes", "No")</f>
        <v>No</v>
      </c>
    </row>
    <row r="457" spans="1:5">
      <c r="A457" s="1">
        <v>45709</v>
      </c>
      <c r="B457" s="6">
        <v>5.5555555555555558E-3</v>
      </c>
      <c r="C457" s="10" t="s">
        <v>70</v>
      </c>
      <c r="D457" t="str" cm="1">
        <f t="array" ref="D457">INDEX($H$2:$H$35, MATCH(1, (A457 &gt;= $F$2:$F$35) * (A457 &lt;= $G$2:$G$35), 0))</f>
        <v>15-02-2025 to 21-02-2025</v>
      </c>
      <c r="E457" t="str">
        <f>IF(COUNTIF('Top5'!I:I, D457) &gt; 0, "Yes", "No")</f>
        <v>No</v>
      </c>
    </row>
    <row r="458" spans="1:5">
      <c r="A458" s="1">
        <v>45709</v>
      </c>
      <c r="B458" s="6">
        <v>6.2500000000000003E-3</v>
      </c>
      <c r="C458" s="10" t="s">
        <v>70</v>
      </c>
      <c r="D458" t="str" cm="1">
        <f t="array" ref="D458">INDEX($H$2:$H$35, MATCH(1, (A458 &gt;= $F$2:$F$35) * (A458 &lt;= $G$2:$G$35), 0))</f>
        <v>15-02-2025 to 21-02-2025</v>
      </c>
      <c r="E458" t="str">
        <f>IF(COUNTIF('Top5'!I:I, D458) &gt; 0, "Yes", "No")</f>
        <v>No</v>
      </c>
    </row>
    <row r="459" spans="1:5">
      <c r="A459" s="1">
        <v>45709</v>
      </c>
      <c r="B459" s="6">
        <v>6.9444444444444441E-3</v>
      </c>
      <c r="C459" s="10" t="s">
        <v>70</v>
      </c>
      <c r="D459" t="str" cm="1">
        <f t="array" ref="D459">INDEX($H$2:$H$35, MATCH(1, (A459 &gt;= $F$2:$F$35) * (A459 &lt;= $G$2:$G$35), 0))</f>
        <v>15-02-2025 to 21-02-2025</v>
      </c>
      <c r="E459" t="str">
        <f>IF(COUNTIF('Top5'!I:I, D459) &gt; 0, "Yes", "No")</f>
        <v>No</v>
      </c>
    </row>
    <row r="460" spans="1:5">
      <c r="A460" s="1">
        <v>45709</v>
      </c>
      <c r="B460" s="6">
        <v>1.1805555555555555E-2</v>
      </c>
      <c r="C460" s="10" t="s">
        <v>70</v>
      </c>
      <c r="D460" t="str" cm="1">
        <f t="array" ref="D460">INDEX($H$2:$H$35, MATCH(1, (A460 &gt;= $F$2:$F$35) * (A460 &lt;= $G$2:$G$35), 0))</f>
        <v>15-02-2025 to 21-02-2025</v>
      </c>
      <c r="E460" t="str">
        <f>IF(COUNTIF('Top5'!I:I, D460) &gt; 0, "Yes", "No")</f>
        <v>No</v>
      </c>
    </row>
    <row r="461" spans="1:5">
      <c r="A461" s="1">
        <v>45709</v>
      </c>
      <c r="B461" s="6">
        <v>1.4583333333333334E-2</v>
      </c>
      <c r="C461" s="10" t="s">
        <v>70</v>
      </c>
      <c r="D461" t="str" cm="1">
        <f t="array" ref="D461">INDEX($H$2:$H$35, MATCH(1, (A461 &gt;= $F$2:$F$35) * (A461 &lt;= $G$2:$G$35), 0))</f>
        <v>15-02-2025 to 21-02-2025</v>
      </c>
      <c r="E461" t="str">
        <f>IF(COUNTIF('Top5'!I:I, D461) &gt; 0, "Yes", "No")</f>
        <v>No</v>
      </c>
    </row>
    <row r="462" spans="1:5">
      <c r="A462" s="1">
        <v>45709</v>
      </c>
      <c r="B462" s="6">
        <v>0.50069444444444444</v>
      </c>
      <c r="C462" s="10" t="s">
        <v>71</v>
      </c>
      <c r="D462" t="str" cm="1">
        <f t="array" ref="D462">INDEX($H$2:$H$35, MATCH(1, (A462 &gt;= $F$2:$F$35) * (A462 &lt;= $G$2:$G$35), 0))</f>
        <v>15-02-2025 to 21-02-2025</v>
      </c>
      <c r="E462" t="str">
        <f>IF(COUNTIF('Top5'!I:I, D462) &gt; 0, "Yes", "No")</f>
        <v>No</v>
      </c>
    </row>
    <row r="463" spans="1:5">
      <c r="A463" s="1">
        <v>45709</v>
      </c>
      <c r="B463" s="6">
        <v>0.50138888888888888</v>
      </c>
      <c r="C463" s="10" t="s">
        <v>71</v>
      </c>
      <c r="D463" t="str" cm="1">
        <f t="array" ref="D463">INDEX($H$2:$H$35, MATCH(1, (A463 &gt;= $F$2:$F$35) * (A463 &lt;= $G$2:$G$35), 0))</f>
        <v>15-02-2025 to 21-02-2025</v>
      </c>
      <c r="E463" t="str">
        <f>IF(COUNTIF('Top5'!I:I, D463) &gt; 0, "Yes", "No")</f>
        <v>No</v>
      </c>
    </row>
    <row r="464" spans="1:5">
      <c r="A464" s="1">
        <v>45709</v>
      </c>
      <c r="B464" s="6">
        <v>0.51041666666666663</v>
      </c>
      <c r="C464" s="10" t="s">
        <v>71</v>
      </c>
      <c r="D464" t="str" cm="1">
        <f t="array" ref="D464">INDEX($H$2:$H$35, MATCH(1, (A464 &gt;= $F$2:$F$35) * (A464 &lt;= $G$2:$G$35), 0))</f>
        <v>15-02-2025 to 21-02-2025</v>
      </c>
      <c r="E464" t="str">
        <f>IF(COUNTIF('Top5'!I:I, D464) &gt; 0, "Yes", "No")</f>
        <v>No</v>
      </c>
    </row>
    <row r="465" spans="1:5">
      <c r="A465" s="1">
        <v>45709</v>
      </c>
      <c r="B465" s="6">
        <v>0.60833333333333328</v>
      </c>
      <c r="C465" s="10" t="s">
        <v>71</v>
      </c>
      <c r="D465" t="str" cm="1">
        <f t="array" ref="D465">INDEX($H$2:$H$35, MATCH(1, (A465 &gt;= $F$2:$F$35) * (A465 &lt;= $G$2:$G$35), 0))</f>
        <v>15-02-2025 to 21-02-2025</v>
      </c>
      <c r="E465" t="str">
        <f>IF(COUNTIF('Top5'!I:I, D465) &gt; 0, "Yes", "No")</f>
        <v>No</v>
      </c>
    </row>
    <row r="466" spans="1:5">
      <c r="A466" s="1">
        <v>45710</v>
      </c>
      <c r="B466" s="6">
        <v>0.96944444444444444</v>
      </c>
      <c r="C466" s="10" t="s">
        <v>70</v>
      </c>
      <c r="D466" t="str" cm="1">
        <f t="array" ref="D466">INDEX($H$2:$H$35, MATCH(1, (A466 &gt;= $F$2:$F$35) * (A466 &lt;= $G$2:$G$35), 0))</f>
        <v>22-02-2025 to 28-02-2025</v>
      </c>
      <c r="E466" t="str">
        <f>IF(COUNTIF('Top5'!I:I, D466) &gt; 0, "Yes", "No")</f>
        <v>No</v>
      </c>
    </row>
    <row r="467" spans="1:5">
      <c r="A467" s="1">
        <v>45710</v>
      </c>
      <c r="B467" s="6">
        <v>0.97916666666666663</v>
      </c>
      <c r="C467" s="10" t="s">
        <v>70</v>
      </c>
      <c r="D467" t="str" cm="1">
        <f t="array" ref="D467">INDEX($H$2:$H$35, MATCH(1, (A467 &gt;= $F$2:$F$35) * (A467 &lt;= $G$2:$G$35), 0))</f>
        <v>22-02-2025 to 28-02-2025</v>
      </c>
      <c r="E467" t="str">
        <f>IF(COUNTIF('Top5'!I:I, D467) &gt; 0, "Yes", "No")</f>
        <v>No</v>
      </c>
    </row>
    <row r="468" spans="1:5">
      <c r="A468" s="1">
        <v>45711</v>
      </c>
      <c r="B468" s="6">
        <v>0.45</v>
      </c>
      <c r="C468" s="10" t="s">
        <v>22</v>
      </c>
      <c r="D468" t="str" cm="1">
        <f t="array" ref="D468">INDEX($H$2:$H$35, MATCH(1, (A468 &gt;= $F$2:$F$35) * (A468 &lt;= $G$2:$G$35), 0))</f>
        <v>22-02-2025 to 28-02-2025</v>
      </c>
      <c r="E468" t="str">
        <f>IF(COUNTIF('Top5'!I:I, D468) &gt; 0, "Yes", "No")</f>
        <v>No</v>
      </c>
    </row>
    <row r="469" spans="1:5">
      <c r="A469" s="1">
        <v>45711</v>
      </c>
      <c r="B469" s="6">
        <v>0.47499999999999998</v>
      </c>
      <c r="C469" s="10" t="s">
        <v>22</v>
      </c>
      <c r="D469" t="str" cm="1">
        <f t="array" ref="D469">INDEX($H$2:$H$35, MATCH(1, (A469 &gt;= $F$2:$F$35) * (A469 &lt;= $G$2:$G$35), 0))</f>
        <v>22-02-2025 to 28-02-2025</v>
      </c>
      <c r="E469" t="str">
        <f>IF(COUNTIF('Top5'!I:I, D469) &gt; 0, "Yes", "No")</f>
        <v>No</v>
      </c>
    </row>
    <row r="470" spans="1:5">
      <c r="A470" s="1">
        <v>45711</v>
      </c>
      <c r="B470" s="6">
        <v>0.47638888888888886</v>
      </c>
      <c r="C470" s="10" t="s">
        <v>22</v>
      </c>
      <c r="D470" t="str" cm="1">
        <f t="array" ref="D470">INDEX($H$2:$H$35, MATCH(1, (A470 &gt;= $F$2:$F$35) * (A470 &lt;= $G$2:$G$35), 0))</f>
        <v>22-02-2025 to 28-02-2025</v>
      </c>
      <c r="E470" t="str">
        <f>IF(COUNTIF('Top5'!I:I, D470) &gt; 0, "Yes", "No")</f>
        <v>No</v>
      </c>
    </row>
    <row r="471" spans="1:5">
      <c r="A471" s="1">
        <v>45711</v>
      </c>
      <c r="B471" s="6">
        <v>0.8208333333333333</v>
      </c>
      <c r="C471" s="10" t="s">
        <v>70</v>
      </c>
      <c r="D471" t="str" cm="1">
        <f t="array" ref="D471">INDEX($H$2:$H$35, MATCH(1, (A471 &gt;= $F$2:$F$35) * (A471 &lt;= $G$2:$G$35), 0))</f>
        <v>22-02-2025 to 28-02-2025</v>
      </c>
      <c r="E471" t="str">
        <f>IF(COUNTIF('Top5'!I:I, D471) &gt; 0, "Yes", "No")</f>
        <v>No</v>
      </c>
    </row>
    <row r="472" spans="1:5">
      <c r="A472" s="1">
        <v>45711</v>
      </c>
      <c r="B472" s="6">
        <v>0.82152777777777775</v>
      </c>
      <c r="C472" s="10" t="s">
        <v>70</v>
      </c>
      <c r="D472" t="str" cm="1">
        <f t="array" ref="D472">INDEX($H$2:$H$35, MATCH(1, (A472 &gt;= $F$2:$F$35) * (A472 &lt;= $G$2:$G$35), 0))</f>
        <v>22-02-2025 to 28-02-2025</v>
      </c>
      <c r="E472" t="str">
        <f>IF(COUNTIF('Top5'!I:I, D472) &gt; 0, "Yes", "No")</f>
        <v>No</v>
      </c>
    </row>
    <row r="473" spans="1:5">
      <c r="A473" s="1">
        <v>45711</v>
      </c>
      <c r="B473" s="6">
        <v>0.84722222222222221</v>
      </c>
      <c r="C473" s="10" t="s">
        <v>70</v>
      </c>
      <c r="D473" t="str" cm="1">
        <f t="array" ref="D473">INDEX($H$2:$H$35, MATCH(1, (A473 &gt;= $F$2:$F$35) * (A473 &lt;= $G$2:$G$35), 0))</f>
        <v>22-02-2025 to 28-02-2025</v>
      </c>
      <c r="E473" t="str">
        <f>IF(COUNTIF('Top5'!I:I, D473) &gt; 0, "Yes", "No")</f>
        <v>No</v>
      </c>
    </row>
    <row r="474" spans="1:5">
      <c r="A474" s="1">
        <v>45711</v>
      </c>
      <c r="B474" s="6">
        <v>0.99444444444444446</v>
      </c>
      <c r="C474" s="10" t="s">
        <v>70</v>
      </c>
      <c r="D474" t="str" cm="1">
        <f t="array" ref="D474">INDEX($H$2:$H$35, MATCH(1, (A474 &gt;= $F$2:$F$35) * (A474 &lt;= $G$2:$G$35), 0))</f>
        <v>22-02-2025 to 28-02-2025</v>
      </c>
      <c r="E474" t="str">
        <f>IF(COUNTIF('Top5'!I:I, D474) &gt; 0, "Yes", "No")</f>
        <v>No</v>
      </c>
    </row>
    <row r="475" spans="1:5">
      <c r="A475" s="1">
        <v>45711</v>
      </c>
      <c r="B475" s="6">
        <v>0.99583333333333335</v>
      </c>
      <c r="C475" s="10" t="s">
        <v>70</v>
      </c>
      <c r="D475" t="str" cm="1">
        <f t="array" ref="D475">INDEX($H$2:$H$35, MATCH(1, (A475 &gt;= $F$2:$F$35) * (A475 &lt;= $G$2:$G$35), 0))</f>
        <v>22-02-2025 to 28-02-2025</v>
      </c>
      <c r="E475" t="str">
        <f>IF(COUNTIF('Top5'!I:I, D475) &gt; 0, "Yes", "No")</f>
        <v>No</v>
      </c>
    </row>
    <row r="476" spans="1:5">
      <c r="A476" s="1">
        <v>45712</v>
      </c>
      <c r="B476" s="6">
        <v>0.70347222222222228</v>
      </c>
      <c r="C476" s="10" t="s">
        <v>71</v>
      </c>
      <c r="D476" t="str" cm="1">
        <f t="array" ref="D476">INDEX($H$2:$H$35, MATCH(1, (A476 &gt;= $F$2:$F$35) * (A476 &lt;= $G$2:$G$35), 0))</f>
        <v>22-02-2025 to 28-02-2025</v>
      </c>
      <c r="E476" t="str">
        <f>IF(COUNTIF('Top5'!I:I, D476) &gt; 0, "Yes", "No")</f>
        <v>No</v>
      </c>
    </row>
    <row r="477" spans="1:5">
      <c r="A477" s="1">
        <v>45712</v>
      </c>
      <c r="B477" s="6">
        <v>0.7104166666666667</v>
      </c>
      <c r="C477" s="10" t="s">
        <v>70</v>
      </c>
      <c r="D477" t="str" cm="1">
        <f t="array" ref="D477">INDEX($H$2:$H$35, MATCH(1, (A477 &gt;= $F$2:$F$35) * (A477 &lt;= $G$2:$G$35), 0))</f>
        <v>22-02-2025 to 28-02-2025</v>
      </c>
      <c r="E477" t="str">
        <f>IF(COUNTIF('Top5'!I:I, D477) &gt; 0, "Yes", "No")</f>
        <v>No</v>
      </c>
    </row>
    <row r="478" spans="1:5">
      <c r="A478" s="1">
        <v>45712</v>
      </c>
      <c r="B478" s="6">
        <v>0.7104166666666667</v>
      </c>
      <c r="C478" s="10" t="s">
        <v>70</v>
      </c>
      <c r="D478" t="str" cm="1">
        <f t="array" ref="D478">INDEX($H$2:$H$35, MATCH(1, (A478 &gt;= $F$2:$F$35) * (A478 &lt;= $G$2:$G$35), 0))</f>
        <v>22-02-2025 to 28-02-2025</v>
      </c>
      <c r="E478" t="str">
        <f>IF(COUNTIF('Top5'!I:I, D478) &gt; 0, "Yes", "No")</f>
        <v>No</v>
      </c>
    </row>
    <row r="479" spans="1:5">
      <c r="A479" s="1">
        <v>45712</v>
      </c>
      <c r="B479" s="6">
        <v>0.73055555555555551</v>
      </c>
      <c r="C479" s="10" t="s">
        <v>70</v>
      </c>
      <c r="D479" t="str" cm="1">
        <f t="array" ref="D479">INDEX($H$2:$H$35, MATCH(1, (A479 &gt;= $F$2:$F$35) * (A479 &lt;= $G$2:$G$35), 0))</f>
        <v>22-02-2025 to 28-02-2025</v>
      </c>
      <c r="E479" t="str">
        <f>IF(COUNTIF('Top5'!I:I, D479) &gt; 0, "Yes", "No")</f>
        <v>No</v>
      </c>
    </row>
    <row r="480" spans="1:5">
      <c r="A480" s="1">
        <v>45713</v>
      </c>
      <c r="B480" s="6">
        <v>0.40625</v>
      </c>
      <c r="C480" s="10" t="s">
        <v>22</v>
      </c>
      <c r="D480" t="str" cm="1">
        <f t="array" ref="D480">INDEX($H$2:$H$35, MATCH(1, (A480 &gt;= $F$2:$F$35) * (A480 &lt;= $G$2:$G$35), 0))</f>
        <v>22-02-2025 to 28-02-2025</v>
      </c>
      <c r="E480" t="str">
        <f>IF(COUNTIF('Top5'!I:I, D480) &gt; 0, "Yes", "No")</f>
        <v>No</v>
      </c>
    </row>
    <row r="481" spans="1:5">
      <c r="A481" s="1">
        <v>45713</v>
      </c>
      <c r="B481" s="6">
        <v>0.41666666666666669</v>
      </c>
      <c r="C481" s="10" t="s">
        <v>22</v>
      </c>
      <c r="D481" t="str" cm="1">
        <f t="array" ref="D481">INDEX($H$2:$H$35, MATCH(1, (A481 &gt;= $F$2:$F$35) * (A481 &lt;= $G$2:$G$35), 0))</f>
        <v>22-02-2025 to 28-02-2025</v>
      </c>
      <c r="E481" t="str">
        <f>IF(COUNTIF('Top5'!I:I, D481) &gt; 0, "Yes", "No")</f>
        <v>No</v>
      </c>
    </row>
    <row r="482" spans="1:5">
      <c r="A482" s="1">
        <v>45713</v>
      </c>
      <c r="B482" s="6">
        <v>0.97777777777777775</v>
      </c>
      <c r="C482" s="10" t="s">
        <v>70</v>
      </c>
      <c r="D482" t="str" cm="1">
        <f t="array" ref="D482">INDEX($H$2:$H$35, MATCH(1, (A482 &gt;= $F$2:$F$35) * (A482 &lt;= $G$2:$G$35), 0))</f>
        <v>22-02-2025 to 28-02-2025</v>
      </c>
      <c r="E482" t="str">
        <f>IF(COUNTIF('Top5'!I:I, D482) &gt; 0, "Yes", "No")</f>
        <v>No</v>
      </c>
    </row>
    <row r="483" spans="1:5">
      <c r="A483" s="1">
        <v>45714</v>
      </c>
      <c r="B483" s="6">
        <v>0.44374999999999998</v>
      </c>
      <c r="C483" s="10" t="s">
        <v>22</v>
      </c>
      <c r="D483" t="str" cm="1">
        <f t="array" ref="D483">INDEX($H$2:$H$35, MATCH(1, (A483 &gt;= $F$2:$F$35) * (A483 &lt;= $G$2:$G$35), 0))</f>
        <v>22-02-2025 to 28-02-2025</v>
      </c>
      <c r="E483" t="str">
        <f>IF(COUNTIF('Top5'!I:I, D483) &gt; 0, "Yes", "No")</f>
        <v>No</v>
      </c>
    </row>
    <row r="484" spans="1:5">
      <c r="A484" s="1">
        <v>45714</v>
      </c>
      <c r="B484" s="6">
        <v>0.47569444444444442</v>
      </c>
      <c r="C484" s="10" t="s">
        <v>22</v>
      </c>
      <c r="D484" t="str" cm="1">
        <f t="array" ref="D484">INDEX($H$2:$H$35, MATCH(1, (A484 &gt;= $F$2:$F$35) * (A484 &lt;= $G$2:$G$35), 0))</f>
        <v>22-02-2025 to 28-02-2025</v>
      </c>
      <c r="E484" t="str">
        <f>IF(COUNTIF('Top5'!I:I, D484) &gt; 0, "Yes", "No")</f>
        <v>No</v>
      </c>
    </row>
    <row r="485" spans="1:5">
      <c r="A485" s="1">
        <v>45714</v>
      </c>
      <c r="B485" s="6">
        <v>0.47569444444444442</v>
      </c>
      <c r="C485" s="10" t="s">
        <v>22</v>
      </c>
      <c r="D485" t="str" cm="1">
        <f t="array" ref="D485">INDEX($H$2:$H$35, MATCH(1, (A485 &gt;= $F$2:$F$35) * (A485 &lt;= $G$2:$G$35), 0))</f>
        <v>22-02-2025 to 28-02-2025</v>
      </c>
      <c r="E485" t="str">
        <f>IF(COUNTIF('Top5'!I:I, D485) &gt; 0, "Yes", "No")</f>
        <v>No</v>
      </c>
    </row>
    <row r="486" spans="1:5">
      <c r="A486" s="1">
        <v>45714</v>
      </c>
      <c r="B486" s="6">
        <v>0.47638888888888886</v>
      </c>
      <c r="C486" s="10" t="s">
        <v>22</v>
      </c>
      <c r="D486" t="str" cm="1">
        <f t="array" ref="D486">INDEX($H$2:$H$35, MATCH(1, (A486 &gt;= $F$2:$F$35) * (A486 &lt;= $G$2:$G$35), 0))</f>
        <v>22-02-2025 to 28-02-2025</v>
      </c>
      <c r="E486" t="str">
        <f>IF(COUNTIF('Top5'!I:I, D486) &gt; 0, "Yes", "No")</f>
        <v>No</v>
      </c>
    </row>
    <row r="487" spans="1:5">
      <c r="A487" s="1">
        <v>45714</v>
      </c>
      <c r="B487" s="6">
        <v>0.48888888888888887</v>
      </c>
      <c r="C487" s="10" t="s">
        <v>22</v>
      </c>
      <c r="D487" t="str" cm="1">
        <f t="array" ref="D487">INDEX($H$2:$H$35, MATCH(1, (A487 &gt;= $F$2:$F$35) * (A487 &lt;= $G$2:$G$35), 0))</f>
        <v>22-02-2025 to 28-02-2025</v>
      </c>
      <c r="E487" t="str">
        <f>IF(COUNTIF('Top5'!I:I, D487) &gt; 0, "Yes", "No")</f>
        <v>No</v>
      </c>
    </row>
    <row r="488" spans="1:5">
      <c r="A488" s="1">
        <v>45714</v>
      </c>
      <c r="B488" s="6">
        <v>0.49305555555555558</v>
      </c>
      <c r="C488" s="10" t="s">
        <v>22</v>
      </c>
      <c r="D488" t="str" cm="1">
        <f t="array" ref="D488">INDEX($H$2:$H$35, MATCH(1, (A488 &gt;= $F$2:$F$35) * (A488 &lt;= $G$2:$G$35), 0))</f>
        <v>22-02-2025 to 28-02-2025</v>
      </c>
      <c r="E488" t="str">
        <f>IF(COUNTIF('Top5'!I:I, D488) &gt; 0, "Yes", "No")</f>
        <v>No</v>
      </c>
    </row>
    <row r="489" spans="1:5">
      <c r="A489" s="1">
        <v>45714</v>
      </c>
      <c r="B489" s="6">
        <v>0.49375000000000002</v>
      </c>
      <c r="C489" s="10" t="s">
        <v>22</v>
      </c>
      <c r="D489" t="str" cm="1">
        <f t="array" ref="D489">INDEX($H$2:$H$35, MATCH(1, (A489 &gt;= $F$2:$F$35) * (A489 &lt;= $G$2:$G$35), 0))</f>
        <v>22-02-2025 to 28-02-2025</v>
      </c>
      <c r="E489" t="str">
        <f>IF(COUNTIF('Top5'!I:I, D489) &gt; 0, "Yes", "No")</f>
        <v>No</v>
      </c>
    </row>
    <row r="490" spans="1:5">
      <c r="A490" s="1">
        <v>45714</v>
      </c>
      <c r="B490" s="6">
        <v>0.49375000000000002</v>
      </c>
      <c r="C490" s="10" t="s">
        <v>22</v>
      </c>
      <c r="D490" t="str" cm="1">
        <f t="array" ref="D490">INDEX($H$2:$H$35, MATCH(1, (A490 &gt;= $F$2:$F$35) * (A490 &lt;= $G$2:$G$35), 0))</f>
        <v>22-02-2025 to 28-02-2025</v>
      </c>
      <c r="E490" t="str">
        <f>IF(COUNTIF('Top5'!I:I, D490) &gt; 0, "Yes", "No")</f>
        <v>No</v>
      </c>
    </row>
    <row r="491" spans="1:5">
      <c r="A491" s="1">
        <v>45714</v>
      </c>
      <c r="B491" s="6">
        <v>0.85138888888888886</v>
      </c>
      <c r="C491" s="10" t="s">
        <v>70</v>
      </c>
      <c r="D491" t="str" cm="1">
        <f t="array" ref="D491">INDEX($H$2:$H$35, MATCH(1, (A491 &gt;= $F$2:$F$35) * (A491 &lt;= $G$2:$G$35), 0))</f>
        <v>22-02-2025 to 28-02-2025</v>
      </c>
      <c r="E491" t="str">
        <f>IF(COUNTIF('Top5'!I:I, D491) &gt; 0, "Yes", "No")</f>
        <v>No</v>
      </c>
    </row>
    <row r="492" spans="1:5">
      <c r="A492" s="1">
        <v>45715</v>
      </c>
      <c r="B492" s="6">
        <v>2.7777777777777779E-3</v>
      </c>
      <c r="C492" s="10" t="s">
        <v>70</v>
      </c>
      <c r="D492" t="str" cm="1">
        <f t="array" ref="D492">INDEX($H$2:$H$35, MATCH(1, (A492 &gt;= $F$2:$F$35) * (A492 &lt;= $G$2:$G$35), 0))</f>
        <v>22-02-2025 to 28-02-2025</v>
      </c>
      <c r="E492" t="str">
        <f>IF(COUNTIF('Top5'!I:I, D492) &gt; 0, "Yes", "No")</f>
        <v>No</v>
      </c>
    </row>
    <row r="493" spans="1:5">
      <c r="A493" s="1">
        <v>45715</v>
      </c>
      <c r="B493" s="6">
        <v>4.1666666666666666E-3</v>
      </c>
      <c r="C493" s="10" t="s">
        <v>70</v>
      </c>
      <c r="D493" t="str" cm="1">
        <f t="array" ref="D493">INDEX($H$2:$H$35, MATCH(1, (A493 &gt;= $F$2:$F$35) * (A493 &lt;= $G$2:$G$35), 0))</f>
        <v>22-02-2025 to 28-02-2025</v>
      </c>
      <c r="E493" t="str">
        <f>IF(COUNTIF('Top5'!I:I, D493) &gt; 0, "Yes", "No")</f>
        <v>No</v>
      </c>
    </row>
    <row r="494" spans="1:5">
      <c r="A494" s="1">
        <v>45715</v>
      </c>
      <c r="B494" s="6">
        <v>0.65972222222222221</v>
      </c>
      <c r="C494" s="10" t="s">
        <v>71</v>
      </c>
      <c r="D494" t="str" cm="1">
        <f t="array" ref="D494">INDEX($H$2:$H$35, MATCH(1, (A494 &gt;= $F$2:$F$35) * (A494 &lt;= $G$2:$G$35), 0))</f>
        <v>22-02-2025 to 28-02-2025</v>
      </c>
      <c r="E494" t="str">
        <f>IF(COUNTIF('Top5'!I:I, D494) &gt; 0, "Yes", "No")</f>
        <v>No</v>
      </c>
    </row>
    <row r="495" spans="1:5">
      <c r="A495" s="1">
        <v>45715</v>
      </c>
      <c r="B495" s="6">
        <v>0.79652777777777772</v>
      </c>
      <c r="C495" s="10" t="s">
        <v>70</v>
      </c>
      <c r="D495" t="str" cm="1">
        <f t="array" ref="D495">INDEX($H$2:$H$35, MATCH(1, (A495 &gt;= $F$2:$F$35) * (A495 &lt;= $G$2:$G$35), 0))</f>
        <v>22-02-2025 to 28-02-2025</v>
      </c>
      <c r="E495" t="str">
        <f>IF(COUNTIF('Top5'!I:I, D495) &gt; 0, "Yes", "No")</f>
        <v>No</v>
      </c>
    </row>
    <row r="496" spans="1:5">
      <c r="A496" s="1">
        <v>45715</v>
      </c>
      <c r="B496" s="6">
        <v>0.79652777777777772</v>
      </c>
      <c r="C496" s="10" t="s">
        <v>70</v>
      </c>
      <c r="D496" t="str" cm="1">
        <f t="array" ref="D496">INDEX($H$2:$H$35, MATCH(1, (A496 &gt;= $F$2:$F$35) * (A496 &lt;= $G$2:$G$35), 0))</f>
        <v>22-02-2025 to 28-02-2025</v>
      </c>
      <c r="E496" t="str">
        <f>IF(COUNTIF('Top5'!I:I, D496) &gt; 0, "Yes", "No")</f>
        <v>No</v>
      </c>
    </row>
    <row r="497" spans="1:5">
      <c r="A497" s="1">
        <v>45716</v>
      </c>
      <c r="B497" s="6">
        <v>0.7368055555555556</v>
      </c>
      <c r="C497" s="10" t="s">
        <v>70</v>
      </c>
      <c r="D497" t="str" cm="1">
        <f t="array" ref="D497">INDEX($H$2:$H$35, MATCH(1, (A497 &gt;= $F$2:$F$35) * (A497 &lt;= $G$2:$G$35), 0))</f>
        <v>22-02-2025 to 28-02-2025</v>
      </c>
      <c r="E497" t="str">
        <f>IF(COUNTIF('Top5'!I:I, D497) &gt; 0, "Yes", "No")</f>
        <v>No</v>
      </c>
    </row>
    <row r="498" spans="1:5">
      <c r="A498" s="1">
        <v>45716</v>
      </c>
      <c r="B498" s="6">
        <v>0.76111111111111107</v>
      </c>
      <c r="C498" s="10" t="s">
        <v>70</v>
      </c>
      <c r="D498" t="str" cm="1">
        <f t="array" ref="D498">INDEX($H$2:$H$35, MATCH(1, (A498 &gt;= $F$2:$F$35) * (A498 &lt;= $G$2:$G$35), 0))</f>
        <v>22-02-2025 to 28-02-2025</v>
      </c>
      <c r="E498" t="str">
        <f>IF(COUNTIF('Top5'!I:I, D498) &gt; 0, "Yes", "No")</f>
        <v>No</v>
      </c>
    </row>
    <row r="499" spans="1:5">
      <c r="A499" s="1">
        <v>45716</v>
      </c>
      <c r="B499" s="6">
        <v>0.91249999999999998</v>
      </c>
      <c r="C499" s="10" t="s">
        <v>70</v>
      </c>
      <c r="D499" t="str" cm="1">
        <f t="array" ref="D499">INDEX($H$2:$H$35, MATCH(1, (A499 &gt;= $F$2:$F$35) * (A499 &lt;= $G$2:$G$35), 0))</f>
        <v>22-02-2025 to 28-02-2025</v>
      </c>
      <c r="E499" t="str">
        <f>IF(COUNTIF('Top5'!I:I, D499) &gt; 0, "Yes", "No")</f>
        <v>No</v>
      </c>
    </row>
    <row r="500" spans="1:5">
      <c r="A500" s="1">
        <v>45716</v>
      </c>
      <c r="B500" s="6">
        <v>0.91597222222222219</v>
      </c>
      <c r="C500" s="10" t="s">
        <v>70</v>
      </c>
      <c r="D500" t="str" cm="1">
        <f t="array" ref="D500">INDEX($H$2:$H$35, MATCH(1, (A500 &gt;= $F$2:$F$35) * (A500 &lt;= $G$2:$G$35), 0))</f>
        <v>22-02-2025 to 28-02-2025</v>
      </c>
      <c r="E500" t="str">
        <f>IF(COUNTIF('Top5'!I:I, D500) &gt; 0, "Yes", "No")</f>
        <v>No</v>
      </c>
    </row>
    <row r="501" spans="1:5">
      <c r="A501" s="1">
        <v>45716</v>
      </c>
      <c r="B501" s="6">
        <v>0.94722222222222219</v>
      </c>
      <c r="C501" s="10" t="s">
        <v>70</v>
      </c>
      <c r="D501" t="str" cm="1">
        <f t="array" ref="D501">INDEX($H$2:$H$35, MATCH(1, (A501 &gt;= $F$2:$F$35) * (A501 &lt;= $G$2:$G$35), 0))</f>
        <v>22-02-2025 to 28-02-2025</v>
      </c>
      <c r="E501" t="str">
        <f>IF(COUNTIF('Top5'!I:I, D501) &gt; 0, "Yes", "No")</f>
        <v>No</v>
      </c>
    </row>
    <row r="502" spans="1:5">
      <c r="A502" s="1">
        <v>45717</v>
      </c>
      <c r="B502" s="6">
        <v>7.6388888888888886E-3</v>
      </c>
      <c r="C502" s="10" t="s">
        <v>70</v>
      </c>
      <c r="D502" t="str" cm="1">
        <f t="array" ref="D502">INDEX($H$2:$H$35, MATCH(1, (A502 &gt;= $F$2:$F$35) * (A502 &lt;= $G$2:$G$35), 0))</f>
        <v>01-03-2025 to 07-03-2025</v>
      </c>
      <c r="E502" t="str">
        <f>IF(COUNTIF('Top5'!I:I, D502) &gt; 0, "Yes", "No")</f>
        <v>No</v>
      </c>
    </row>
    <row r="503" spans="1:5">
      <c r="A503" s="1">
        <v>45717</v>
      </c>
      <c r="B503" s="6">
        <v>8.3333333333333332E-3</v>
      </c>
      <c r="C503" s="10" t="s">
        <v>70</v>
      </c>
      <c r="D503" t="str" cm="1">
        <f t="array" ref="D503">INDEX($H$2:$H$35, MATCH(1, (A503 &gt;= $F$2:$F$35) * (A503 &lt;= $G$2:$G$35), 0))</f>
        <v>01-03-2025 to 07-03-2025</v>
      </c>
      <c r="E503" t="str">
        <f>IF(COUNTIF('Top5'!I:I, D503) &gt; 0, "Yes", "No")</f>
        <v>No</v>
      </c>
    </row>
    <row r="504" spans="1:5">
      <c r="A504" s="1">
        <v>45717</v>
      </c>
      <c r="B504" s="6">
        <v>0.43888888888888888</v>
      </c>
      <c r="C504" s="10" t="s">
        <v>22</v>
      </c>
      <c r="D504" t="str" cm="1">
        <f t="array" ref="D504">INDEX($H$2:$H$35, MATCH(1, (A504 &gt;= $F$2:$F$35) * (A504 &lt;= $G$2:$G$35), 0))</f>
        <v>01-03-2025 to 07-03-2025</v>
      </c>
      <c r="E504" t="str">
        <f>IF(COUNTIF('Top5'!I:I, D504) &gt; 0, "Yes", "No")</f>
        <v>No</v>
      </c>
    </row>
    <row r="505" spans="1:5">
      <c r="A505" s="1">
        <v>45717</v>
      </c>
      <c r="B505" s="6">
        <v>0.97916666666666663</v>
      </c>
      <c r="C505" s="10" t="s">
        <v>70</v>
      </c>
      <c r="D505" t="str" cm="1">
        <f t="array" ref="D505">INDEX($H$2:$H$35, MATCH(1, (A505 &gt;= $F$2:$F$35) * (A505 &lt;= $G$2:$G$35), 0))</f>
        <v>01-03-2025 to 07-03-2025</v>
      </c>
      <c r="E505" t="str">
        <f>IF(COUNTIF('Top5'!I:I, D505) &gt; 0, "Yes", "No")</f>
        <v>No</v>
      </c>
    </row>
    <row r="506" spans="1:5">
      <c r="A506" s="1">
        <v>45717</v>
      </c>
      <c r="B506" s="6">
        <v>0.98263888888888884</v>
      </c>
      <c r="C506" s="10" t="s">
        <v>70</v>
      </c>
      <c r="D506" t="str" cm="1">
        <f t="array" ref="D506">INDEX($H$2:$H$35, MATCH(1, (A506 &gt;= $F$2:$F$35) * (A506 &lt;= $G$2:$G$35), 0))</f>
        <v>01-03-2025 to 07-03-2025</v>
      </c>
      <c r="E506" t="str">
        <f>IF(COUNTIF('Top5'!I:I, D506) &gt; 0, "Yes", "No")</f>
        <v>No</v>
      </c>
    </row>
    <row r="507" spans="1:5">
      <c r="A507" s="1">
        <v>45717</v>
      </c>
      <c r="B507" s="6">
        <v>0.99513888888888891</v>
      </c>
      <c r="C507" s="10" t="s">
        <v>70</v>
      </c>
      <c r="D507" t="str" cm="1">
        <f t="array" ref="D507">INDEX($H$2:$H$35, MATCH(1, (A507 &gt;= $F$2:$F$35) * (A507 &lt;= $G$2:$G$35), 0))</f>
        <v>01-03-2025 to 07-03-2025</v>
      </c>
      <c r="E507" t="str">
        <f>IF(COUNTIF('Top5'!I:I, D507) &gt; 0, "Yes", "No")</f>
        <v>No</v>
      </c>
    </row>
    <row r="508" spans="1:5">
      <c r="A508" s="1">
        <v>45718</v>
      </c>
      <c r="B508" s="6">
        <v>6.9444444444444441E-3</v>
      </c>
      <c r="C508" s="10" t="s">
        <v>70</v>
      </c>
      <c r="D508" t="str" cm="1">
        <f t="array" ref="D508">INDEX($H$2:$H$35, MATCH(1, (A508 &gt;= $F$2:$F$35) * (A508 &lt;= $G$2:$G$35), 0))</f>
        <v>01-03-2025 to 07-03-2025</v>
      </c>
      <c r="E508" t="str">
        <f>IF(COUNTIF('Top5'!I:I, D508) &gt; 0, "Yes", "No")</f>
        <v>No</v>
      </c>
    </row>
    <row r="509" spans="1:5">
      <c r="A509" s="1">
        <v>45718</v>
      </c>
      <c r="B509" s="6">
        <v>1.2500000000000001E-2</v>
      </c>
      <c r="C509" s="10" t="s">
        <v>70</v>
      </c>
      <c r="D509" t="str" cm="1">
        <f t="array" ref="D509">INDEX($H$2:$H$35, MATCH(1, (A509 &gt;= $F$2:$F$35) * (A509 &lt;= $G$2:$G$35), 0))</f>
        <v>01-03-2025 to 07-03-2025</v>
      </c>
      <c r="E509" t="str">
        <f>IF(COUNTIF('Top5'!I:I, D509) &gt; 0, "Yes", "No")</f>
        <v>No</v>
      </c>
    </row>
    <row r="510" spans="1:5">
      <c r="A510" s="1">
        <v>45718</v>
      </c>
      <c r="B510" s="6">
        <v>1.5972222222222221E-2</v>
      </c>
      <c r="C510" s="10" t="s">
        <v>70</v>
      </c>
      <c r="D510" t="str" cm="1">
        <f t="array" ref="D510">INDEX($H$2:$H$35, MATCH(1, (A510 &gt;= $F$2:$F$35) * (A510 &lt;= $G$2:$G$35), 0))</f>
        <v>01-03-2025 to 07-03-2025</v>
      </c>
      <c r="E510" t="str">
        <f>IF(COUNTIF('Top5'!I:I, D510) &gt; 0, "Yes", "No")</f>
        <v>No</v>
      </c>
    </row>
    <row r="511" spans="1:5">
      <c r="A511" s="1">
        <v>45718</v>
      </c>
      <c r="B511" s="6">
        <v>0.73402777777777772</v>
      </c>
      <c r="C511" s="10" t="s">
        <v>70</v>
      </c>
      <c r="D511" t="str" cm="1">
        <f t="array" ref="D511">INDEX($H$2:$H$35, MATCH(1, (A511 &gt;= $F$2:$F$35) * (A511 &lt;= $G$2:$G$35), 0))</f>
        <v>01-03-2025 to 07-03-2025</v>
      </c>
      <c r="E511" t="str">
        <f>IF(COUNTIF('Top5'!I:I, D511) &gt; 0, "Yes", "No")</f>
        <v>No</v>
      </c>
    </row>
    <row r="512" spans="1:5">
      <c r="A512" s="1">
        <v>45718</v>
      </c>
      <c r="B512" s="6">
        <v>0.83333333333333337</v>
      </c>
      <c r="C512" s="10" t="s">
        <v>70</v>
      </c>
      <c r="D512" t="str" cm="1">
        <f t="array" ref="D512">INDEX($H$2:$H$35, MATCH(1, (A512 &gt;= $F$2:$F$35) * (A512 &lt;= $G$2:$G$35), 0))</f>
        <v>01-03-2025 to 07-03-2025</v>
      </c>
      <c r="E512" t="str">
        <f>IF(COUNTIF('Top5'!I:I, D512) &gt; 0, "Yes", "No")</f>
        <v>No</v>
      </c>
    </row>
    <row r="513" spans="1:5">
      <c r="A513" s="1">
        <v>45719</v>
      </c>
      <c r="B513" s="6">
        <v>0.45277777777777778</v>
      </c>
      <c r="C513" s="10" t="s">
        <v>22</v>
      </c>
      <c r="D513" t="str" cm="1">
        <f t="array" ref="D513">INDEX($H$2:$H$35, MATCH(1, (A513 &gt;= $F$2:$F$35) * (A513 &lt;= $G$2:$G$35), 0))</f>
        <v>01-03-2025 to 07-03-2025</v>
      </c>
      <c r="E513" t="str">
        <f>IF(COUNTIF('Top5'!I:I, D513) &gt; 0, "Yes", "No")</f>
        <v>No</v>
      </c>
    </row>
    <row r="514" spans="1:5">
      <c r="A514" s="1">
        <v>45719</v>
      </c>
      <c r="B514" s="6">
        <v>0.65138888888888891</v>
      </c>
      <c r="C514" s="10" t="s">
        <v>71</v>
      </c>
      <c r="D514" t="str" cm="1">
        <f t="array" ref="D514">INDEX($H$2:$H$35, MATCH(1, (A514 &gt;= $F$2:$F$35) * (A514 &lt;= $G$2:$G$35), 0))</f>
        <v>01-03-2025 to 07-03-2025</v>
      </c>
      <c r="E514" t="str">
        <f>IF(COUNTIF('Top5'!I:I, D514) &gt; 0, "Yes", "No")</f>
        <v>No</v>
      </c>
    </row>
    <row r="515" spans="1:5">
      <c r="A515" s="1">
        <v>45719</v>
      </c>
      <c r="B515" s="6">
        <v>0.65208333333333335</v>
      </c>
      <c r="C515" s="10" t="s">
        <v>71</v>
      </c>
      <c r="D515" t="str" cm="1">
        <f t="array" ref="D515">INDEX($H$2:$H$35, MATCH(1, (A515 &gt;= $F$2:$F$35) * (A515 &lt;= $G$2:$G$35), 0))</f>
        <v>01-03-2025 to 07-03-2025</v>
      </c>
      <c r="E515" t="str">
        <f>IF(COUNTIF('Top5'!I:I, D515) &gt; 0, "Yes", "No")</f>
        <v>No</v>
      </c>
    </row>
    <row r="516" spans="1:5">
      <c r="A516" s="1">
        <v>45719</v>
      </c>
      <c r="B516" s="6">
        <v>0.65347222222222223</v>
      </c>
      <c r="C516" s="10" t="s">
        <v>71</v>
      </c>
      <c r="D516" t="str" cm="1">
        <f t="array" ref="D516">INDEX($H$2:$H$35, MATCH(1, (A516 &gt;= $F$2:$F$35) * (A516 &lt;= $G$2:$G$35), 0))</f>
        <v>01-03-2025 to 07-03-2025</v>
      </c>
      <c r="E516" t="str">
        <f>IF(COUNTIF('Top5'!I:I, D516) &gt; 0, "Yes", "No")</f>
        <v>No</v>
      </c>
    </row>
    <row r="517" spans="1:5">
      <c r="A517" s="1">
        <v>45719</v>
      </c>
      <c r="B517" s="6">
        <v>0.65486111111111112</v>
      </c>
      <c r="C517" s="10" t="s">
        <v>71</v>
      </c>
      <c r="D517" t="str" cm="1">
        <f t="array" ref="D517">INDEX($H$2:$H$35, MATCH(1, (A517 &gt;= $F$2:$F$35) * (A517 &lt;= $G$2:$G$35), 0))</f>
        <v>01-03-2025 to 07-03-2025</v>
      </c>
      <c r="E517" t="str">
        <f>IF(COUNTIF('Top5'!I:I, D517) &gt; 0, "Yes", "No")</f>
        <v>No</v>
      </c>
    </row>
    <row r="518" spans="1:5">
      <c r="A518" s="1">
        <v>45719</v>
      </c>
      <c r="B518" s="6">
        <v>0.75069444444444444</v>
      </c>
      <c r="C518" s="10" t="s">
        <v>70</v>
      </c>
      <c r="D518" t="str" cm="1">
        <f t="array" ref="D518">INDEX($H$2:$H$35, MATCH(1, (A518 &gt;= $F$2:$F$35) * (A518 &lt;= $G$2:$G$35), 0))</f>
        <v>01-03-2025 to 07-03-2025</v>
      </c>
      <c r="E518" t="str">
        <f>IF(COUNTIF('Top5'!I:I, D518) &gt; 0, "Yes", "No")</f>
        <v>No</v>
      </c>
    </row>
    <row r="519" spans="1:5">
      <c r="A519" s="1">
        <v>45719</v>
      </c>
      <c r="B519" s="6">
        <v>0.9291666666666667</v>
      </c>
      <c r="C519" s="10" t="s">
        <v>70</v>
      </c>
      <c r="D519" t="str" cm="1">
        <f t="array" ref="D519">INDEX($H$2:$H$35, MATCH(1, (A519 &gt;= $F$2:$F$35) * (A519 &lt;= $G$2:$G$35), 0))</f>
        <v>01-03-2025 to 07-03-2025</v>
      </c>
      <c r="E519" t="str">
        <f>IF(COUNTIF('Top5'!I:I, D519) &gt; 0, "Yes", "No")</f>
        <v>No</v>
      </c>
    </row>
    <row r="520" spans="1:5">
      <c r="A520" s="1">
        <v>45719</v>
      </c>
      <c r="B520" s="6">
        <v>0.99305555555555558</v>
      </c>
      <c r="C520" s="10" t="s">
        <v>70</v>
      </c>
      <c r="D520" t="str" cm="1">
        <f t="array" ref="D520">INDEX($H$2:$H$35, MATCH(1, (A520 &gt;= $F$2:$F$35) * (A520 &lt;= $G$2:$G$35), 0))</f>
        <v>01-03-2025 to 07-03-2025</v>
      </c>
      <c r="E520" t="str">
        <f>IF(COUNTIF('Top5'!I:I, D520) &gt; 0, "Yes", "No")</f>
        <v>No</v>
      </c>
    </row>
    <row r="521" spans="1:5">
      <c r="A521" s="1">
        <v>45719</v>
      </c>
      <c r="B521" s="6">
        <v>0.99930555555555556</v>
      </c>
      <c r="C521" s="10" t="s">
        <v>70</v>
      </c>
      <c r="D521" t="str" cm="1">
        <f t="array" ref="D521">INDEX($H$2:$H$35, MATCH(1, (A521 &gt;= $F$2:$F$35) * (A521 &lt;= $G$2:$G$35), 0))</f>
        <v>01-03-2025 to 07-03-2025</v>
      </c>
      <c r="E521" t="str">
        <f>IF(COUNTIF('Top5'!I:I, D521) &gt; 0, "Yes", "No")</f>
        <v>No</v>
      </c>
    </row>
    <row r="522" spans="1:5">
      <c r="A522" s="1">
        <v>45720</v>
      </c>
      <c r="B522" s="6">
        <v>6.9444444444444447E-4</v>
      </c>
      <c r="C522" s="10" t="s">
        <v>70</v>
      </c>
      <c r="D522" t="str" cm="1">
        <f t="array" ref="D522">INDEX($H$2:$H$35, MATCH(1, (A522 &gt;= $F$2:$F$35) * (A522 &lt;= $G$2:$G$35), 0))</f>
        <v>01-03-2025 to 07-03-2025</v>
      </c>
      <c r="E522" t="str">
        <f>IF(COUNTIF('Top5'!I:I, D522) &gt; 0, "Yes", "No")</f>
        <v>No</v>
      </c>
    </row>
    <row r="523" spans="1:5">
      <c r="A523" s="1">
        <v>45720</v>
      </c>
      <c r="B523" s="6">
        <v>0.74444444444444446</v>
      </c>
      <c r="C523" s="10" t="s">
        <v>70</v>
      </c>
      <c r="D523" t="str" cm="1">
        <f t="array" ref="D523">INDEX($H$2:$H$35, MATCH(1, (A523 &gt;= $F$2:$F$35) * (A523 &lt;= $G$2:$G$35), 0))</f>
        <v>01-03-2025 to 07-03-2025</v>
      </c>
      <c r="E523" t="str">
        <f>IF(COUNTIF('Top5'!I:I, D523) &gt; 0, "Yes", "No")</f>
        <v>No</v>
      </c>
    </row>
    <row r="524" spans="1:5">
      <c r="A524" s="1">
        <v>45721</v>
      </c>
      <c r="B524" s="6">
        <v>0</v>
      </c>
      <c r="C524" s="10" t="s">
        <v>70</v>
      </c>
      <c r="D524" t="str" cm="1">
        <f t="array" ref="D524">INDEX($H$2:$H$35, MATCH(1, (A524 &gt;= $F$2:$F$35) * (A524 &lt;= $G$2:$G$35), 0))</f>
        <v>01-03-2025 to 07-03-2025</v>
      </c>
      <c r="E524" t="str">
        <f>IF(COUNTIF('Top5'!I:I, D524) &gt; 0, "Yes", "No")</f>
        <v>No</v>
      </c>
    </row>
    <row r="525" spans="1:5">
      <c r="A525" s="1">
        <v>45721</v>
      </c>
      <c r="B525" s="6">
        <v>6.9444444444444447E-4</v>
      </c>
      <c r="C525" s="10" t="s">
        <v>70</v>
      </c>
      <c r="D525" t="str" cm="1">
        <f t="array" ref="D525">INDEX($H$2:$H$35, MATCH(1, (A525 &gt;= $F$2:$F$35) * (A525 &lt;= $G$2:$G$35), 0))</f>
        <v>01-03-2025 to 07-03-2025</v>
      </c>
      <c r="E525" t="str">
        <f>IF(COUNTIF('Top5'!I:I, D525) &gt; 0, "Yes", "No")</f>
        <v>No</v>
      </c>
    </row>
    <row r="526" spans="1:5">
      <c r="A526" s="1">
        <v>45721</v>
      </c>
      <c r="B526" s="6">
        <v>4.1666666666666666E-3</v>
      </c>
      <c r="C526" s="10" t="s">
        <v>70</v>
      </c>
      <c r="D526" t="str" cm="1">
        <f t="array" ref="D526">INDEX($H$2:$H$35, MATCH(1, (A526 &gt;= $F$2:$F$35) * (A526 &lt;= $G$2:$G$35), 0))</f>
        <v>01-03-2025 to 07-03-2025</v>
      </c>
      <c r="E526" t="str">
        <f>IF(COUNTIF('Top5'!I:I, D526) &gt; 0, "Yes", "No")</f>
        <v>No</v>
      </c>
    </row>
    <row r="527" spans="1:5">
      <c r="A527" s="1">
        <v>45721</v>
      </c>
      <c r="B527" s="6">
        <v>0.31180555555555556</v>
      </c>
      <c r="C527" s="10" t="s">
        <v>22</v>
      </c>
      <c r="D527" t="str" cm="1">
        <f t="array" ref="D527">INDEX($H$2:$H$35, MATCH(1, (A527 &gt;= $F$2:$F$35) * (A527 &lt;= $G$2:$G$35), 0))</f>
        <v>01-03-2025 to 07-03-2025</v>
      </c>
      <c r="E527" t="str">
        <f>IF(COUNTIF('Top5'!I:I, D527) &gt; 0, "Yes", "No")</f>
        <v>No</v>
      </c>
    </row>
    <row r="528" spans="1:5">
      <c r="A528" s="1">
        <v>45721</v>
      </c>
      <c r="B528" s="6">
        <v>0.56111111111111112</v>
      </c>
      <c r="C528" s="10" t="s">
        <v>71</v>
      </c>
      <c r="D528" t="str" cm="1">
        <f t="array" ref="D528">INDEX($H$2:$H$35, MATCH(1, (A528 &gt;= $F$2:$F$35) * (A528 &lt;= $G$2:$G$35), 0))</f>
        <v>01-03-2025 to 07-03-2025</v>
      </c>
      <c r="E528" t="str">
        <f>IF(COUNTIF('Top5'!I:I, D528) &gt; 0, "Yes", "No")</f>
        <v>No</v>
      </c>
    </row>
    <row r="529" spans="1:5">
      <c r="A529" s="1">
        <v>45721</v>
      </c>
      <c r="B529" s="6">
        <v>0.5805555555555556</v>
      </c>
      <c r="C529" s="10" t="s">
        <v>71</v>
      </c>
      <c r="D529" t="str" cm="1">
        <f t="array" ref="D529">INDEX($H$2:$H$35, MATCH(1, (A529 &gt;= $F$2:$F$35) * (A529 &lt;= $G$2:$G$35), 0))</f>
        <v>01-03-2025 to 07-03-2025</v>
      </c>
      <c r="E529" t="str">
        <f>IF(COUNTIF('Top5'!I:I, D529) &gt; 0, "Yes", "No")</f>
        <v>No</v>
      </c>
    </row>
    <row r="530" spans="1:5">
      <c r="A530" s="1">
        <v>45721</v>
      </c>
      <c r="B530" s="6">
        <v>0.77083333333333337</v>
      </c>
      <c r="C530" s="10" t="s">
        <v>70</v>
      </c>
      <c r="D530" t="str" cm="1">
        <f t="array" ref="D530">INDEX($H$2:$H$35, MATCH(1, (A530 &gt;= $F$2:$F$35) * (A530 &lt;= $G$2:$G$35), 0))</f>
        <v>01-03-2025 to 07-03-2025</v>
      </c>
      <c r="E530" t="str">
        <f>IF(COUNTIF('Top5'!I:I, D530) &gt; 0, "Yes", "No")</f>
        <v>No</v>
      </c>
    </row>
    <row r="531" spans="1:5">
      <c r="A531" s="1">
        <v>45721</v>
      </c>
      <c r="B531" s="6">
        <v>0.86944444444444446</v>
      </c>
      <c r="C531" s="10" t="s">
        <v>70</v>
      </c>
      <c r="D531" t="str" cm="1">
        <f t="array" ref="D531">INDEX($H$2:$H$35, MATCH(1, (A531 &gt;= $F$2:$F$35) * (A531 &lt;= $G$2:$G$35), 0))</f>
        <v>01-03-2025 to 07-03-2025</v>
      </c>
      <c r="E531" t="str">
        <f>IF(COUNTIF('Top5'!I:I, D531) &gt; 0, "Yes", "No")</f>
        <v>No</v>
      </c>
    </row>
    <row r="532" spans="1:5">
      <c r="A532" s="1">
        <v>45721</v>
      </c>
      <c r="B532" s="6">
        <v>0.87013888888888891</v>
      </c>
      <c r="C532" s="10" t="s">
        <v>70</v>
      </c>
      <c r="D532" t="str" cm="1">
        <f t="array" ref="D532">INDEX($H$2:$H$35, MATCH(1, (A532 &gt;= $F$2:$F$35) * (A532 &lt;= $G$2:$G$35), 0))</f>
        <v>01-03-2025 to 07-03-2025</v>
      </c>
      <c r="E532" t="str">
        <f>IF(COUNTIF('Top5'!I:I, D532) &gt; 0, "Yes", "No")</f>
        <v>No</v>
      </c>
    </row>
    <row r="533" spans="1:5">
      <c r="A533" s="1">
        <v>45721</v>
      </c>
      <c r="B533" s="6">
        <v>0.875</v>
      </c>
      <c r="C533" s="10" t="s">
        <v>70</v>
      </c>
      <c r="D533" t="str" cm="1">
        <f t="array" ref="D533">INDEX($H$2:$H$35, MATCH(1, (A533 &gt;= $F$2:$F$35) * (A533 &lt;= $G$2:$G$35), 0))</f>
        <v>01-03-2025 to 07-03-2025</v>
      </c>
      <c r="E533" t="str">
        <f>IF(COUNTIF('Top5'!I:I, D533) &gt; 0, "Yes", "No")</f>
        <v>No</v>
      </c>
    </row>
    <row r="534" spans="1:5">
      <c r="A534" s="1">
        <v>45721</v>
      </c>
      <c r="B534" s="6">
        <v>0.90486111111111112</v>
      </c>
      <c r="C534" s="10" t="s">
        <v>70</v>
      </c>
      <c r="D534" t="str" cm="1">
        <f t="array" ref="D534">INDEX($H$2:$H$35, MATCH(1, (A534 &gt;= $F$2:$F$35) * (A534 &lt;= $G$2:$G$35), 0))</f>
        <v>01-03-2025 to 07-03-2025</v>
      </c>
      <c r="E534" t="str">
        <f>IF(COUNTIF('Top5'!I:I, D534) &gt; 0, "Yes", "No")</f>
        <v>No</v>
      </c>
    </row>
    <row r="535" spans="1:5">
      <c r="A535" s="1">
        <v>45721</v>
      </c>
      <c r="B535" s="6">
        <v>0.91111111111111109</v>
      </c>
      <c r="C535" s="10" t="s">
        <v>70</v>
      </c>
      <c r="D535" t="str" cm="1">
        <f t="array" ref="D535">INDEX($H$2:$H$35, MATCH(1, (A535 &gt;= $F$2:$F$35) * (A535 &lt;= $G$2:$G$35), 0))</f>
        <v>01-03-2025 to 07-03-2025</v>
      </c>
      <c r="E535" t="str">
        <f>IF(COUNTIF('Top5'!I:I, D535) &gt; 0, "Yes", "No")</f>
        <v>No</v>
      </c>
    </row>
    <row r="536" spans="1:5">
      <c r="A536" s="1">
        <v>45721</v>
      </c>
      <c r="B536" s="6">
        <v>0.91319444444444442</v>
      </c>
      <c r="C536" s="10" t="s">
        <v>70</v>
      </c>
      <c r="D536" t="str" cm="1">
        <f t="array" ref="D536">INDEX($H$2:$H$35, MATCH(1, (A536 &gt;= $F$2:$F$35) * (A536 &lt;= $G$2:$G$35), 0))</f>
        <v>01-03-2025 to 07-03-2025</v>
      </c>
      <c r="E536" t="str">
        <f>IF(COUNTIF('Top5'!I:I, D536) &gt; 0, "Yes", "No")</f>
        <v>No</v>
      </c>
    </row>
    <row r="537" spans="1:5">
      <c r="A537" s="1">
        <v>45721</v>
      </c>
      <c r="B537" s="6">
        <v>0.92013888888888884</v>
      </c>
      <c r="C537" s="10" t="s">
        <v>70</v>
      </c>
      <c r="D537" t="str" cm="1">
        <f t="array" ref="D537">INDEX($H$2:$H$35, MATCH(1, (A537 &gt;= $F$2:$F$35) * (A537 &lt;= $G$2:$G$35), 0))</f>
        <v>01-03-2025 to 07-03-2025</v>
      </c>
      <c r="E537" t="str">
        <f>IF(COUNTIF('Top5'!I:I, D537) &gt; 0, "Yes", "No")</f>
        <v>No</v>
      </c>
    </row>
    <row r="538" spans="1:5">
      <c r="A538" s="1">
        <v>45721</v>
      </c>
      <c r="B538" s="6">
        <v>0.93680555555555556</v>
      </c>
      <c r="C538" s="10" t="s">
        <v>70</v>
      </c>
      <c r="D538" t="str" cm="1">
        <f t="array" ref="D538">INDEX($H$2:$H$35, MATCH(1, (A538 &gt;= $F$2:$F$35) * (A538 &lt;= $G$2:$G$35), 0))</f>
        <v>01-03-2025 to 07-03-2025</v>
      </c>
      <c r="E538" t="str">
        <f>IF(COUNTIF('Top5'!I:I, D538) &gt; 0, "Yes", "No")</f>
        <v>No</v>
      </c>
    </row>
    <row r="539" spans="1:5">
      <c r="A539" s="1">
        <v>45722</v>
      </c>
      <c r="B539" s="6">
        <v>4.1666666666666666E-3</v>
      </c>
      <c r="C539" s="10" t="s">
        <v>70</v>
      </c>
      <c r="D539" t="str" cm="1">
        <f t="array" ref="D539">INDEX($H$2:$H$35, MATCH(1, (A539 &gt;= $F$2:$F$35) * (A539 &lt;= $G$2:$G$35), 0))</f>
        <v>01-03-2025 to 07-03-2025</v>
      </c>
      <c r="E539" t="str">
        <f>IF(COUNTIF('Top5'!I:I, D539) &gt; 0, "Yes", "No")</f>
        <v>No</v>
      </c>
    </row>
    <row r="540" spans="1:5">
      <c r="A540" s="1">
        <v>45722</v>
      </c>
      <c r="B540" s="6">
        <v>6.2500000000000003E-3</v>
      </c>
      <c r="C540" s="10" t="s">
        <v>70</v>
      </c>
      <c r="D540" t="str" cm="1">
        <f t="array" ref="D540">INDEX($H$2:$H$35, MATCH(1, (A540 &gt;= $F$2:$F$35) * (A540 &lt;= $G$2:$G$35), 0))</f>
        <v>01-03-2025 to 07-03-2025</v>
      </c>
      <c r="E540" t="str">
        <f>IF(COUNTIF('Top5'!I:I, D540) &gt; 0, "Yes", "No")</f>
        <v>No</v>
      </c>
    </row>
    <row r="541" spans="1:5">
      <c r="A541" s="1">
        <v>45722</v>
      </c>
      <c r="B541" s="6">
        <v>6.2500000000000003E-3</v>
      </c>
      <c r="C541" s="10" t="s">
        <v>70</v>
      </c>
      <c r="D541" t="str" cm="1">
        <f t="array" ref="D541">INDEX($H$2:$H$35, MATCH(1, (A541 &gt;= $F$2:$F$35) * (A541 &lt;= $G$2:$G$35), 0))</f>
        <v>01-03-2025 to 07-03-2025</v>
      </c>
      <c r="E541" t="str">
        <f>IF(COUNTIF('Top5'!I:I, D541) &gt; 0, "Yes", "No")</f>
        <v>No</v>
      </c>
    </row>
    <row r="542" spans="1:5">
      <c r="A542" s="1">
        <v>45722</v>
      </c>
      <c r="B542" s="6">
        <v>7.6388888888888886E-3</v>
      </c>
      <c r="C542" s="10" t="s">
        <v>70</v>
      </c>
      <c r="D542" t="str" cm="1">
        <f t="array" ref="D542">INDEX($H$2:$H$35, MATCH(1, (A542 &gt;= $F$2:$F$35) * (A542 &lt;= $G$2:$G$35), 0))</f>
        <v>01-03-2025 to 07-03-2025</v>
      </c>
      <c r="E542" t="str">
        <f>IF(COUNTIF('Top5'!I:I, D542) &gt; 0, "Yes", "No")</f>
        <v>No</v>
      </c>
    </row>
    <row r="543" spans="1:5">
      <c r="A543" s="1">
        <v>45722</v>
      </c>
      <c r="B543" s="6">
        <v>7.6388888888888886E-3</v>
      </c>
      <c r="C543" s="10" t="s">
        <v>70</v>
      </c>
      <c r="D543" t="str" cm="1">
        <f t="array" ref="D543">INDEX($H$2:$H$35, MATCH(1, (A543 &gt;= $F$2:$F$35) * (A543 &lt;= $G$2:$G$35), 0))</f>
        <v>01-03-2025 to 07-03-2025</v>
      </c>
      <c r="E543" t="str">
        <f>IF(COUNTIF('Top5'!I:I, D543) &gt; 0, "Yes", "No")</f>
        <v>No</v>
      </c>
    </row>
    <row r="544" spans="1:5">
      <c r="A544" s="1">
        <v>45722</v>
      </c>
      <c r="B544" s="6">
        <v>9.0277777777777769E-3</v>
      </c>
      <c r="C544" s="10" t="s">
        <v>70</v>
      </c>
      <c r="D544" t="str" cm="1">
        <f t="array" ref="D544">INDEX($H$2:$H$35, MATCH(1, (A544 &gt;= $F$2:$F$35) * (A544 &lt;= $G$2:$G$35), 0))</f>
        <v>01-03-2025 to 07-03-2025</v>
      </c>
      <c r="E544" t="str">
        <f>IF(COUNTIF('Top5'!I:I, D544) &gt; 0, "Yes", "No")</f>
        <v>No</v>
      </c>
    </row>
    <row r="545" spans="1:5">
      <c r="A545" s="1">
        <v>45722</v>
      </c>
      <c r="B545" s="6">
        <v>1.7361111111111112E-2</v>
      </c>
      <c r="C545" s="10" t="s">
        <v>70</v>
      </c>
      <c r="D545" t="str" cm="1">
        <f t="array" ref="D545">INDEX($H$2:$H$35, MATCH(1, (A545 &gt;= $F$2:$F$35) * (A545 &lt;= $G$2:$G$35), 0))</f>
        <v>01-03-2025 to 07-03-2025</v>
      </c>
      <c r="E545" t="str">
        <f>IF(COUNTIF('Top5'!I:I, D545) &gt; 0, "Yes", "No")</f>
        <v>No</v>
      </c>
    </row>
    <row r="546" spans="1:5">
      <c r="A546" s="1">
        <v>45722</v>
      </c>
      <c r="B546" s="6">
        <v>1.7361111111111112E-2</v>
      </c>
      <c r="C546" s="10" t="s">
        <v>70</v>
      </c>
      <c r="D546" t="str" cm="1">
        <f t="array" ref="D546">INDEX($H$2:$H$35, MATCH(1, (A546 &gt;= $F$2:$F$35) * (A546 &lt;= $G$2:$G$35), 0))</f>
        <v>01-03-2025 to 07-03-2025</v>
      </c>
      <c r="E546" t="str">
        <f>IF(COUNTIF('Top5'!I:I, D546) &gt; 0, "Yes", "No")</f>
        <v>No</v>
      </c>
    </row>
    <row r="547" spans="1:5">
      <c r="A547" s="1">
        <v>45722</v>
      </c>
      <c r="B547" s="6">
        <v>1.8749999999999999E-2</v>
      </c>
      <c r="C547" s="10" t="s">
        <v>70</v>
      </c>
      <c r="D547" t="str" cm="1">
        <f t="array" ref="D547">INDEX($H$2:$H$35, MATCH(1, (A547 &gt;= $F$2:$F$35) * (A547 &lt;= $G$2:$G$35), 0))</f>
        <v>01-03-2025 to 07-03-2025</v>
      </c>
      <c r="E547" t="str">
        <f>IF(COUNTIF('Top5'!I:I, D547) &gt; 0, "Yes", "No")</f>
        <v>No</v>
      </c>
    </row>
    <row r="548" spans="1:5">
      <c r="A548" s="1">
        <v>45722</v>
      </c>
      <c r="B548" s="6">
        <v>0.40972222222222221</v>
      </c>
      <c r="C548" s="10" t="s">
        <v>22</v>
      </c>
      <c r="D548" t="str" cm="1">
        <f t="array" ref="D548">INDEX($H$2:$H$35, MATCH(1, (A548 &gt;= $F$2:$F$35) * (A548 &lt;= $G$2:$G$35), 0))</f>
        <v>01-03-2025 to 07-03-2025</v>
      </c>
      <c r="E548" t="str">
        <f>IF(COUNTIF('Top5'!I:I, D548) &gt; 0, "Yes", "No")</f>
        <v>No</v>
      </c>
    </row>
    <row r="549" spans="1:5">
      <c r="A549" s="1">
        <v>45722</v>
      </c>
      <c r="B549" s="6">
        <v>0.44027777777777777</v>
      </c>
      <c r="C549" s="10" t="s">
        <v>22</v>
      </c>
      <c r="D549" t="str" cm="1">
        <f t="array" ref="D549">INDEX($H$2:$H$35, MATCH(1, (A549 &gt;= $F$2:$F$35) * (A549 &lt;= $G$2:$G$35), 0))</f>
        <v>01-03-2025 to 07-03-2025</v>
      </c>
      <c r="E549" t="str">
        <f>IF(COUNTIF('Top5'!I:I, D549) &gt; 0, "Yes", "No")</f>
        <v>No</v>
      </c>
    </row>
    <row r="550" spans="1:5">
      <c r="A550" s="1">
        <v>45722</v>
      </c>
      <c r="B550" s="6">
        <v>0.46388888888888891</v>
      </c>
      <c r="C550" s="10" t="s">
        <v>22</v>
      </c>
      <c r="D550" t="str" cm="1">
        <f t="array" ref="D550">INDEX($H$2:$H$35, MATCH(1, (A550 &gt;= $F$2:$F$35) * (A550 &lt;= $G$2:$G$35), 0))</f>
        <v>01-03-2025 to 07-03-2025</v>
      </c>
      <c r="E550" t="str">
        <f>IF(COUNTIF('Top5'!I:I, D550) &gt; 0, "Yes", "No")</f>
        <v>No</v>
      </c>
    </row>
    <row r="551" spans="1:5">
      <c r="A551" s="1">
        <v>45722</v>
      </c>
      <c r="B551" s="6">
        <v>0.47986111111111113</v>
      </c>
      <c r="C551" s="10" t="s">
        <v>22</v>
      </c>
      <c r="D551" t="str" cm="1">
        <f t="array" ref="D551">INDEX($H$2:$H$35, MATCH(1, (A551 &gt;= $F$2:$F$35) * (A551 &lt;= $G$2:$G$35), 0))</f>
        <v>01-03-2025 to 07-03-2025</v>
      </c>
      <c r="E551" t="str">
        <f>IF(COUNTIF('Top5'!I:I, D551) &gt; 0, "Yes", "No")</f>
        <v>No</v>
      </c>
    </row>
    <row r="552" spans="1:5">
      <c r="A552" s="1">
        <v>45722</v>
      </c>
      <c r="B552" s="6">
        <v>0.4909722222222222</v>
      </c>
      <c r="C552" s="10" t="s">
        <v>22</v>
      </c>
      <c r="D552" t="str" cm="1">
        <f t="array" ref="D552">INDEX($H$2:$H$35, MATCH(1, (A552 &gt;= $F$2:$F$35) * (A552 &lt;= $G$2:$G$35), 0))</f>
        <v>01-03-2025 to 07-03-2025</v>
      </c>
      <c r="E552" t="str">
        <f>IF(COUNTIF('Top5'!I:I, D552) &gt; 0, "Yes", "No")</f>
        <v>No</v>
      </c>
    </row>
    <row r="553" spans="1:5">
      <c r="A553" s="1">
        <v>45722</v>
      </c>
      <c r="B553" s="6">
        <v>0.7583333333333333</v>
      </c>
      <c r="C553" s="10" t="s">
        <v>70</v>
      </c>
      <c r="D553" t="str" cm="1">
        <f t="array" ref="D553">INDEX($H$2:$H$35, MATCH(1, (A553 &gt;= $F$2:$F$35) * (A553 &lt;= $G$2:$G$35), 0))</f>
        <v>01-03-2025 to 07-03-2025</v>
      </c>
      <c r="E553" t="str">
        <f>IF(COUNTIF('Top5'!I:I, D553) &gt; 0, "Yes", "No")</f>
        <v>No</v>
      </c>
    </row>
    <row r="554" spans="1:5">
      <c r="A554" s="1">
        <v>45722</v>
      </c>
      <c r="B554" s="6">
        <v>0.76597222222222228</v>
      </c>
      <c r="C554" s="10" t="s">
        <v>70</v>
      </c>
      <c r="D554" t="str" cm="1">
        <f t="array" ref="D554">INDEX($H$2:$H$35, MATCH(1, (A554 &gt;= $F$2:$F$35) * (A554 &lt;= $G$2:$G$35), 0))</f>
        <v>01-03-2025 to 07-03-2025</v>
      </c>
      <c r="E554" t="str">
        <f>IF(COUNTIF('Top5'!I:I, D554) &gt; 0, "Yes", "No")</f>
        <v>No</v>
      </c>
    </row>
    <row r="555" spans="1:5">
      <c r="A555" s="1">
        <v>45722</v>
      </c>
      <c r="B555" s="6">
        <v>0.78680555555555554</v>
      </c>
      <c r="C555" s="10" t="s">
        <v>70</v>
      </c>
      <c r="D555" t="str" cm="1">
        <f t="array" ref="D555">INDEX($H$2:$H$35, MATCH(1, (A555 &gt;= $F$2:$F$35) * (A555 &lt;= $G$2:$G$35), 0))</f>
        <v>01-03-2025 to 07-03-2025</v>
      </c>
      <c r="E555" t="str">
        <f>IF(COUNTIF('Top5'!I:I, D555) &gt; 0, "Yes", "No")</f>
        <v>No</v>
      </c>
    </row>
    <row r="556" spans="1:5">
      <c r="A556" s="1">
        <v>45722</v>
      </c>
      <c r="B556" s="6">
        <v>0.84513888888888888</v>
      </c>
      <c r="C556" s="10" t="s">
        <v>70</v>
      </c>
      <c r="D556" t="str" cm="1">
        <f t="array" ref="D556">INDEX($H$2:$H$35, MATCH(1, (A556 &gt;= $F$2:$F$35) * (A556 &lt;= $G$2:$G$35), 0))</f>
        <v>01-03-2025 to 07-03-2025</v>
      </c>
      <c r="E556" t="str">
        <f>IF(COUNTIF('Top5'!I:I, D556) &gt; 0, "Yes", "No")</f>
        <v>No</v>
      </c>
    </row>
    <row r="557" spans="1:5">
      <c r="A557" s="1">
        <v>45722</v>
      </c>
      <c r="B557" s="6">
        <v>0.87708333333333333</v>
      </c>
      <c r="C557" s="10" t="s">
        <v>70</v>
      </c>
      <c r="D557" t="str" cm="1">
        <f t="array" ref="D557">INDEX($H$2:$H$35, MATCH(1, (A557 &gt;= $F$2:$F$35) * (A557 &lt;= $G$2:$G$35), 0))</f>
        <v>01-03-2025 to 07-03-2025</v>
      </c>
      <c r="E557" t="str">
        <f>IF(COUNTIF('Top5'!I:I, D557) &gt; 0, "Yes", "No")</f>
        <v>No</v>
      </c>
    </row>
    <row r="558" spans="1:5">
      <c r="A558" s="1">
        <v>45722</v>
      </c>
      <c r="B558" s="6">
        <v>0.87777777777777777</v>
      </c>
      <c r="C558" s="10" t="s">
        <v>70</v>
      </c>
      <c r="D558" t="str" cm="1">
        <f t="array" ref="D558">INDEX($H$2:$H$35, MATCH(1, (A558 &gt;= $F$2:$F$35) * (A558 &lt;= $G$2:$G$35), 0))</f>
        <v>01-03-2025 to 07-03-2025</v>
      </c>
      <c r="E558" t="str">
        <f>IF(COUNTIF('Top5'!I:I, D558) &gt; 0, "Yes", "No")</f>
        <v>No</v>
      </c>
    </row>
    <row r="559" spans="1:5">
      <c r="A559" s="1">
        <v>45722</v>
      </c>
      <c r="B559" s="6">
        <v>0.94513888888888886</v>
      </c>
      <c r="C559" s="10" t="s">
        <v>70</v>
      </c>
      <c r="D559" t="str" cm="1">
        <f t="array" ref="D559">INDEX($H$2:$H$35, MATCH(1, (A559 &gt;= $F$2:$F$35) * (A559 &lt;= $G$2:$G$35), 0))</f>
        <v>01-03-2025 to 07-03-2025</v>
      </c>
      <c r="E559" t="str">
        <f>IF(COUNTIF('Top5'!I:I, D559) &gt; 0, "Yes", "No")</f>
        <v>No</v>
      </c>
    </row>
    <row r="560" spans="1:5">
      <c r="A560" s="1">
        <v>45722</v>
      </c>
      <c r="B560" s="6">
        <v>0.98541666666666672</v>
      </c>
      <c r="C560" s="10" t="s">
        <v>70</v>
      </c>
      <c r="D560" t="str" cm="1">
        <f t="array" ref="D560">INDEX($H$2:$H$35, MATCH(1, (A560 &gt;= $F$2:$F$35) * (A560 &lt;= $G$2:$G$35), 0))</f>
        <v>01-03-2025 to 07-03-2025</v>
      </c>
      <c r="E560" t="str">
        <f>IF(COUNTIF('Top5'!I:I, D560) &gt; 0, "Yes", "No")</f>
        <v>No</v>
      </c>
    </row>
    <row r="561" spans="1:5">
      <c r="A561" s="1">
        <v>45722</v>
      </c>
      <c r="B561" s="6">
        <v>0.98750000000000004</v>
      </c>
      <c r="C561" s="10" t="s">
        <v>70</v>
      </c>
      <c r="D561" t="str" cm="1">
        <f t="array" ref="D561">INDEX($H$2:$H$35, MATCH(1, (A561 &gt;= $F$2:$F$35) * (A561 &lt;= $G$2:$G$35), 0))</f>
        <v>01-03-2025 to 07-03-2025</v>
      </c>
      <c r="E561" t="str">
        <f>IF(COUNTIF('Top5'!I:I, D561) &gt; 0, "Yes", "No")</f>
        <v>No</v>
      </c>
    </row>
    <row r="562" spans="1:5">
      <c r="A562" s="1">
        <v>45723</v>
      </c>
      <c r="B562" s="6">
        <v>6.9444444444444447E-4</v>
      </c>
      <c r="C562" s="10" t="s">
        <v>70</v>
      </c>
      <c r="D562" t="str" cm="1">
        <f t="array" ref="D562">INDEX($H$2:$H$35, MATCH(1, (A562 &gt;= $F$2:$F$35) * (A562 &lt;= $G$2:$G$35), 0))</f>
        <v>01-03-2025 to 07-03-2025</v>
      </c>
      <c r="E562" t="str">
        <f>IF(COUNTIF('Top5'!I:I, D562) &gt; 0, "Yes", "No")</f>
        <v>No</v>
      </c>
    </row>
    <row r="563" spans="1:5">
      <c r="A563" s="1">
        <v>45723</v>
      </c>
      <c r="B563" s="6">
        <v>4.8611111111111112E-3</v>
      </c>
      <c r="C563" s="10" t="s">
        <v>70</v>
      </c>
      <c r="D563" t="str" cm="1">
        <f t="array" ref="D563">INDEX($H$2:$H$35, MATCH(1, (A563 &gt;= $F$2:$F$35) * (A563 &lt;= $G$2:$G$35), 0))</f>
        <v>01-03-2025 to 07-03-2025</v>
      </c>
      <c r="E563" t="str">
        <f>IF(COUNTIF('Top5'!I:I, D563) &gt; 0, "Yes", "No")</f>
        <v>No</v>
      </c>
    </row>
    <row r="564" spans="1:5">
      <c r="A564" s="1">
        <v>45723</v>
      </c>
      <c r="B564" s="6">
        <v>2.2222222222222223E-2</v>
      </c>
      <c r="C564" s="10" t="s">
        <v>70</v>
      </c>
      <c r="D564" t="str" cm="1">
        <f t="array" ref="D564">INDEX($H$2:$H$35, MATCH(1, (A564 &gt;= $F$2:$F$35) * (A564 &lt;= $G$2:$G$35), 0))</f>
        <v>01-03-2025 to 07-03-2025</v>
      </c>
      <c r="E564" t="str">
        <f>IF(COUNTIF('Top5'!I:I, D564) &gt; 0, "Yes", "No")</f>
        <v>No</v>
      </c>
    </row>
    <row r="565" spans="1:5">
      <c r="A565" s="1">
        <v>45723</v>
      </c>
      <c r="B565" s="6">
        <v>0.53125</v>
      </c>
      <c r="C565" s="10" t="s">
        <v>71</v>
      </c>
      <c r="D565" t="str" cm="1">
        <f t="array" ref="D565">INDEX($H$2:$H$35, MATCH(1, (A565 &gt;= $F$2:$F$35) * (A565 &lt;= $G$2:$G$35), 0))</f>
        <v>01-03-2025 to 07-03-2025</v>
      </c>
      <c r="E565" t="str">
        <f>IF(COUNTIF('Top5'!I:I, D565) &gt; 0, "Yes", "No")</f>
        <v>No</v>
      </c>
    </row>
    <row r="566" spans="1:5">
      <c r="A566" s="1">
        <v>45723</v>
      </c>
      <c r="B566" s="6">
        <v>0.53819444444444442</v>
      </c>
      <c r="C566" s="10" t="s">
        <v>71</v>
      </c>
      <c r="D566" t="str" cm="1">
        <f t="array" ref="D566">INDEX($H$2:$H$35, MATCH(1, (A566 &gt;= $F$2:$F$35) * (A566 &lt;= $G$2:$G$35), 0))</f>
        <v>01-03-2025 to 07-03-2025</v>
      </c>
      <c r="E566" t="str">
        <f>IF(COUNTIF('Top5'!I:I, D566) &gt; 0, "Yes", "No")</f>
        <v>No</v>
      </c>
    </row>
    <row r="567" spans="1:5">
      <c r="A567" s="1">
        <v>45723</v>
      </c>
      <c r="B567" s="6">
        <v>0.55069444444444449</v>
      </c>
      <c r="C567" s="10" t="s">
        <v>71</v>
      </c>
      <c r="D567" t="str" cm="1">
        <f t="array" ref="D567">INDEX($H$2:$H$35, MATCH(1, (A567 &gt;= $F$2:$F$35) * (A567 &lt;= $G$2:$G$35), 0))</f>
        <v>01-03-2025 to 07-03-2025</v>
      </c>
      <c r="E567" t="str">
        <f>IF(COUNTIF('Top5'!I:I, D567) &gt; 0, "Yes", "No")</f>
        <v>No</v>
      </c>
    </row>
    <row r="568" spans="1:5">
      <c r="A568" s="1">
        <v>45723</v>
      </c>
      <c r="B568" s="6">
        <v>0.55555555555555558</v>
      </c>
      <c r="C568" s="10" t="s">
        <v>71</v>
      </c>
      <c r="D568" t="str" cm="1">
        <f t="array" ref="D568">INDEX($H$2:$H$35, MATCH(1, (A568 &gt;= $F$2:$F$35) * (A568 &lt;= $G$2:$G$35), 0))</f>
        <v>01-03-2025 to 07-03-2025</v>
      </c>
      <c r="E568" t="str">
        <f>IF(COUNTIF('Top5'!I:I, D568) &gt; 0, "Yes", "No")</f>
        <v>No</v>
      </c>
    </row>
    <row r="569" spans="1:5">
      <c r="A569" s="1">
        <v>45723</v>
      </c>
      <c r="B569" s="6">
        <v>0.72430555555555554</v>
      </c>
      <c r="C569" s="10" t="s">
        <v>70</v>
      </c>
      <c r="D569" t="str" cm="1">
        <f t="array" ref="D569">INDEX($H$2:$H$35, MATCH(1, (A569 &gt;= $F$2:$F$35) * (A569 &lt;= $G$2:$G$35), 0))</f>
        <v>01-03-2025 to 07-03-2025</v>
      </c>
      <c r="E569" t="str">
        <f>IF(COUNTIF('Top5'!I:I, D569) &gt; 0, "Yes", "No")</f>
        <v>No</v>
      </c>
    </row>
    <row r="570" spans="1:5">
      <c r="A570" s="1">
        <v>45723</v>
      </c>
      <c r="B570" s="6">
        <v>0.73888888888888893</v>
      </c>
      <c r="C570" s="10" t="s">
        <v>70</v>
      </c>
      <c r="D570" t="str" cm="1">
        <f t="array" ref="D570">INDEX($H$2:$H$35, MATCH(1, (A570 &gt;= $F$2:$F$35) * (A570 &lt;= $G$2:$G$35), 0))</f>
        <v>01-03-2025 to 07-03-2025</v>
      </c>
      <c r="E570" t="str">
        <f>IF(COUNTIF('Top5'!I:I, D570) &gt; 0, "Yes", "No")</f>
        <v>No</v>
      </c>
    </row>
    <row r="571" spans="1:5">
      <c r="A571" s="1">
        <v>45723</v>
      </c>
      <c r="B571" s="6">
        <v>0.73888888888888893</v>
      </c>
      <c r="C571" s="10" t="s">
        <v>70</v>
      </c>
      <c r="D571" t="str" cm="1">
        <f t="array" ref="D571">INDEX($H$2:$H$35, MATCH(1, (A571 &gt;= $F$2:$F$35) * (A571 &lt;= $G$2:$G$35), 0))</f>
        <v>01-03-2025 to 07-03-2025</v>
      </c>
      <c r="E571" t="str">
        <f>IF(COUNTIF('Top5'!I:I, D571) &gt; 0, "Yes", "No")</f>
        <v>No</v>
      </c>
    </row>
    <row r="572" spans="1:5">
      <c r="A572" s="1">
        <v>45723</v>
      </c>
      <c r="B572" s="6">
        <v>0.74027777777777781</v>
      </c>
      <c r="C572" s="10" t="s">
        <v>70</v>
      </c>
      <c r="D572" t="str" cm="1">
        <f t="array" ref="D572">INDEX($H$2:$H$35, MATCH(1, (A572 &gt;= $F$2:$F$35) * (A572 &lt;= $G$2:$G$35), 0))</f>
        <v>01-03-2025 to 07-03-2025</v>
      </c>
      <c r="E572" t="str">
        <f>IF(COUNTIF('Top5'!I:I, D572) &gt; 0, "Yes", "No")</f>
        <v>No</v>
      </c>
    </row>
    <row r="573" spans="1:5">
      <c r="A573" s="1">
        <v>45723</v>
      </c>
      <c r="B573" s="6">
        <v>0.75208333333333333</v>
      </c>
      <c r="C573" s="10" t="s">
        <v>70</v>
      </c>
      <c r="D573" t="str" cm="1">
        <f t="array" ref="D573">INDEX($H$2:$H$35, MATCH(1, (A573 &gt;= $F$2:$F$35) * (A573 &lt;= $G$2:$G$35), 0))</f>
        <v>01-03-2025 to 07-03-2025</v>
      </c>
      <c r="E573" t="str">
        <f>IF(COUNTIF('Top5'!I:I, D573) &gt; 0, "Yes", "No")</f>
        <v>No</v>
      </c>
    </row>
    <row r="574" spans="1:5">
      <c r="A574" s="1">
        <v>45723</v>
      </c>
      <c r="B574" s="6">
        <v>0.7680555555555556</v>
      </c>
      <c r="C574" s="10" t="s">
        <v>70</v>
      </c>
      <c r="D574" t="str" cm="1">
        <f t="array" ref="D574">INDEX($H$2:$H$35, MATCH(1, (A574 &gt;= $F$2:$F$35) * (A574 &lt;= $G$2:$G$35), 0))</f>
        <v>01-03-2025 to 07-03-2025</v>
      </c>
      <c r="E574" t="str">
        <f>IF(COUNTIF('Top5'!I:I, D574) &gt; 0, "Yes", "No")</f>
        <v>No</v>
      </c>
    </row>
    <row r="575" spans="1:5">
      <c r="A575" s="1">
        <v>45723</v>
      </c>
      <c r="B575" s="6">
        <v>0.82291666666666663</v>
      </c>
      <c r="C575" s="10" t="s">
        <v>70</v>
      </c>
      <c r="D575" t="str" cm="1">
        <f t="array" ref="D575">INDEX($H$2:$H$35, MATCH(1, (A575 &gt;= $F$2:$F$35) * (A575 &lt;= $G$2:$G$35), 0))</f>
        <v>01-03-2025 to 07-03-2025</v>
      </c>
      <c r="E575" t="str">
        <f>IF(COUNTIF('Top5'!I:I, D575) &gt; 0, "Yes", "No")</f>
        <v>No</v>
      </c>
    </row>
    <row r="576" spans="1:5">
      <c r="A576" s="1">
        <v>45724</v>
      </c>
      <c r="B576" s="6">
        <v>1.3888888888888889E-3</v>
      </c>
      <c r="C576" s="10" t="s">
        <v>70</v>
      </c>
      <c r="D576" t="str" cm="1">
        <f t="array" ref="D576">INDEX($H$2:$H$35, MATCH(1, (A576 &gt;= $F$2:$F$35) * (A576 &lt;= $G$2:$G$35), 0))</f>
        <v>08-03-2025 to 14-03-2025</v>
      </c>
      <c r="E576" t="str">
        <f>IF(COUNTIF('Top5'!I:I, D576) &gt; 0, "Yes", "No")</f>
        <v>Yes</v>
      </c>
    </row>
    <row r="577" spans="1:5">
      <c r="A577" s="1">
        <v>45724</v>
      </c>
      <c r="B577" s="6">
        <v>1.3888888888888889E-3</v>
      </c>
      <c r="C577" s="10" t="s">
        <v>70</v>
      </c>
      <c r="D577" t="str" cm="1">
        <f t="array" ref="D577">INDEX($H$2:$H$35, MATCH(1, (A577 &gt;= $F$2:$F$35) * (A577 &lt;= $G$2:$G$35), 0))</f>
        <v>08-03-2025 to 14-03-2025</v>
      </c>
      <c r="E577" t="str">
        <f>IF(COUNTIF('Top5'!I:I, D577) &gt; 0, "Yes", "No")</f>
        <v>Yes</v>
      </c>
    </row>
    <row r="578" spans="1:5">
      <c r="A578" s="1">
        <v>45724</v>
      </c>
      <c r="B578" s="6">
        <v>4.1666666666666666E-3</v>
      </c>
      <c r="C578" s="10" t="s">
        <v>70</v>
      </c>
      <c r="D578" t="str" cm="1">
        <f t="array" ref="D578">INDEX($H$2:$H$35, MATCH(1, (A578 &gt;= $F$2:$F$35) * (A578 &lt;= $G$2:$G$35), 0))</f>
        <v>08-03-2025 to 14-03-2025</v>
      </c>
      <c r="E578" t="str">
        <f>IF(COUNTIF('Top5'!I:I, D578) &gt; 0, "Yes", "No")</f>
        <v>Yes</v>
      </c>
    </row>
    <row r="579" spans="1:5">
      <c r="A579" s="1">
        <v>45724</v>
      </c>
      <c r="B579" s="6">
        <v>4.1666666666666666E-3</v>
      </c>
      <c r="C579" s="10" t="s">
        <v>70</v>
      </c>
      <c r="D579" t="str" cm="1">
        <f t="array" ref="D579">INDEX($H$2:$H$35, MATCH(1, (A579 &gt;= $F$2:$F$35) * (A579 &lt;= $G$2:$G$35), 0))</f>
        <v>08-03-2025 to 14-03-2025</v>
      </c>
      <c r="E579" t="str">
        <f>IF(COUNTIF('Top5'!I:I, D579) &gt; 0, "Yes", "No")</f>
        <v>Yes</v>
      </c>
    </row>
    <row r="580" spans="1:5">
      <c r="A580" s="1">
        <v>45724</v>
      </c>
      <c r="B580" s="6">
        <v>6.9444444444444441E-3</v>
      </c>
      <c r="C580" s="10" t="s">
        <v>70</v>
      </c>
      <c r="D580" t="str" cm="1">
        <f t="array" ref="D580">INDEX($H$2:$H$35, MATCH(1, (A580 &gt;= $F$2:$F$35) * (A580 &lt;= $G$2:$G$35), 0))</f>
        <v>08-03-2025 to 14-03-2025</v>
      </c>
      <c r="E580" t="str">
        <f>IF(COUNTIF('Top5'!I:I, D580) &gt; 0, "Yes", "No")</f>
        <v>Yes</v>
      </c>
    </row>
    <row r="581" spans="1:5">
      <c r="A581" s="1">
        <v>45724</v>
      </c>
      <c r="B581" s="6">
        <v>1.1805555555555555E-2</v>
      </c>
      <c r="C581" s="10" t="s">
        <v>70</v>
      </c>
      <c r="D581" t="str" cm="1">
        <f t="array" ref="D581">INDEX($H$2:$H$35, MATCH(1, (A581 &gt;= $F$2:$F$35) * (A581 &lt;= $G$2:$G$35), 0))</f>
        <v>08-03-2025 to 14-03-2025</v>
      </c>
      <c r="E581" t="str">
        <f>IF(COUNTIF('Top5'!I:I, D581) &gt; 0, "Yes", "No")</f>
        <v>Yes</v>
      </c>
    </row>
    <row r="582" spans="1:5">
      <c r="A582" s="1">
        <v>45724</v>
      </c>
      <c r="B582" s="6">
        <v>1.5972222222222221E-2</v>
      </c>
      <c r="C582" s="10" t="s">
        <v>70</v>
      </c>
      <c r="D582" t="str" cm="1">
        <f t="array" ref="D582">INDEX($H$2:$H$35, MATCH(1, (A582 &gt;= $F$2:$F$35) * (A582 &lt;= $G$2:$G$35), 0))</f>
        <v>08-03-2025 to 14-03-2025</v>
      </c>
      <c r="E582" t="str">
        <f>IF(COUNTIF('Top5'!I:I, D582) &gt; 0, "Yes", "No")</f>
        <v>Yes</v>
      </c>
    </row>
    <row r="583" spans="1:5">
      <c r="A583" s="1">
        <v>45724</v>
      </c>
      <c r="B583" s="6">
        <v>0.31111111111111112</v>
      </c>
      <c r="C583" s="10" t="s">
        <v>22</v>
      </c>
      <c r="D583" t="str" cm="1">
        <f t="array" ref="D583">INDEX($H$2:$H$35, MATCH(1, (A583 &gt;= $F$2:$F$35) * (A583 &lt;= $G$2:$G$35), 0))</f>
        <v>08-03-2025 to 14-03-2025</v>
      </c>
      <c r="E583" t="str">
        <f>IF(COUNTIF('Top5'!I:I, D583) &gt; 0, "Yes", "No")</f>
        <v>Yes</v>
      </c>
    </row>
    <row r="584" spans="1:5">
      <c r="A584" s="1">
        <v>45724</v>
      </c>
      <c r="B584" s="6">
        <v>0.41249999999999998</v>
      </c>
      <c r="C584" s="10" t="s">
        <v>22</v>
      </c>
      <c r="D584" t="str" cm="1">
        <f t="array" ref="D584">INDEX($H$2:$H$35, MATCH(1, (A584 &gt;= $F$2:$F$35) * (A584 &lt;= $G$2:$G$35), 0))</f>
        <v>08-03-2025 to 14-03-2025</v>
      </c>
      <c r="E584" t="str">
        <f>IF(COUNTIF('Top5'!I:I, D584) &gt; 0, "Yes", "No")</f>
        <v>Yes</v>
      </c>
    </row>
    <row r="585" spans="1:5">
      <c r="A585" s="1">
        <v>45724</v>
      </c>
      <c r="B585" s="6">
        <v>0.5625</v>
      </c>
      <c r="C585" s="10" t="s">
        <v>71</v>
      </c>
      <c r="D585" t="str" cm="1">
        <f t="array" ref="D585">INDEX($H$2:$H$35, MATCH(1, (A585 &gt;= $F$2:$F$35) * (A585 &lt;= $G$2:$G$35), 0))</f>
        <v>08-03-2025 to 14-03-2025</v>
      </c>
      <c r="E585" t="str">
        <f>IF(COUNTIF('Top5'!I:I, D585) &gt; 0, "Yes", "No")</f>
        <v>Yes</v>
      </c>
    </row>
    <row r="586" spans="1:5">
      <c r="A586" s="1">
        <v>45724</v>
      </c>
      <c r="B586" s="6">
        <v>0.60486111111111107</v>
      </c>
      <c r="C586" s="10" t="s">
        <v>71</v>
      </c>
      <c r="D586" t="str" cm="1">
        <f t="array" ref="D586">INDEX($H$2:$H$35, MATCH(1, (A586 &gt;= $F$2:$F$35) * (A586 &lt;= $G$2:$G$35), 0))</f>
        <v>08-03-2025 to 14-03-2025</v>
      </c>
      <c r="E586" t="str">
        <f>IF(COUNTIF('Top5'!I:I, D586) &gt; 0, "Yes", "No")</f>
        <v>Yes</v>
      </c>
    </row>
    <row r="587" spans="1:5">
      <c r="A587" s="1">
        <v>45724</v>
      </c>
      <c r="B587" s="6">
        <v>0.8256944444444444</v>
      </c>
      <c r="C587" s="10" t="s">
        <v>70</v>
      </c>
      <c r="D587" t="str" cm="1">
        <f t="array" ref="D587">INDEX($H$2:$H$35, MATCH(1, (A587 &gt;= $F$2:$F$35) * (A587 &lt;= $G$2:$G$35), 0))</f>
        <v>08-03-2025 to 14-03-2025</v>
      </c>
      <c r="E587" t="str">
        <f>IF(COUNTIF('Top5'!I:I, D587) &gt; 0, "Yes", "No")</f>
        <v>Yes</v>
      </c>
    </row>
    <row r="588" spans="1:5">
      <c r="A588" s="1">
        <v>45724</v>
      </c>
      <c r="B588" s="6">
        <v>0.8256944444444444</v>
      </c>
      <c r="C588" s="10" t="s">
        <v>70</v>
      </c>
      <c r="D588" t="str" cm="1">
        <f t="array" ref="D588">INDEX($H$2:$H$35, MATCH(1, (A588 &gt;= $F$2:$F$35) * (A588 &lt;= $G$2:$G$35), 0))</f>
        <v>08-03-2025 to 14-03-2025</v>
      </c>
      <c r="E588" t="str">
        <f>IF(COUNTIF('Top5'!I:I, D588) &gt; 0, "Yes", "No")</f>
        <v>Yes</v>
      </c>
    </row>
    <row r="589" spans="1:5">
      <c r="A589" s="1">
        <v>45724</v>
      </c>
      <c r="B589" s="6">
        <v>0.8256944444444444</v>
      </c>
      <c r="C589" s="10" t="s">
        <v>70</v>
      </c>
      <c r="D589" t="str" cm="1">
        <f t="array" ref="D589">INDEX($H$2:$H$35, MATCH(1, (A589 &gt;= $F$2:$F$35) * (A589 &lt;= $G$2:$G$35), 0))</f>
        <v>08-03-2025 to 14-03-2025</v>
      </c>
      <c r="E589" t="str">
        <f>IF(COUNTIF('Top5'!I:I, D589) &gt; 0, "Yes", "No")</f>
        <v>Yes</v>
      </c>
    </row>
    <row r="590" spans="1:5">
      <c r="A590" s="1">
        <v>45724</v>
      </c>
      <c r="B590" s="6">
        <v>0.84236111111111112</v>
      </c>
      <c r="C590" s="10" t="s">
        <v>70</v>
      </c>
      <c r="D590" t="str" cm="1">
        <f t="array" ref="D590">INDEX($H$2:$H$35, MATCH(1, (A590 &gt;= $F$2:$F$35) * (A590 &lt;= $G$2:$G$35), 0))</f>
        <v>08-03-2025 to 14-03-2025</v>
      </c>
      <c r="E590" t="str">
        <f>IF(COUNTIF('Top5'!I:I, D590) &gt; 0, "Yes", "No")</f>
        <v>Yes</v>
      </c>
    </row>
    <row r="591" spans="1:5">
      <c r="A591" s="1">
        <v>45724</v>
      </c>
      <c r="B591" s="6">
        <v>0.84305555555555556</v>
      </c>
      <c r="C591" s="10" t="s">
        <v>70</v>
      </c>
      <c r="D591" t="str" cm="1">
        <f t="array" ref="D591">INDEX($H$2:$H$35, MATCH(1, (A591 &gt;= $F$2:$F$35) * (A591 &lt;= $G$2:$G$35), 0))</f>
        <v>08-03-2025 to 14-03-2025</v>
      </c>
      <c r="E591" t="str">
        <f>IF(COUNTIF('Top5'!I:I, D591) &gt; 0, "Yes", "No")</f>
        <v>Yes</v>
      </c>
    </row>
    <row r="592" spans="1:5">
      <c r="A592" s="1">
        <v>45724</v>
      </c>
      <c r="B592" s="6">
        <v>0.89027777777777772</v>
      </c>
      <c r="C592" s="10" t="s">
        <v>70</v>
      </c>
      <c r="D592" t="str" cm="1">
        <f t="array" ref="D592">INDEX($H$2:$H$35, MATCH(1, (A592 &gt;= $F$2:$F$35) * (A592 &lt;= $G$2:$G$35), 0))</f>
        <v>08-03-2025 to 14-03-2025</v>
      </c>
      <c r="E592" t="str">
        <f>IF(COUNTIF('Top5'!I:I, D592) &gt; 0, "Yes", "No")</f>
        <v>Yes</v>
      </c>
    </row>
    <row r="593" spans="1:5">
      <c r="A593" s="1">
        <v>45724</v>
      </c>
      <c r="B593" s="6">
        <v>0.9291666666666667</v>
      </c>
      <c r="C593" s="10" t="s">
        <v>70</v>
      </c>
      <c r="D593" t="str" cm="1">
        <f t="array" ref="D593">INDEX($H$2:$H$35, MATCH(1, (A593 &gt;= $F$2:$F$35) * (A593 &lt;= $G$2:$G$35), 0))</f>
        <v>08-03-2025 to 14-03-2025</v>
      </c>
      <c r="E593" t="str">
        <f>IF(COUNTIF('Top5'!I:I, D593) &gt; 0, "Yes", "No")</f>
        <v>Yes</v>
      </c>
    </row>
    <row r="594" spans="1:5">
      <c r="A594" s="1">
        <v>45725</v>
      </c>
      <c r="B594" s="6">
        <v>6.9444444444444447E-4</v>
      </c>
      <c r="C594" s="10" t="s">
        <v>70</v>
      </c>
      <c r="D594" t="str" cm="1">
        <f t="array" ref="D594">INDEX($H$2:$H$35, MATCH(1, (A594 &gt;= $F$2:$F$35) * (A594 &lt;= $G$2:$G$35), 0))</f>
        <v>08-03-2025 to 14-03-2025</v>
      </c>
      <c r="E594" t="str">
        <f>IF(COUNTIF('Top5'!I:I, D594) &gt; 0, "Yes", "No")</f>
        <v>Yes</v>
      </c>
    </row>
    <row r="595" spans="1:5">
      <c r="A595" s="1">
        <v>45725</v>
      </c>
      <c r="B595" s="6">
        <v>6.9444444444444447E-4</v>
      </c>
      <c r="C595" s="10" t="s">
        <v>70</v>
      </c>
      <c r="D595" t="str" cm="1">
        <f t="array" ref="D595">INDEX($H$2:$H$35, MATCH(1, (A595 &gt;= $F$2:$F$35) * (A595 &lt;= $G$2:$G$35), 0))</f>
        <v>08-03-2025 to 14-03-2025</v>
      </c>
      <c r="E595" t="str">
        <f>IF(COUNTIF('Top5'!I:I, D595) &gt; 0, "Yes", "No")</f>
        <v>Yes</v>
      </c>
    </row>
    <row r="596" spans="1:5">
      <c r="A596" s="1">
        <v>45725</v>
      </c>
      <c r="B596" s="6">
        <v>1.3888888888888889E-3</v>
      </c>
      <c r="C596" s="10" t="s">
        <v>70</v>
      </c>
      <c r="D596" t="str" cm="1">
        <f t="array" ref="D596">INDEX($H$2:$H$35, MATCH(1, (A596 &gt;= $F$2:$F$35) * (A596 &lt;= $G$2:$G$35), 0))</f>
        <v>08-03-2025 to 14-03-2025</v>
      </c>
      <c r="E596" t="str">
        <f>IF(COUNTIF('Top5'!I:I, D596) &gt; 0, "Yes", "No")</f>
        <v>Yes</v>
      </c>
    </row>
    <row r="597" spans="1:5">
      <c r="A597" s="1">
        <v>45725</v>
      </c>
      <c r="B597" s="6">
        <v>3.472222222222222E-3</v>
      </c>
      <c r="C597" s="10" t="s">
        <v>70</v>
      </c>
      <c r="D597" t="str" cm="1">
        <f t="array" ref="D597">INDEX($H$2:$H$35, MATCH(1, (A597 &gt;= $F$2:$F$35) * (A597 &lt;= $G$2:$G$35), 0))</f>
        <v>08-03-2025 to 14-03-2025</v>
      </c>
      <c r="E597" t="str">
        <f>IF(COUNTIF('Top5'!I:I, D597) &gt; 0, "Yes", "No")</f>
        <v>Yes</v>
      </c>
    </row>
    <row r="598" spans="1:5">
      <c r="A598" s="1">
        <v>45725</v>
      </c>
      <c r="B598" s="6">
        <v>4.1666666666666666E-3</v>
      </c>
      <c r="C598" s="10" t="s">
        <v>70</v>
      </c>
      <c r="D598" t="str" cm="1">
        <f t="array" ref="D598">INDEX($H$2:$H$35, MATCH(1, (A598 &gt;= $F$2:$F$35) * (A598 &lt;= $G$2:$G$35), 0))</f>
        <v>08-03-2025 to 14-03-2025</v>
      </c>
      <c r="E598" t="str">
        <f>IF(COUNTIF('Top5'!I:I, D598) &gt; 0, "Yes", "No")</f>
        <v>Yes</v>
      </c>
    </row>
    <row r="599" spans="1:5">
      <c r="A599" s="1">
        <v>45725</v>
      </c>
      <c r="B599" s="6">
        <v>4.8611111111111112E-3</v>
      </c>
      <c r="C599" s="10" t="s">
        <v>70</v>
      </c>
      <c r="D599" t="str" cm="1">
        <f t="array" ref="D599">INDEX($H$2:$H$35, MATCH(1, (A599 &gt;= $F$2:$F$35) * (A599 &lt;= $G$2:$G$35), 0))</f>
        <v>08-03-2025 to 14-03-2025</v>
      </c>
      <c r="E599" t="str">
        <f>IF(COUNTIF('Top5'!I:I, D599) &gt; 0, "Yes", "No")</f>
        <v>Yes</v>
      </c>
    </row>
    <row r="600" spans="1:5">
      <c r="A600" s="1">
        <v>45725</v>
      </c>
      <c r="B600" s="6">
        <v>7.6388888888888886E-3</v>
      </c>
      <c r="C600" s="10" t="s">
        <v>70</v>
      </c>
      <c r="D600" t="str" cm="1">
        <f t="array" ref="D600">INDEX($H$2:$H$35, MATCH(1, (A600 &gt;= $F$2:$F$35) * (A600 &lt;= $G$2:$G$35), 0))</f>
        <v>08-03-2025 to 14-03-2025</v>
      </c>
      <c r="E600" t="str">
        <f>IF(COUNTIF('Top5'!I:I, D600) &gt; 0, "Yes", "No")</f>
        <v>Yes</v>
      </c>
    </row>
    <row r="601" spans="1:5">
      <c r="A601" s="1">
        <v>45725</v>
      </c>
      <c r="B601" s="6">
        <v>0.46944444444444444</v>
      </c>
      <c r="C601" s="10" t="s">
        <v>22</v>
      </c>
      <c r="D601" t="str" cm="1">
        <f t="array" ref="D601">INDEX($H$2:$H$35, MATCH(1, (A601 &gt;= $F$2:$F$35) * (A601 &lt;= $G$2:$G$35), 0))</f>
        <v>08-03-2025 to 14-03-2025</v>
      </c>
      <c r="E601" t="str">
        <f>IF(COUNTIF('Top5'!I:I, D601) &gt; 0, "Yes", "No")</f>
        <v>Yes</v>
      </c>
    </row>
    <row r="602" spans="1:5">
      <c r="A602" s="1">
        <v>45725</v>
      </c>
      <c r="B602" s="6">
        <v>0.47152777777777777</v>
      </c>
      <c r="C602" s="10" t="s">
        <v>22</v>
      </c>
      <c r="D602" t="str" cm="1">
        <f t="array" ref="D602">INDEX($H$2:$H$35, MATCH(1, (A602 &gt;= $F$2:$F$35) * (A602 &lt;= $G$2:$G$35), 0))</f>
        <v>08-03-2025 to 14-03-2025</v>
      </c>
      <c r="E602" t="str">
        <f>IF(COUNTIF('Top5'!I:I, D602) &gt; 0, "Yes", "No")</f>
        <v>Yes</v>
      </c>
    </row>
    <row r="603" spans="1:5">
      <c r="A603" s="1">
        <v>45725</v>
      </c>
      <c r="B603" s="6">
        <v>0.4909722222222222</v>
      </c>
      <c r="C603" s="10" t="s">
        <v>22</v>
      </c>
      <c r="D603" t="str" cm="1">
        <f t="array" ref="D603">INDEX($H$2:$H$35, MATCH(1, (A603 &gt;= $F$2:$F$35) * (A603 &lt;= $G$2:$G$35), 0))</f>
        <v>08-03-2025 to 14-03-2025</v>
      </c>
      <c r="E603" t="str">
        <f>IF(COUNTIF('Top5'!I:I, D603) &gt; 0, "Yes", "No")</f>
        <v>Yes</v>
      </c>
    </row>
    <row r="604" spans="1:5">
      <c r="A604" s="1">
        <v>45725</v>
      </c>
      <c r="B604" s="6">
        <v>0.5</v>
      </c>
      <c r="C604" s="10" t="s">
        <v>71</v>
      </c>
      <c r="D604" t="str" cm="1">
        <f t="array" ref="D604">INDEX($H$2:$H$35, MATCH(1, (A604 &gt;= $F$2:$F$35) * (A604 &lt;= $G$2:$G$35), 0))</f>
        <v>08-03-2025 to 14-03-2025</v>
      </c>
      <c r="E604" t="str">
        <f>IF(COUNTIF('Top5'!I:I, D604) &gt; 0, "Yes", "No")</f>
        <v>Yes</v>
      </c>
    </row>
    <row r="605" spans="1:5">
      <c r="A605" s="1">
        <v>45725</v>
      </c>
      <c r="B605" s="6">
        <v>0.72777777777777775</v>
      </c>
      <c r="C605" s="10" t="s">
        <v>70</v>
      </c>
      <c r="D605" t="str" cm="1">
        <f t="array" ref="D605">INDEX($H$2:$H$35, MATCH(1, (A605 &gt;= $F$2:$F$35) * (A605 &lt;= $G$2:$G$35), 0))</f>
        <v>08-03-2025 to 14-03-2025</v>
      </c>
      <c r="E605" t="str">
        <f>IF(COUNTIF('Top5'!I:I, D605) &gt; 0, "Yes", "No")</f>
        <v>Yes</v>
      </c>
    </row>
    <row r="606" spans="1:5">
      <c r="A606" s="1">
        <v>45725</v>
      </c>
      <c r="B606" s="6">
        <v>0.89097222222222228</v>
      </c>
      <c r="C606" s="10" t="s">
        <v>70</v>
      </c>
      <c r="D606" t="str" cm="1">
        <f t="array" ref="D606">INDEX($H$2:$H$35, MATCH(1, (A606 &gt;= $F$2:$F$35) * (A606 &lt;= $G$2:$G$35), 0))</f>
        <v>08-03-2025 to 14-03-2025</v>
      </c>
      <c r="E606" t="str">
        <f>IF(COUNTIF('Top5'!I:I, D606) &gt; 0, "Yes", "No")</f>
        <v>Yes</v>
      </c>
    </row>
    <row r="607" spans="1:5">
      <c r="A607" s="1">
        <v>45726</v>
      </c>
      <c r="B607" s="6">
        <v>0.39374999999999999</v>
      </c>
      <c r="C607" s="10" t="s">
        <v>22</v>
      </c>
      <c r="D607" t="str" cm="1">
        <f t="array" ref="D607">INDEX($H$2:$H$35, MATCH(1, (A607 &gt;= $F$2:$F$35) * (A607 &lt;= $G$2:$G$35), 0))</f>
        <v>08-03-2025 to 14-03-2025</v>
      </c>
      <c r="E607" t="str">
        <f>IF(COUNTIF('Top5'!I:I, D607) &gt; 0, "Yes", "No")</f>
        <v>Yes</v>
      </c>
    </row>
    <row r="608" spans="1:5">
      <c r="A608" s="1">
        <v>45726</v>
      </c>
      <c r="B608" s="6">
        <v>0.42708333333333331</v>
      </c>
      <c r="C608" s="10" t="s">
        <v>22</v>
      </c>
      <c r="D608" t="str" cm="1">
        <f t="array" ref="D608">INDEX($H$2:$H$35, MATCH(1, (A608 &gt;= $F$2:$F$35) * (A608 &lt;= $G$2:$G$35), 0))</f>
        <v>08-03-2025 to 14-03-2025</v>
      </c>
      <c r="E608" t="str">
        <f>IF(COUNTIF('Top5'!I:I, D608) &gt; 0, "Yes", "No")</f>
        <v>Yes</v>
      </c>
    </row>
    <row r="609" spans="1:5">
      <c r="A609" s="1">
        <v>45726</v>
      </c>
      <c r="B609" s="6">
        <v>0.43680555555555556</v>
      </c>
      <c r="C609" s="10" t="s">
        <v>22</v>
      </c>
      <c r="D609" t="str" cm="1">
        <f t="array" ref="D609">INDEX($H$2:$H$35, MATCH(1, (A609 &gt;= $F$2:$F$35) * (A609 &lt;= $G$2:$G$35), 0))</f>
        <v>08-03-2025 to 14-03-2025</v>
      </c>
      <c r="E609" t="str">
        <f>IF(COUNTIF('Top5'!I:I, D609) &gt; 0, "Yes", "No")</f>
        <v>Yes</v>
      </c>
    </row>
    <row r="610" spans="1:5">
      <c r="A610" s="1">
        <v>45726</v>
      </c>
      <c r="B610" s="6">
        <v>0.71180555555555558</v>
      </c>
      <c r="C610" s="10" t="s">
        <v>70</v>
      </c>
      <c r="D610" t="str" cm="1">
        <f t="array" ref="D610">INDEX($H$2:$H$35, MATCH(1, (A610 &gt;= $F$2:$F$35) * (A610 &lt;= $G$2:$G$35), 0))</f>
        <v>08-03-2025 to 14-03-2025</v>
      </c>
      <c r="E610" t="str">
        <f>IF(COUNTIF('Top5'!I:I, D610) &gt; 0, "Yes", "No")</f>
        <v>Yes</v>
      </c>
    </row>
    <row r="611" spans="1:5">
      <c r="A611" s="1">
        <v>45726</v>
      </c>
      <c r="B611" s="6">
        <v>0.71805555555555556</v>
      </c>
      <c r="C611" s="10" t="s">
        <v>70</v>
      </c>
      <c r="D611" t="str" cm="1">
        <f t="array" ref="D611">INDEX($H$2:$H$35, MATCH(1, (A611 &gt;= $F$2:$F$35) * (A611 &lt;= $G$2:$G$35), 0))</f>
        <v>08-03-2025 to 14-03-2025</v>
      </c>
      <c r="E611" t="str">
        <f>IF(COUNTIF('Top5'!I:I, D611) &gt; 0, "Yes", "No")</f>
        <v>Yes</v>
      </c>
    </row>
    <row r="612" spans="1:5">
      <c r="A612" s="1">
        <v>45726</v>
      </c>
      <c r="B612" s="6">
        <v>0.77638888888888891</v>
      </c>
      <c r="C612" s="10" t="s">
        <v>70</v>
      </c>
      <c r="D612" t="str" cm="1">
        <f t="array" ref="D612">INDEX($H$2:$H$35, MATCH(1, (A612 &gt;= $F$2:$F$35) * (A612 &lt;= $G$2:$G$35), 0))</f>
        <v>08-03-2025 to 14-03-2025</v>
      </c>
      <c r="E612" t="str">
        <f>IF(COUNTIF('Top5'!I:I, D612) &gt; 0, "Yes", "No")</f>
        <v>Yes</v>
      </c>
    </row>
    <row r="613" spans="1:5">
      <c r="A613" s="1">
        <v>45726</v>
      </c>
      <c r="B613" s="6">
        <v>0.96180555555555558</v>
      </c>
      <c r="C613" s="10" t="s">
        <v>70</v>
      </c>
      <c r="D613" t="str" cm="1">
        <f t="array" ref="D613">INDEX($H$2:$H$35, MATCH(1, (A613 &gt;= $F$2:$F$35) * (A613 &lt;= $G$2:$G$35), 0))</f>
        <v>08-03-2025 to 14-03-2025</v>
      </c>
      <c r="E613" t="str">
        <f>IF(COUNTIF('Top5'!I:I, D613) &gt; 0, "Yes", "No")</f>
        <v>Yes</v>
      </c>
    </row>
    <row r="614" spans="1:5">
      <c r="A614" s="1">
        <v>45726</v>
      </c>
      <c r="B614" s="6">
        <v>0.97777777777777775</v>
      </c>
      <c r="C614" s="10" t="s">
        <v>70</v>
      </c>
      <c r="D614" t="str" cm="1">
        <f t="array" ref="D614">INDEX($H$2:$H$35, MATCH(1, (A614 &gt;= $F$2:$F$35) * (A614 &lt;= $G$2:$G$35), 0))</f>
        <v>08-03-2025 to 14-03-2025</v>
      </c>
      <c r="E614" t="str">
        <f>IF(COUNTIF('Top5'!I:I, D614) &gt; 0, "Yes", "No")</f>
        <v>Yes</v>
      </c>
    </row>
    <row r="615" spans="1:5">
      <c r="A615" s="1">
        <v>45727</v>
      </c>
      <c r="B615" s="6">
        <v>4.1666666666666666E-3</v>
      </c>
      <c r="C615" s="10" t="s">
        <v>70</v>
      </c>
      <c r="D615" t="str" cm="1">
        <f t="array" ref="D615">INDEX($H$2:$H$35, MATCH(1, (A615 &gt;= $F$2:$F$35) * (A615 &lt;= $G$2:$G$35), 0))</f>
        <v>08-03-2025 to 14-03-2025</v>
      </c>
      <c r="E615" t="str">
        <f>IF(COUNTIF('Top5'!I:I, D615) &gt; 0, "Yes", "No")</f>
        <v>Yes</v>
      </c>
    </row>
    <row r="616" spans="1:5">
      <c r="A616" s="1">
        <v>45727</v>
      </c>
      <c r="B616" s="6">
        <v>0.49305555555555558</v>
      </c>
      <c r="C616" s="10" t="s">
        <v>22</v>
      </c>
      <c r="D616" t="str" cm="1">
        <f t="array" ref="D616">INDEX($H$2:$H$35, MATCH(1, (A616 &gt;= $F$2:$F$35) * (A616 &lt;= $G$2:$G$35), 0))</f>
        <v>08-03-2025 to 14-03-2025</v>
      </c>
      <c r="E616" t="str">
        <f>IF(COUNTIF('Top5'!I:I, D616) &gt; 0, "Yes", "No")</f>
        <v>Yes</v>
      </c>
    </row>
    <row r="617" spans="1:5">
      <c r="A617" s="1">
        <v>45727</v>
      </c>
      <c r="B617" s="6">
        <v>0.53055555555555556</v>
      </c>
      <c r="C617" s="10" t="s">
        <v>71</v>
      </c>
      <c r="D617" t="str" cm="1">
        <f t="array" ref="D617">INDEX($H$2:$H$35, MATCH(1, (A617 &gt;= $F$2:$F$35) * (A617 &lt;= $G$2:$G$35), 0))</f>
        <v>08-03-2025 to 14-03-2025</v>
      </c>
      <c r="E617" t="str">
        <f>IF(COUNTIF('Top5'!I:I, D617) &gt; 0, "Yes", "No")</f>
        <v>Yes</v>
      </c>
    </row>
    <row r="618" spans="1:5">
      <c r="A618" s="1">
        <v>45727</v>
      </c>
      <c r="B618" s="6">
        <v>0.5395833333333333</v>
      </c>
      <c r="C618" s="10" t="s">
        <v>71</v>
      </c>
      <c r="D618" t="str" cm="1">
        <f t="array" ref="D618">INDEX($H$2:$H$35, MATCH(1, (A618 &gt;= $F$2:$F$35) * (A618 &lt;= $G$2:$G$35), 0))</f>
        <v>08-03-2025 to 14-03-2025</v>
      </c>
      <c r="E618" t="str">
        <f>IF(COUNTIF('Top5'!I:I, D618) &gt; 0, "Yes", "No")</f>
        <v>Yes</v>
      </c>
    </row>
    <row r="619" spans="1:5">
      <c r="A619" s="1">
        <v>45727</v>
      </c>
      <c r="B619" s="6">
        <v>0.9916666666666667</v>
      </c>
      <c r="C619" s="10" t="s">
        <v>70</v>
      </c>
      <c r="D619" t="str" cm="1">
        <f t="array" ref="D619">INDEX($H$2:$H$35, MATCH(1, (A619 &gt;= $F$2:$F$35) * (A619 &lt;= $G$2:$G$35), 0))</f>
        <v>08-03-2025 to 14-03-2025</v>
      </c>
      <c r="E619" t="str">
        <f>IF(COUNTIF('Top5'!I:I, D619) &gt; 0, "Yes", "No")</f>
        <v>Yes</v>
      </c>
    </row>
    <row r="620" spans="1:5">
      <c r="A620" s="1">
        <v>45728</v>
      </c>
      <c r="B620" s="6">
        <v>6.2500000000000003E-3</v>
      </c>
      <c r="C620" s="10" t="s">
        <v>70</v>
      </c>
      <c r="D620" t="str" cm="1">
        <f t="array" ref="D620">INDEX($H$2:$H$35, MATCH(1, (A620 &gt;= $F$2:$F$35) * (A620 &lt;= $G$2:$G$35), 0))</f>
        <v>08-03-2025 to 14-03-2025</v>
      </c>
      <c r="E620" t="str">
        <f>IF(COUNTIF('Top5'!I:I, D620) &gt; 0, "Yes", "No")</f>
        <v>Yes</v>
      </c>
    </row>
    <row r="621" spans="1:5">
      <c r="A621" s="1">
        <v>45728</v>
      </c>
      <c r="B621" s="6">
        <v>0.38333333333333336</v>
      </c>
      <c r="C621" s="10" t="s">
        <v>22</v>
      </c>
      <c r="D621" t="str" cm="1">
        <f t="array" ref="D621">INDEX($H$2:$H$35, MATCH(1, (A621 &gt;= $F$2:$F$35) * (A621 &lt;= $G$2:$G$35), 0))</f>
        <v>08-03-2025 to 14-03-2025</v>
      </c>
      <c r="E621" t="str">
        <f>IF(COUNTIF('Top5'!I:I, D621) &gt; 0, "Yes", "No")</f>
        <v>Yes</v>
      </c>
    </row>
    <row r="622" spans="1:5">
      <c r="A622" s="1">
        <v>45728</v>
      </c>
      <c r="B622" s="6">
        <v>0.39930555555555558</v>
      </c>
      <c r="C622" s="10" t="s">
        <v>22</v>
      </c>
      <c r="D622" t="str" cm="1">
        <f t="array" ref="D622">INDEX($H$2:$H$35, MATCH(1, (A622 &gt;= $F$2:$F$35) * (A622 &lt;= $G$2:$G$35), 0))</f>
        <v>08-03-2025 to 14-03-2025</v>
      </c>
      <c r="E622" t="str">
        <f>IF(COUNTIF('Top5'!I:I, D622) &gt; 0, "Yes", "No")</f>
        <v>Yes</v>
      </c>
    </row>
    <row r="623" spans="1:5">
      <c r="A623" s="1">
        <v>45728</v>
      </c>
      <c r="B623" s="6">
        <v>0.4</v>
      </c>
      <c r="C623" s="10" t="s">
        <v>22</v>
      </c>
      <c r="D623" t="str" cm="1">
        <f t="array" ref="D623">INDEX($H$2:$H$35, MATCH(1, (A623 &gt;= $F$2:$F$35) * (A623 &lt;= $G$2:$G$35), 0))</f>
        <v>08-03-2025 to 14-03-2025</v>
      </c>
      <c r="E623" t="str">
        <f>IF(COUNTIF('Top5'!I:I, D623) &gt; 0, "Yes", "No")</f>
        <v>Yes</v>
      </c>
    </row>
    <row r="624" spans="1:5">
      <c r="A624" s="1">
        <v>45728</v>
      </c>
      <c r="B624" s="6">
        <v>0.40416666666666667</v>
      </c>
      <c r="C624" s="10" t="s">
        <v>22</v>
      </c>
      <c r="D624" t="str" cm="1">
        <f t="array" ref="D624">INDEX($H$2:$H$35, MATCH(1, (A624 &gt;= $F$2:$F$35) * (A624 &lt;= $G$2:$G$35), 0))</f>
        <v>08-03-2025 to 14-03-2025</v>
      </c>
      <c r="E624" t="str">
        <f>IF(COUNTIF('Top5'!I:I, D624) &gt; 0, "Yes", "No")</f>
        <v>Yes</v>
      </c>
    </row>
    <row r="625" spans="1:5">
      <c r="A625" s="1">
        <v>45729</v>
      </c>
      <c r="B625" s="6">
        <v>0.45</v>
      </c>
      <c r="C625" s="10" t="s">
        <v>22</v>
      </c>
      <c r="D625" t="str" cm="1">
        <f t="array" ref="D625">INDEX($H$2:$H$35, MATCH(1, (A625 &gt;= $F$2:$F$35) * (A625 &lt;= $G$2:$G$35), 0))</f>
        <v>08-03-2025 to 14-03-2025</v>
      </c>
      <c r="E625" t="str">
        <f>IF(COUNTIF('Top5'!I:I, D625) &gt; 0, "Yes", "No")</f>
        <v>Yes</v>
      </c>
    </row>
    <row r="626" spans="1:5">
      <c r="A626" s="1">
        <v>45729</v>
      </c>
      <c r="B626" s="6">
        <v>0.45833333333333331</v>
      </c>
      <c r="C626" s="10" t="s">
        <v>22</v>
      </c>
      <c r="D626" t="str" cm="1">
        <f t="array" ref="D626">INDEX($H$2:$H$35, MATCH(1, (A626 &gt;= $F$2:$F$35) * (A626 &lt;= $G$2:$G$35), 0))</f>
        <v>08-03-2025 to 14-03-2025</v>
      </c>
      <c r="E626" t="str">
        <f>IF(COUNTIF('Top5'!I:I, D626) &gt; 0, "Yes", "No")</f>
        <v>Yes</v>
      </c>
    </row>
    <row r="627" spans="1:5">
      <c r="A627" s="1">
        <v>45729</v>
      </c>
      <c r="B627" s="6">
        <v>0.47291666666666665</v>
      </c>
      <c r="C627" s="10" t="s">
        <v>22</v>
      </c>
      <c r="D627" t="str" cm="1">
        <f t="array" ref="D627">INDEX($H$2:$H$35, MATCH(1, (A627 &gt;= $F$2:$F$35) * (A627 &lt;= $G$2:$G$35), 0))</f>
        <v>08-03-2025 to 14-03-2025</v>
      </c>
      <c r="E627" t="str">
        <f>IF(COUNTIF('Top5'!I:I, D627) &gt; 0, "Yes", "No")</f>
        <v>Yes</v>
      </c>
    </row>
    <row r="628" spans="1:5">
      <c r="A628" s="1">
        <v>45729</v>
      </c>
      <c r="B628" s="6">
        <v>0.47499999999999998</v>
      </c>
      <c r="C628" s="10" t="s">
        <v>22</v>
      </c>
      <c r="D628" t="str" cm="1">
        <f t="array" ref="D628">INDEX($H$2:$H$35, MATCH(1, (A628 &gt;= $F$2:$F$35) * (A628 &lt;= $G$2:$G$35), 0))</f>
        <v>08-03-2025 to 14-03-2025</v>
      </c>
      <c r="E628" t="str">
        <f>IF(COUNTIF('Top5'!I:I, D628) &gt; 0, "Yes", "No")</f>
        <v>Yes</v>
      </c>
    </row>
    <row r="629" spans="1:5">
      <c r="A629" s="1">
        <v>45729</v>
      </c>
      <c r="B629" s="6">
        <v>0.47569444444444442</v>
      </c>
      <c r="C629" s="10" t="s">
        <v>22</v>
      </c>
      <c r="D629" t="str" cm="1">
        <f t="array" ref="D629">INDEX($H$2:$H$35, MATCH(1, (A629 &gt;= $F$2:$F$35) * (A629 &lt;= $G$2:$G$35), 0))</f>
        <v>08-03-2025 to 14-03-2025</v>
      </c>
      <c r="E629" t="str">
        <f>IF(COUNTIF('Top5'!I:I, D629) &gt; 0, "Yes", "No")</f>
        <v>Yes</v>
      </c>
    </row>
    <row r="630" spans="1:5">
      <c r="A630" s="1">
        <v>45729</v>
      </c>
      <c r="B630" s="6">
        <v>0.47569444444444442</v>
      </c>
      <c r="C630" s="10" t="s">
        <v>22</v>
      </c>
      <c r="D630" t="str" cm="1">
        <f t="array" ref="D630">INDEX($H$2:$H$35, MATCH(1, (A630 &gt;= $F$2:$F$35) * (A630 &lt;= $G$2:$G$35), 0))</f>
        <v>08-03-2025 to 14-03-2025</v>
      </c>
      <c r="E630" t="str">
        <f>IF(COUNTIF('Top5'!I:I, D630) &gt; 0, "Yes", "No")</f>
        <v>Yes</v>
      </c>
    </row>
    <row r="631" spans="1:5">
      <c r="A631" s="1">
        <v>45729</v>
      </c>
      <c r="B631" s="6">
        <v>0.47708333333333336</v>
      </c>
      <c r="C631" s="10" t="s">
        <v>22</v>
      </c>
      <c r="D631" t="str" cm="1">
        <f t="array" ref="D631">INDEX($H$2:$H$35, MATCH(1, (A631 &gt;= $F$2:$F$35) * (A631 &lt;= $G$2:$G$35), 0))</f>
        <v>08-03-2025 to 14-03-2025</v>
      </c>
      <c r="E631" t="str">
        <f>IF(COUNTIF('Top5'!I:I, D631) &gt; 0, "Yes", "No")</f>
        <v>Yes</v>
      </c>
    </row>
    <row r="632" spans="1:5">
      <c r="A632" s="1">
        <v>45729</v>
      </c>
      <c r="B632" s="6">
        <v>0.60486111111111107</v>
      </c>
      <c r="C632" s="10" t="s">
        <v>71</v>
      </c>
      <c r="D632" t="str" cm="1">
        <f t="array" ref="D632">INDEX($H$2:$H$35, MATCH(1, (A632 &gt;= $F$2:$F$35) * (A632 &lt;= $G$2:$G$35), 0))</f>
        <v>08-03-2025 to 14-03-2025</v>
      </c>
      <c r="E632" t="str">
        <f>IF(COUNTIF('Top5'!I:I, D632) &gt; 0, "Yes", "No")</f>
        <v>Yes</v>
      </c>
    </row>
    <row r="633" spans="1:5">
      <c r="A633" s="1">
        <v>45729</v>
      </c>
      <c r="B633" s="6">
        <v>0.69305555555555554</v>
      </c>
      <c r="C633" s="10" t="s">
        <v>71</v>
      </c>
      <c r="D633" t="str" cm="1">
        <f t="array" ref="D633">INDEX($H$2:$H$35, MATCH(1, (A633 &gt;= $F$2:$F$35) * (A633 &lt;= $G$2:$G$35), 0))</f>
        <v>08-03-2025 to 14-03-2025</v>
      </c>
      <c r="E633" t="str">
        <f>IF(COUNTIF('Top5'!I:I, D633) &gt; 0, "Yes", "No")</f>
        <v>Yes</v>
      </c>
    </row>
    <row r="634" spans="1:5">
      <c r="A634" s="1">
        <v>45730</v>
      </c>
      <c r="B634" s="6">
        <v>3.472222222222222E-3</v>
      </c>
      <c r="C634" s="10" t="s">
        <v>70</v>
      </c>
      <c r="D634" t="str" cm="1">
        <f t="array" ref="D634">INDEX($H$2:$H$35, MATCH(1, (A634 &gt;= $F$2:$F$35) * (A634 &lt;= $G$2:$G$35), 0))</f>
        <v>08-03-2025 to 14-03-2025</v>
      </c>
      <c r="E634" t="str">
        <f>IF(COUNTIF('Top5'!I:I, D634) &gt; 0, "Yes", "No")</f>
        <v>Yes</v>
      </c>
    </row>
    <row r="635" spans="1:5">
      <c r="A635" s="1">
        <v>45730</v>
      </c>
      <c r="B635" s="6">
        <v>0.75486111111111109</v>
      </c>
      <c r="C635" s="10" t="s">
        <v>70</v>
      </c>
      <c r="D635" t="str" cm="1">
        <f t="array" ref="D635">INDEX($H$2:$H$35, MATCH(1, (A635 &gt;= $F$2:$F$35) * (A635 &lt;= $G$2:$G$35), 0))</f>
        <v>08-03-2025 to 14-03-2025</v>
      </c>
      <c r="E635" t="str">
        <f>IF(COUNTIF('Top5'!I:I, D635) &gt; 0, "Yes", "No")</f>
        <v>Yes</v>
      </c>
    </row>
    <row r="636" spans="1:5">
      <c r="A636" s="1">
        <v>45730</v>
      </c>
      <c r="B636" s="6">
        <v>0.93055555555555558</v>
      </c>
      <c r="C636" s="10" t="s">
        <v>70</v>
      </c>
      <c r="D636" t="str" cm="1">
        <f t="array" ref="D636">INDEX($H$2:$H$35, MATCH(1, (A636 &gt;= $F$2:$F$35) * (A636 &lt;= $G$2:$G$35), 0))</f>
        <v>08-03-2025 to 14-03-2025</v>
      </c>
      <c r="E636" t="str">
        <f>IF(COUNTIF('Top5'!I:I, D636) &gt; 0, "Yes", "No")</f>
        <v>Yes</v>
      </c>
    </row>
    <row r="637" spans="1:5">
      <c r="A637" s="1">
        <v>45730</v>
      </c>
      <c r="B637" s="6">
        <v>0.94652777777777775</v>
      </c>
      <c r="C637" s="10" t="s">
        <v>70</v>
      </c>
      <c r="D637" t="str" cm="1">
        <f t="array" ref="D637">INDEX($H$2:$H$35, MATCH(1, (A637 &gt;= $F$2:$F$35) * (A637 &lt;= $G$2:$G$35), 0))</f>
        <v>08-03-2025 to 14-03-2025</v>
      </c>
      <c r="E637" t="str">
        <f>IF(COUNTIF('Top5'!I:I, D637) &gt; 0, "Yes", "No")</f>
        <v>Yes</v>
      </c>
    </row>
    <row r="638" spans="1:5">
      <c r="A638" s="1">
        <v>45731</v>
      </c>
      <c r="B638" s="6">
        <v>0.42222222222222222</v>
      </c>
      <c r="C638" s="10" t="s">
        <v>22</v>
      </c>
      <c r="D638" t="str" cm="1">
        <f t="array" ref="D638">INDEX($H$2:$H$35, MATCH(1, (A638 &gt;= $F$2:$F$35) * (A638 &lt;= $G$2:$G$35), 0))</f>
        <v>15-03-2025 to 21-03-2025</v>
      </c>
      <c r="E638" t="str">
        <f>IF(COUNTIF('Top5'!I:I, D638) &gt; 0, "Yes", "No")</f>
        <v>Yes</v>
      </c>
    </row>
    <row r="639" spans="1:5">
      <c r="A639" s="1">
        <v>45731</v>
      </c>
      <c r="B639" s="6">
        <v>0.42430555555555555</v>
      </c>
      <c r="C639" s="10" t="s">
        <v>22</v>
      </c>
      <c r="D639" t="str" cm="1">
        <f t="array" ref="D639">INDEX($H$2:$H$35, MATCH(1, (A639 &gt;= $F$2:$F$35) * (A639 &lt;= $G$2:$G$35), 0))</f>
        <v>15-03-2025 to 21-03-2025</v>
      </c>
      <c r="E639" t="str">
        <f>IF(COUNTIF('Top5'!I:I, D639) &gt; 0, "Yes", "No")</f>
        <v>Yes</v>
      </c>
    </row>
    <row r="640" spans="1:5">
      <c r="A640" s="1">
        <v>45731</v>
      </c>
      <c r="B640" s="6">
        <v>0.42569444444444443</v>
      </c>
      <c r="C640" s="10" t="s">
        <v>22</v>
      </c>
      <c r="D640" t="str" cm="1">
        <f t="array" ref="D640">INDEX($H$2:$H$35, MATCH(1, (A640 &gt;= $F$2:$F$35) * (A640 &lt;= $G$2:$G$35), 0))</f>
        <v>15-03-2025 to 21-03-2025</v>
      </c>
      <c r="E640" t="str">
        <f>IF(COUNTIF('Top5'!I:I, D640) &gt; 0, "Yes", "No")</f>
        <v>Yes</v>
      </c>
    </row>
    <row r="641" spans="1:5">
      <c r="A641" s="1">
        <v>45731</v>
      </c>
      <c r="B641" s="6">
        <v>0.43055555555555558</v>
      </c>
      <c r="C641" s="10" t="s">
        <v>22</v>
      </c>
      <c r="D641" t="str" cm="1">
        <f t="array" ref="D641">INDEX($H$2:$H$35, MATCH(1, (A641 &gt;= $F$2:$F$35) * (A641 &lt;= $G$2:$G$35), 0))</f>
        <v>15-03-2025 to 21-03-2025</v>
      </c>
      <c r="E641" t="str">
        <f>IF(COUNTIF('Top5'!I:I, D641) &gt; 0, "Yes", "No")</f>
        <v>Yes</v>
      </c>
    </row>
    <row r="642" spans="1:5">
      <c r="A642" s="1">
        <v>45731</v>
      </c>
      <c r="B642" s="6">
        <v>0.43125000000000002</v>
      </c>
      <c r="C642" s="10" t="s">
        <v>22</v>
      </c>
      <c r="D642" t="str" cm="1">
        <f t="array" ref="D642">INDEX($H$2:$H$35, MATCH(1, (A642 &gt;= $F$2:$F$35) * (A642 &lt;= $G$2:$G$35), 0))</f>
        <v>15-03-2025 to 21-03-2025</v>
      </c>
      <c r="E642" t="str">
        <f>IF(COUNTIF('Top5'!I:I, D642) &gt; 0, "Yes", "No")</f>
        <v>Yes</v>
      </c>
    </row>
    <row r="643" spans="1:5">
      <c r="A643" s="1">
        <v>45731</v>
      </c>
      <c r="B643" s="6">
        <v>0.43263888888888891</v>
      </c>
      <c r="C643" s="10" t="s">
        <v>22</v>
      </c>
      <c r="D643" t="str" cm="1">
        <f t="array" ref="D643">INDEX($H$2:$H$35, MATCH(1, (A643 &gt;= $F$2:$F$35) * (A643 &lt;= $G$2:$G$35), 0))</f>
        <v>15-03-2025 to 21-03-2025</v>
      </c>
      <c r="E643" t="str">
        <f>IF(COUNTIF('Top5'!I:I, D643) &gt; 0, "Yes", "No")</f>
        <v>Yes</v>
      </c>
    </row>
    <row r="644" spans="1:5">
      <c r="A644" s="1">
        <v>45731</v>
      </c>
      <c r="B644" s="6">
        <v>0.49375000000000002</v>
      </c>
      <c r="C644" s="10" t="s">
        <v>22</v>
      </c>
      <c r="D644" t="str" cm="1">
        <f t="array" ref="D644">INDEX($H$2:$H$35, MATCH(1, (A644 &gt;= $F$2:$F$35) * (A644 &lt;= $G$2:$G$35), 0))</f>
        <v>15-03-2025 to 21-03-2025</v>
      </c>
      <c r="E644" t="str">
        <f>IF(COUNTIF('Top5'!I:I, D644) &gt; 0, "Yes", "No")</f>
        <v>Yes</v>
      </c>
    </row>
    <row r="645" spans="1:5">
      <c r="A645" s="1">
        <v>45732</v>
      </c>
      <c r="B645" s="6">
        <v>0.47569444444444442</v>
      </c>
      <c r="C645" s="10" t="s">
        <v>22</v>
      </c>
      <c r="D645" t="str" cm="1">
        <f t="array" ref="D645">INDEX($H$2:$H$35, MATCH(1, (A645 &gt;= $F$2:$F$35) * (A645 &lt;= $G$2:$G$35), 0))</f>
        <v>15-03-2025 to 21-03-2025</v>
      </c>
      <c r="E645" t="str">
        <f>IF(COUNTIF('Top5'!I:I, D645) &gt; 0, "Yes", "No")</f>
        <v>Yes</v>
      </c>
    </row>
    <row r="646" spans="1:5">
      <c r="A646" s="1">
        <v>45732</v>
      </c>
      <c r="B646" s="6">
        <v>0.47708333333333336</v>
      </c>
      <c r="C646" s="10" t="s">
        <v>22</v>
      </c>
      <c r="D646" t="str" cm="1">
        <f t="array" ref="D646">INDEX($H$2:$H$35, MATCH(1, (A646 &gt;= $F$2:$F$35) * (A646 &lt;= $G$2:$G$35), 0))</f>
        <v>15-03-2025 to 21-03-2025</v>
      </c>
      <c r="E646" t="str">
        <f>IF(COUNTIF('Top5'!I:I, D646) &gt; 0, "Yes", "No")</f>
        <v>Yes</v>
      </c>
    </row>
    <row r="647" spans="1:5">
      <c r="A647" s="1">
        <v>45732</v>
      </c>
      <c r="B647" s="6">
        <v>0.4909722222222222</v>
      </c>
      <c r="C647" s="10" t="s">
        <v>22</v>
      </c>
      <c r="D647" t="str" cm="1">
        <f t="array" ref="D647">INDEX($H$2:$H$35, MATCH(1, (A647 &gt;= $F$2:$F$35) * (A647 &lt;= $G$2:$G$35), 0))</f>
        <v>15-03-2025 to 21-03-2025</v>
      </c>
      <c r="E647" t="str">
        <f>IF(COUNTIF('Top5'!I:I, D647) &gt; 0, "Yes", "No")</f>
        <v>Yes</v>
      </c>
    </row>
    <row r="648" spans="1:5">
      <c r="A648" s="1">
        <v>45732</v>
      </c>
      <c r="B648" s="6">
        <v>0.49375000000000002</v>
      </c>
      <c r="C648" s="10" t="s">
        <v>22</v>
      </c>
      <c r="D648" t="str" cm="1">
        <f t="array" ref="D648">INDEX($H$2:$H$35, MATCH(1, (A648 &gt;= $F$2:$F$35) * (A648 &lt;= $G$2:$G$35), 0))</f>
        <v>15-03-2025 to 21-03-2025</v>
      </c>
      <c r="E648" t="str">
        <f>IF(COUNTIF('Top5'!I:I, D648) &gt; 0, "Yes", "No")</f>
        <v>Yes</v>
      </c>
    </row>
    <row r="649" spans="1:5">
      <c r="A649" s="1">
        <v>45732</v>
      </c>
      <c r="B649" s="6">
        <v>0.58819444444444446</v>
      </c>
      <c r="C649" s="10" t="s">
        <v>71</v>
      </c>
      <c r="D649" t="str" cm="1">
        <f t="array" ref="D649">INDEX($H$2:$H$35, MATCH(1, (A649 &gt;= $F$2:$F$35) * (A649 &lt;= $G$2:$G$35), 0))</f>
        <v>15-03-2025 to 21-03-2025</v>
      </c>
      <c r="E649" t="str">
        <f>IF(COUNTIF('Top5'!I:I, D649) &gt; 0, "Yes", "No")</f>
        <v>Yes</v>
      </c>
    </row>
    <row r="650" spans="1:5">
      <c r="A650" s="1">
        <v>45732</v>
      </c>
      <c r="B650" s="6">
        <v>0.95694444444444449</v>
      </c>
      <c r="C650" s="10" t="s">
        <v>70</v>
      </c>
      <c r="D650" t="str" cm="1">
        <f t="array" ref="D650">INDEX($H$2:$H$35, MATCH(1, (A650 &gt;= $F$2:$F$35) * (A650 &lt;= $G$2:$G$35), 0))</f>
        <v>15-03-2025 to 21-03-2025</v>
      </c>
      <c r="E650" t="str">
        <f>IF(COUNTIF('Top5'!I:I, D650) &gt; 0, "Yes", "No")</f>
        <v>Yes</v>
      </c>
    </row>
    <row r="651" spans="1:5">
      <c r="A651" s="1">
        <v>45732</v>
      </c>
      <c r="B651" s="6">
        <v>0.96111111111111114</v>
      </c>
      <c r="C651" s="10" t="s">
        <v>70</v>
      </c>
      <c r="D651" t="str" cm="1">
        <f t="array" ref="D651">INDEX($H$2:$H$35, MATCH(1, (A651 &gt;= $F$2:$F$35) * (A651 &lt;= $G$2:$G$35), 0))</f>
        <v>15-03-2025 to 21-03-2025</v>
      </c>
      <c r="E651" t="str">
        <f>IF(COUNTIF('Top5'!I:I, D651) &gt; 0, "Yes", "No")</f>
        <v>Yes</v>
      </c>
    </row>
    <row r="652" spans="1:5">
      <c r="A652" s="1">
        <v>45733</v>
      </c>
      <c r="B652" s="6">
        <v>0.44097222222222221</v>
      </c>
      <c r="C652" s="10" t="s">
        <v>22</v>
      </c>
      <c r="D652" t="str" cm="1">
        <f t="array" ref="D652">INDEX($H$2:$H$35, MATCH(1, (A652 &gt;= $F$2:$F$35) * (A652 &lt;= $G$2:$G$35), 0))</f>
        <v>15-03-2025 to 21-03-2025</v>
      </c>
      <c r="E652" t="str">
        <f>IF(COUNTIF('Top5'!I:I, D652) &gt; 0, "Yes", "No")</f>
        <v>Yes</v>
      </c>
    </row>
    <row r="653" spans="1:5">
      <c r="A653" s="1">
        <v>45733</v>
      </c>
      <c r="B653" s="6">
        <v>0.44236111111111109</v>
      </c>
      <c r="C653" s="10" t="s">
        <v>22</v>
      </c>
      <c r="D653" t="str" cm="1">
        <f t="array" ref="D653">INDEX($H$2:$H$35, MATCH(1, (A653 &gt;= $F$2:$F$35) * (A653 &lt;= $G$2:$G$35), 0))</f>
        <v>15-03-2025 to 21-03-2025</v>
      </c>
      <c r="E653" t="str">
        <f>IF(COUNTIF('Top5'!I:I, D653) &gt; 0, "Yes", "No")</f>
        <v>Yes</v>
      </c>
    </row>
    <row r="654" spans="1:5">
      <c r="A654" s="1">
        <v>45733</v>
      </c>
      <c r="B654" s="6">
        <v>0.51180555555555551</v>
      </c>
      <c r="C654" s="10" t="s">
        <v>71</v>
      </c>
      <c r="D654" t="str" cm="1">
        <f t="array" ref="D654">INDEX($H$2:$H$35, MATCH(1, (A654 &gt;= $F$2:$F$35) * (A654 &lt;= $G$2:$G$35), 0))</f>
        <v>15-03-2025 to 21-03-2025</v>
      </c>
      <c r="E654" t="str">
        <f>IF(COUNTIF('Top5'!I:I, D654) &gt; 0, "Yes", "No")</f>
        <v>Yes</v>
      </c>
    </row>
    <row r="655" spans="1:5">
      <c r="A655" s="1">
        <v>45733</v>
      </c>
      <c r="B655" s="6">
        <v>0.52152777777777781</v>
      </c>
      <c r="C655" s="10" t="s">
        <v>71</v>
      </c>
      <c r="D655" t="str" cm="1">
        <f t="array" ref="D655">INDEX($H$2:$H$35, MATCH(1, (A655 &gt;= $F$2:$F$35) * (A655 &lt;= $G$2:$G$35), 0))</f>
        <v>15-03-2025 to 21-03-2025</v>
      </c>
      <c r="E655" t="str">
        <f>IF(COUNTIF('Top5'!I:I, D655) &gt; 0, "Yes", "No")</f>
        <v>Yes</v>
      </c>
    </row>
    <row r="656" spans="1:5">
      <c r="A656" s="1">
        <v>45733</v>
      </c>
      <c r="B656" s="6">
        <v>0.59652777777777777</v>
      </c>
      <c r="C656" s="10" t="s">
        <v>71</v>
      </c>
      <c r="D656" t="str" cm="1">
        <f t="array" ref="D656">INDEX($H$2:$H$35, MATCH(1, (A656 &gt;= $F$2:$F$35) * (A656 &lt;= $G$2:$G$35), 0))</f>
        <v>15-03-2025 to 21-03-2025</v>
      </c>
      <c r="E656" t="str">
        <f>IF(COUNTIF('Top5'!I:I, D656) &gt; 0, "Yes", "No")</f>
        <v>Yes</v>
      </c>
    </row>
    <row r="657" spans="1:5">
      <c r="A657" s="1">
        <v>45733</v>
      </c>
      <c r="B657" s="6">
        <v>0.59791666666666665</v>
      </c>
      <c r="C657" s="10" t="s">
        <v>71</v>
      </c>
      <c r="D657" t="str" cm="1">
        <f t="array" ref="D657">INDEX($H$2:$H$35, MATCH(1, (A657 &gt;= $F$2:$F$35) * (A657 &lt;= $G$2:$G$35), 0))</f>
        <v>15-03-2025 to 21-03-2025</v>
      </c>
      <c r="E657" t="str">
        <f>IF(COUNTIF('Top5'!I:I, D657) &gt; 0, "Yes", "No")</f>
        <v>Yes</v>
      </c>
    </row>
    <row r="658" spans="1:5">
      <c r="A658" s="1">
        <v>45734</v>
      </c>
      <c r="B658" s="6">
        <v>0.42083333333333334</v>
      </c>
      <c r="C658" s="10" t="s">
        <v>22</v>
      </c>
      <c r="D658" t="str" cm="1">
        <f t="array" ref="D658">INDEX($H$2:$H$35, MATCH(1, (A658 &gt;= $F$2:$F$35) * (A658 &lt;= $G$2:$G$35), 0))</f>
        <v>15-03-2025 to 21-03-2025</v>
      </c>
      <c r="E658" t="str">
        <f>IF(COUNTIF('Top5'!I:I, D658) &gt; 0, "Yes", "No")</f>
        <v>Yes</v>
      </c>
    </row>
    <row r="659" spans="1:5">
      <c r="A659" s="1">
        <v>45734</v>
      </c>
      <c r="B659" s="6">
        <v>0.42777777777777776</v>
      </c>
      <c r="C659" s="10" t="s">
        <v>22</v>
      </c>
      <c r="D659" t="str" cm="1">
        <f t="array" ref="D659">INDEX($H$2:$H$35, MATCH(1, (A659 &gt;= $F$2:$F$35) * (A659 &lt;= $G$2:$G$35), 0))</f>
        <v>15-03-2025 to 21-03-2025</v>
      </c>
      <c r="E659" t="str">
        <f>IF(COUNTIF('Top5'!I:I, D659) &gt; 0, "Yes", "No")</f>
        <v>Yes</v>
      </c>
    </row>
    <row r="660" spans="1:5">
      <c r="A660" s="1">
        <v>45734</v>
      </c>
      <c r="B660" s="6">
        <v>0.42916666666666664</v>
      </c>
      <c r="C660" s="10" t="s">
        <v>22</v>
      </c>
      <c r="D660" t="str" cm="1">
        <f t="array" ref="D660">INDEX($H$2:$H$35, MATCH(1, (A660 &gt;= $F$2:$F$35) * (A660 &lt;= $G$2:$G$35), 0))</f>
        <v>15-03-2025 to 21-03-2025</v>
      </c>
      <c r="E660" t="str">
        <f>IF(COUNTIF('Top5'!I:I, D660) &gt; 0, "Yes", "No")</f>
        <v>Yes</v>
      </c>
    </row>
    <row r="661" spans="1:5">
      <c r="A661" s="1">
        <v>45734</v>
      </c>
      <c r="B661" s="6">
        <v>0.43055555555555558</v>
      </c>
      <c r="C661" s="10" t="s">
        <v>22</v>
      </c>
      <c r="D661" t="str" cm="1">
        <f t="array" ref="D661">INDEX($H$2:$H$35, MATCH(1, (A661 &gt;= $F$2:$F$35) * (A661 &lt;= $G$2:$G$35), 0))</f>
        <v>15-03-2025 to 21-03-2025</v>
      </c>
      <c r="E661" t="str">
        <f>IF(COUNTIF('Top5'!I:I, D661) &gt; 0, "Yes", "No")</f>
        <v>Yes</v>
      </c>
    </row>
    <row r="662" spans="1:5">
      <c r="A662" s="1">
        <v>45734</v>
      </c>
      <c r="B662" s="6">
        <v>0.6166666666666667</v>
      </c>
      <c r="C662" s="10" t="s">
        <v>71</v>
      </c>
      <c r="D662" t="str" cm="1">
        <f t="array" ref="D662">INDEX($H$2:$H$35, MATCH(1, (A662 &gt;= $F$2:$F$35) * (A662 &lt;= $G$2:$G$35), 0))</f>
        <v>15-03-2025 to 21-03-2025</v>
      </c>
      <c r="E662" t="str">
        <f>IF(COUNTIF('Top5'!I:I, D662) &gt; 0, "Yes", "No")</f>
        <v>Yes</v>
      </c>
    </row>
    <row r="663" spans="1:5">
      <c r="A663" s="1">
        <v>45734</v>
      </c>
      <c r="B663" s="6">
        <v>0.76111111111111107</v>
      </c>
      <c r="C663" s="10" t="s">
        <v>70</v>
      </c>
      <c r="D663" t="str" cm="1">
        <f t="array" ref="D663">INDEX($H$2:$H$35, MATCH(1, (A663 &gt;= $F$2:$F$35) * (A663 &lt;= $G$2:$G$35), 0))</f>
        <v>15-03-2025 to 21-03-2025</v>
      </c>
      <c r="E663" t="str">
        <f>IF(COUNTIF('Top5'!I:I, D663) &gt; 0, "Yes", "No")</f>
        <v>Yes</v>
      </c>
    </row>
    <row r="664" spans="1:5">
      <c r="A664" s="1">
        <v>45734</v>
      </c>
      <c r="B664" s="6">
        <v>0.76180555555555551</v>
      </c>
      <c r="C664" s="10" t="s">
        <v>70</v>
      </c>
      <c r="D664" t="str" cm="1">
        <f t="array" ref="D664">INDEX($H$2:$H$35, MATCH(1, (A664 &gt;= $F$2:$F$35) * (A664 &lt;= $G$2:$G$35), 0))</f>
        <v>15-03-2025 to 21-03-2025</v>
      </c>
      <c r="E664" t="str">
        <f>IF(COUNTIF('Top5'!I:I, D664) &gt; 0, "Yes", "No")</f>
        <v>Yes</v>
      </c>
    </row>
    <row r="665" spans="1:5">
      <c r="A665" s="1">
        <v>45734</v>
      </c>
      <c r="B665" s="6">
        <v>0.86527777777777781</v>
      </c>
      <c r="C665" s="10" t="s">
        <v>70</v>
      </c>
      <c r="D665" t="str" cm="1">
        <f t="array" ref="D665">INDEX($H$2:$H$35, MATCH(1, (A665 &gt;= $F$2:$F$35) * (A665 &lt;= $G$2:$G$35), 0))</f>
        <v>15-03-2025 to 21-03-2025</v>
      </c>
      <c r="E665" t="str">
        <f>IF(COUNTIF('Top5'!I:I, D665) &gt; 0, "Yes", "No")</f>
        <v>Yes</v>
      </c>
    </row>
    <row r="666" spans="1:5">
      <c r="A666" s="1">
        <v>45734</v>
      </c>
      <c r="B666" s="6">
        <v>0.875</v>
      </c>
      <c r="C666" s="10" t="s">
        <v>70</v>
      </c>
      <c r="D666" t="str" cm="1">
        <f t="array" ref="D666">INDEX($H$2:$H$35, MATCH(1, (A666 &gt;= $F$2:$F$35) * (A666 &lt;= $G$2:$G$35), 0))</f>
        <v>15-03-2025 to 21-03-2025</v>
      </c>
      <c r="E666" t="str">
        <f>IF(COUNTIF('Top5'!I:I, D666) &gt; 0, "Yes", "No")</f>
        <v>Yes</v>
      </c>
    </row>
    <row r="667" spans="1:5">
      <c r="A667" s="1">
        <v>45734</v>
      </c>
      <c r="B667" s="6">
        <v>0.87569444444444444</v>
      </c>
      <c r="C667" s="10" t="s">
        <v>70</v>
      </c>
      <c r="D667" t="str" cm="1">
        <f t="array" ref="D667">INDEX($H$2:$H$35, MATCH(1, (A667 &gt;= $F$2:$F$35) * (A667 &lt;= $G$2:$G$35), 0))</f>
        <v>15-03-2025 to 21-03-2025</v>
      </c>
      <c r="E667" t="str">
        <f>IF(COUNTIF('Top5'!I:I, D667) &gt; 0, "Yes", "No")</f>
        <v>Yes</v>
      </c>
    </row>
    <row r="668" spans="1:5">
      <c r="A668" s="1">
        <v>45734</v>
      </c>
      <c r="B668" s="6">
        <v>0.87638888888888888</v>
      </c>
      <c r="C668" s="10" t="s">
        <v>70</v>
      </c>
      <c r="D668" t="str" cm="1">
        <f t="array" ref="D668">INDEX($H$2:$H$35, MATCH(1, (A668 &gt;= $F$2:$F$35) * (A668 &lt;= $G$2:$G$35), 0))</f>
        <v>15-03-2025 to 21-03-2025</v>
      </c>
      <c r="E668" t="str">
        <f>IF(COUNTIF('Top5'!I:I, D668) &gt; 0, "Yes", "No")</f>
        <v>Yes</v>
      </c>
    </row>
    <row r="669" spans="1:5">
      <c r="A669" s="1">
        <v>45734</v>
      </c>
      <c r="B669" s="6">
        <v>0.89861111111111114</v>
      </c>
      <c r="C669" s="10" t="s">
        <v>70</v>
      </c>
      <c r="D669" t="str" cm="1">
        <f t="array" ref="D669">INDEX($H$2:$H$35, MATCH(1, (A669 &gt;= $F$2:$F$35) * (A669 &lt;= $G$2:$G$35), 0))</f>
        <v>15-03-2025 to 21-03-2025</v>
      </c>
      <c r="E669" t="str">
        <f>IF(COUNTIF('Top5'!I:I, D669) &gt; 0, "Yes", "No")</f>
        <v>Yes</v>
      </c>
    </row>
    <row r="670" spans="1:5">
      <c r="A670" s="1">
        <v>45734</v>
      </c>
      <c r="B670" s="6">
        <v>0.89930555555555558</v>
      </c>
      <c r="C670" s="10" t="s">
        <v>70</v>
      </c>
      <c r="D670" t="str" cm="1">
        <f t="array" ref="D670">INDEX($H$2:$H$35, MATCH(1, (A670 &gt;= $F$2:$F$35) * (A670 &lt;= $G$2:$G$35), 0))</f>
        <v>15-03-2025 to 21-03-2025</v>
      </c>
      <c r="E670" t="str">
        <f>IF(COUNTIF('Top5'!I:I, D670) &gt; 0, "Yes", "No")</f>
        <v>Yes</v>
      </c>
    </row>
    <row r="671" spans="1:5">
      <c r="A671" s="1">
        <v>45734</v>
      </c>
      <c r="B671" s="6">
        <v>0.91527777777777775</v>
      </c>
      <c r="C671" s="10" t="s">
        <v>70</v>
      </c>
      <c r="D671" t="str" cm="1">
        <f t="array" ref="D671">INDEX($H$2:$H$35, MATCH(1, (A671 &gt;= $F$2:$F$35) * (A671 &lt;= $G$2:$G$35), 0))</f>
        <v>15-03-2025 to 21-03-2025</v>
      </c>
      <c r="E671" t="str">
        <f>IF(COUNTIF('Top5'!I:I, D671) &gt; 0, "Yes", "No")</f>
        <v>Yes</v>
      </c>
    </row>
    <row r="672" spans="1:5">
      <c r="A672" s="1">
        <v>45734</v>
      </c>
      <c r="B672" s="6">
        <v>0.91527777777777775</v>
      </c>
      <c r="C672" s="10" t="s">
        <v>70</v>
      </c>
      <c r="D672" t="str" cm="1">
        <f t="array" ref="D672">INDEX($H$2:$H$35, MATCH(1, (A672 &gt;= $F$2:$F$35) * (A672 &lt;= $G$2:$G$35), 0))</f>
        <v>15-03-2025 to 21-03-2025</v>
      </c>
      <c r="E672" t="str">
        <f>IF(COUNTIF('Top5'!I:I, D672) &gt; 0, "Yes", "No")</f>
        <v>Yes</v>
      </c>
    </row>
    <row r="673" spans="1:5">
      <c r="A673" s="1">
        <v>45735</v>
      </c>
      <c r="B673" s="6">
        <v>2.7777777777777779E-3</v>
      </c>
      <c r="C673" s="10" t="s">
        <v>70</v>
      </c>
      <c r="D673" t="str" cm="1">
        <f t="array" ref="D673">INDEX($H$2:$H$35, MATCH(1, (A673 &gt;= $F$2:$F$35) * (A673 &lt;= $G$2:$G$35), 0))</f>
        <v>15-03-2025 to 21-03-2025</v>
      </c>
      <c r="E673" t="str">
        <f>IF(COUNTIF('Top5'!I:I, D673) &gt; 0, "Yes", "No")</f>
        <v>Yes</v>
      </c>
    </row>
    <row r="674" spans="1:5">
      <c r="A674" s="1">
        <v>45735</v>
      </c>
      <c r="B674" s="6">
        <v>2.7777777777777779E-3</v>
      </c>
      <c r="C674" s="10" t="s">
        <v>70</v>
      </c>
      <c r="D674" t="str" cm="1">
        <f t="array" ref="D674">INDEX($H$2:$H$35, MATCH(1, (A674 &gt;= $F$2:$F$35) * (A674 &lt;= $G$2:$G$35), 0))</f>
        <v>15-03-2025 to 21-03-2025</v>
      </c>
      <c r="E674" t="str">
        <f>IF(COUNTIF('Top5'!I:I, D674) &gt; 0, "Yes", "No")</f>
        <v>Yes</v>
      </c>
    </row>
    <row r="675" spans="1:5">
      <c r="A675" s="1">
        <v>45735</v>
      </c>
      <c r="B675" s="6">
        <v>9.0277777777777769E-3</v>
      </c>
      <c r="C675" s="10" t="s">
        <v>70</v>
      </c>
      <c r="D675" t="str" cm="1">
        <f t="array" ref="D675">INDEX($H$2:$H$35, MATCH(1, (A675 &gt;= $F$2:$F$35) * (A675 &lt;= $G$2:$G$35), 0))</f>
        <v>15-03-2025 to 21-03-2025</v>
      </c>
      <c r="E675" t="str">
        <f>IF(COUNTIF('Top5'!I:I, D675) &gt; 0, "Yes", "No")</f>
        <v>Yes</v>
      </c>
    </row>
    <row r="676" spans="1:5">
      <c r="A676" s="1">
        <v>45735</v>
      </c>
      <c r="B676" s="6">
        <v>9.7222222222222224E-3</v>
      </c>
      <c r="C676" s="10" t="s">
        <v>70</v>
      </c>
      <c r="D676" t="str" cm="1">
        <f t="array" ref="D676">INDEX($H$2:$H$35, MATCH(1, (A676 &gt;= $F$2:$F$35) * (A676 &lt;= $G$2:$G$35), 0))</f>
        <v>15-03-2025 to 21-03-2025</v>
      </c>
      <c r="E676" t="str">
        <f>IF(COUNTIF('Top5'!I:I, D676) &gt; 0, "Yes", "No")</f>
        <v>Yes</v>
      </c>
    </row>
    <row r="677" spans="1:5">
      <c r="A677" s="1">
        <v>45735</v>
      </c>
      <c r="B677" s="6">
        <v>1.1111111111111112E-2</v>
      </c>
      <c r="C677" s="10" t="s">
        <v>70</v>
      </c>
      <c r="D677" t="str" cm="1">
        <f t="array" ref="D677">INDEX($H$2:$H$35, MATCH(1, (A677 &gt;= $F$2:$F$35) * (A677 &lt;= $G$2:$G$35), 0))</f>
        <v>15-03-2025 to 21-03-2025</v>
      </c>
      <c r="E677" t="str">
        <f>IF(COUNTIF('Top5'!I:I, D677) &gt; 0, "Yes", "No")</f>
        <v>Yes</v>
      </c>
    </row>
    <row r="678" spans="1:5">
      <c r="A678" s="1">
        <v>45735</v>
      </c>
      <c r="B678" s="6">
        <v>0.42986111111111114</v>
      </c>
      <c r="C678" s="10" t="s">
        <v>22</v>
      </c>
      <c r="D678" t="str" cm="1">
        <f t="array" ref="D678">INDEX($H$2:$H$35, MATCH(1, (A678 &gt;= $F$2:$F$35) * (A678 &lt;= $G$2:$G$35), 0))</f>
        <v>15-03-2025 to 21-03-2025</v>
      </c>
      <c r="E678" t="str">
        <f>IF(COUNTIF('Top5'!I:I, D678) &gt; 0, "Yes", "No")</f>
        <v>Yes</v>
      </c>
    </row>
    <row r="679" spans="1:5">
      <c r="A679" s="1">
        <v>45735</v>
      </c>
      <c r="B679" s="6">
        <v>0.44513888888888886</v>
      </c>
      <c r="C679" s="10" t="s">
        <v>22</v>
      </c>
      <c r="D679" t="str" cm="1">
        <f t="array" ref="D679">INDEX($H$2:$H$35, MATCH(1, (A679 &gt;= $F$2:$F$35) * (A679 &lt;= $G$2:$G$35), 0))</f>
        <v>15-03-2025 to 21-03-2025</v>
      </c>
      <c r="E679" t="str">
        <f>IF(COUNTIF('Top5'!I:I, D679) &gt; 0, "Yes", "No")</f>
        <v>Yes</v>
      </c>
    </row>
    <row r="680" spans="1:5">
      <c r="A680" s="1">
        <v>45735</v>
      </c>
      <c r="B680" s="6">
        <v>0.46527777777777779</v>
      </c>
      <c r="C680" s="10" t="s">
        <v>22</v>
      </c>
      <c r="D680" t="str" cm="1">
        <f t="array" ref="D680">INDEX($H$2:$H$35, MATCH(1, (A680 &gt;= $F$2:$F$35) * (A680 &lt;= $G$2:$G$35), 0))</f>
        <v>15-03-2025 to 21-03-2025</v>
      </c>
      <c r="E680" t="str">
        <f>IF(COUNTIF('Top5'!I:I, D680) &gt; 0, "Yes", "No")</f>
        <v>Yes</v>
      </c>
    </row>
    <row r="681" spans="1:5">
      <c r="A681" s="1">
        <v>45735</v>
      </c>
      <c r="B681" s="6">
        <v>0.47083333333333333</v>
      </c>
      <c r="C681" s="10" t="s">
        <v>22</v>
      </c>
      <c r="D681" t="str" cm="1">
        <f t="array" ref="D681">INDEX($H$2:$H$35, MATCH(1, (A681 &gt;= $F$2:$F$35) * (A681 &lt;= $G$2:$G$35), 0))</f>
        <v>15-03-2025 to 21-03-2025</v>
      </c>
      <c r="E681" t="str">
        <f>IF(COUNTIF('Top5'!I:I, D681) &gt; 0, "Yes", "No")</f>
        <v>Yes</v>
      </c>
    </row>
    <row r="682" spans="1:5">
      <c r="A682" s="1">
        <v>45735</v>
      </c>
      <c r="B682" s="6">
        <v>0.50347222222222221</v>
      </c>
      <c r="C682" s="10" t="s">
        <v>71</v>
      </c>
      <c r="D682" t="str" cm="1">
        <f t="array" ref="D682">INDEX($H$2:$H$35, MATCH(1, (A682 &gt;= $F$2:$F$35) * (A682 &lt;= $G$2:$G$35), 0))</f>
        <v>15-03-2025 to 21-03-2025</v>
      </c>
      <c r="E682" t="str">
        <f>IF(COUNTIF('Top5'!I:I, D682) &gt; 0, "Yes", "No")</f>
        <v>Yes</v>
      </c>
    </row>
    <row r="683" spans="1:5">
      <c r="A683" s="1">
        <v>45735</v>
      </c>
      <c r="B683" s="6">
        <v>0.57013888888888886</v>
      </c>
      <c r="C683" s="10" t="s">
        <v>71</v>
      </c>
      <c r="D683" t="str" cm="1">
        <f t="array" ref="D683">INDEX($H$2:$H$35, MATCH(1, (A683 &gt;= $F$2:$F$35) * (A683 &lt;= $G$2:$G$35), 0))</f>
        <v>15-03-2025 to 21-03-2025</v>
      </c>
      <c r="E683" t="str">
        <f>IF(COUNTIF('Top5'!I:I, D683) &gt; 0, "Yes", "No")</f>
        <v>Yes</v>
      </c>
    </row>
    <row r="684" spans="1:5">
      <c r="A684" s="1">
        <v>45735</v>
      </c>
      <c r="B684" s="6">
        <v>0.58958333333333335</v>
      </c>
      <c r="C684" s="10" t="s">
        <v>71</v>
      </c>
      <c r="D684" t="str" cm="1">
        <f t="array" ref="D684">INDEX($H$2:$H$35, MATCH(1, (A684 &gt;= $F$2:$F$35) * (A684 &lt;= $G$2:$G$35), 0))</f>
        <v>15-03-2025 to 21-03-2025</v>
      </c>
      <c r="E684" t="str">
        <f>IF(COUNTIF('Top5'!I:I, D684) &gt; 0, "Yes", "No")</f>
        <v>Yes</v>
      </c>
    </row>
    <row r="685" spans="1:5">
      <c r="A685" s="1">
        <v>45736</v>
      </c>
      <c r="B685" s="6">
        <v>6.2500000000000003E-3</v>
      </c>
      <c r="C685" s="10" t="s">
        <v>70</v>
      </c>
      <c r="D685" t="str" cm="1">
        <f t="array" ref="D685">INDEX($H$2:$H$35, MATCH(1, (A685 &gt;= $F$2:$F$35) * (A685 &lt;= $G$2:$G$35), 0))</f>
        <v>15-03-2025 to 21-03-2025</v>
      </c>
      <c r="E685" t="str">
        <f>IF(COUNTIF('Top5'!I:I, D685) &gt; 0, "Yes", "No")</f>
        <v>Yes</v>
      </c>
    </row>
    <row r="686" spans="1:5">
      <c r="A686" s="1">
        <v>45736</v>
      </c>
      <c r="B686" s="6">
        <v>0.39652777777777776</v>
      </c>
      <c r="C686" s="10" t="s">
        <v>22</v>
      </c>
      <c r="D686" t="str" cm="1">
        <f t="array" ref="D686">INDEX($H$2:$H$35, MATCH(1, (A686 &gt;= $F$2:$F$35) * (A686 &lt;= $G$2:$G$35), 0))</f>
        <v>15-03-2025 to 21-03-2025</v>
      </c>
      <c r="E686" t="str">
        <f>IF(COUNTIF('Top5'!I:I, D686) &gt; 0, "Yes", "No")</f>
        <v>Yes</v>
      </c>
    </row>
    <row r="687" spans="1:5">
      <c r="A687" s="1">
        <v>45736</v>
      </c>
      <c r="B687" s="6">
        <v>0.41944444444444445</v>
      </c>
      <c r="C687" s="10" t="s">
        <v>22</v>
      </c>
      <c r="D687" t="str" cm="1">
        <f t="array" ref="D687">INDEX($H$2:$H$35, MATCH(1, (A687 &gt;= $F$2:$F$35) * (A687 &lt;= $G$2:$G$35), 0))</f>
        <v>15-03-2025 to 21-03-2025</v>
      </c>
      <c r="E687" t="str">
        <f>IF(COUNTIF('Top5'!I:I, D687) &gt; 0, "Yes", "No")</f>
        <v>Yes</v>
      </c>
    </row>
    <row r="688" spans="1:5">
      <c r="A688" s="1">
        <v>45736</v>
      </c>
      <c r="B688" s="6">
        <v>0.42083333333333334</v>
      </c>
      <c r="C688" s="10" t="s">
        <v>22</v>
      </c>
      <c r="D688" t="str" cm="1">
        <f t="array" ref="D688">INDEX($H$2:$H$35, MATCH(1, (A688 &gt;= $F$2:$F$35) * (A688 &lt;= $G$2:$G$35), 0))</f>
        <v>15-03-2025 to 21-03-2025</v>
      </c>
      <c r="E688" t="str">
        <f>IF(COUNTIF('Top5'!I:I, D688) &gt; 0, "Yes", "No")</f>
        <v>Yes</v>
      </c>
    </row>
    <row r="689" spans="1:5">
      <c r="A689" s="1">
        <v>45736</v>
      </c>
      <c r="B689" s="6">
        <v>0.42430555555555555</v>
      </c>
      <c r="C689" s="10" t="s">
        <v>22</v>
      </c>
      <c r="D689" t="str" cm="1">
        <f t="array" ref="D689">INDEX($H$2:$H$35, MATCH(1, (A689 &gt;= $F$2:$F$35) * (A689 &lt;= $G$2:$G$35), 0))</f>
        <v>15-03-2025 to 21-03-2025</v>
      </c>
      <c r="E689" t="str">
        <f>IF(COUNTIF('Top5'!I:I, D689) &gt; 0, "Yes", "No")</f>
        <v>Yes</v>
      </c>
    </row>
    <row r="690" spans="1:5">
      <c r="A690" s="1">
        <v>45736</v>
      </c>
      <c r="B690" s="6">
        <v>0.42499999999999999</v>
      </c>
      <c r="C690" s="10" t="s">
        <v>22</v>
      </c>
      <c r="D690" t="str" cm="1">
        <f t="array" ref="D690">INDEX($H$2:$H$35, MATCH(1, (A690 &gt;= $F$2:$F$35) * (A690 &lt;= $G$2:$G$35), 0))</f>
        <v>15-03-2025 to 21-03-2025</v>
      </c>
      <c r="E690" t="str">
        <f>IF(COUNTIF('Top5'!I:I, D690) &gt; 0, "Yes", "No")</f>
        <v>Yes</v>
      </c>
    </row>
    <row r="691" spans="1:5">
      <c r="A691" s="1">
        <v>45736</v>
      </c>
      <c r="B691" s="6">
        <v>0.42916666666666664</v>
      </c>
      <c r="C691" s="10" t="s">
        <v>22</v>
      </c>
      <c r="D691" t="str" cm="1">
        <f t="array" ref="D691">INDEX($H$2:$H$35, MATCH(1, (A691 &gt;= $F$2:$F$35) * (A691 &lt;= $G$2:$G$35), 0))</f>
        <v>15-03-2025 to 21-03-2025</v>
      </c>
      <c r="E691" t="str">
        <f>IF(COUNTIF('Top5'!I:I, D691) &gt; 0, "Yes", "No")</f>
        <v>Yes</v>
      </c>
    </row>
    <row r="692" spans="1:5">
      <c r="A692" s="1">
        <v>45736</v>
      </c>
      <c r="B692" s="6">
        <v>0.46458333333333335</v>
      </c>
      <c r="C692" s="10" t="s">
        <v>22</v>
      </c>
      <c r="D692" t="str" cm="1">
        <f t="array" ref="D692">INDEX($H$2:$H$35, MATCH(1, (A692 &gt;= $F$2:$F$35) * (A692 &lt;= $G$2:$G$35), 0))</f>
        <v>15-03-2025 to 21-03-2025</v>
      </c>
      <c r="E692" t="str">
        <f>IF(COUNTIF('Top5'!I:I, D692) &gt; 0, "Yes", "No")</f>
        <v>Yes</v>
      </c>
    </row>
    <row r="693" spans="1:5">
      <c r="A693" s="1">
        <v>45736</v>
      </c>
      <c r="B693" s="6">
        <v>0.57222222222222219</v>
      </c>
      <c r="C693" s="10" t="s">
        <v>71</v>
      </c>
      <c r="D693" t="str" cm="1">
        <f t="array" ref="D693">INDEX($H$2:$H$35, MATCH(1, (A693 &gt;= $F$2:$F$35) * (A693 &lt;= $G$2:$G$35), 0))</f>
        <v>15-03-2025 to 21-03-2025</v>
      </c>
      <c r="E693" t="str">
        <f>IF(COUNTIF('Top5'!I:I, D693) &gt; 0, "Yes", "No")</f>
        <v>Yes</v>
      </c>
    </row>
    <row r="694" spans="1:5">
      <c r="A694" s="1">
        <v>45736</v>
      </c>
      <c r="B694" s="6">
        <v>0.7270833333333333</v>
      </c>
      <c r="C694" s="10" t="s">
        <v>70</v>
      </c>
      <c r="D694" t="str" cm="1">
        <f t="array" ref="D694">INDEX($H$2:$H$35, MATCH(1, (A694 &gt;= $F$2:$F$35) * (A694 &lt;= $G$2:$G$35), 0))</f>
        <v>15-03-2025 to 21-03-2025</v>
      </c>
      <c r="E694" t="str">
        <f>IF(COUNTIF('Top5'!I:I, D694) &gt; 0, "Yes", "No")</f>
        <v>Yes</v>
      </c>
    </row>
    <row r="695" spans="1:5">
      <c r="A695" s="1">
        <v>45736</v>
      </c>
      <c r="B695" s="6">
        <v>0.7319444444444444</v>
      </c>
      <c r="C695" s="10" t="s">
        <v>70</v>
      </c>
      <c r="D695" t="str" cm="1">
        <f t="array" ref="D695">INDEX($H$2:$H$35, MATCH(1, (A695 &gt;= $F$2:$F$35) * (A695 &lt;= $G$2:$G$35), 0))</f>
        <v>15-03-2025 to 21-03-2025</v>
      </c>
      <c r="E695" t="str">
        <f>IF(COUNTIF('Top5'!I:I, D695) &gt; 0, "Yes", "No")</f>
        <v>Yes</v>
      </c>
    </row>
    <row r="696" spans="1:5">
      <c r="A696" s="1">
        <v>45736</v>
      </c>
      <c r="B696" s="6">
        <v>0.8833333333333333</v>
      </c>
      <c r="C696" s="10" t="s">
        <v>70</v>
      </c>
      <c r="D696" t="str" cm="1">
        <f t="array" ref="D696">INDEX($H$2:$H$35, MATCH(1, (A696 &gt;= $F$2:$F$35) * (A696 &lt;= $G$2:$G$35), 0))</f>
        <v>15-03-2025 to 21-03-2025</v>
      </c>
      <c r="E696" t="str">
        <f>IF(COUNTIF('Top5'!I:I, D696) &gt; 0, "Yes", "No")</f>
        <v>Yes</v>
      </c>
    </row>
    <row r="697" spans="1:5">
      <c r="A697" s="1">
        <v>45736</v>
      </c>
      <c r="B697" s="6">
        <v>0.88402777777777775</v>
      </c>
      <c r="C697" s="10" t="s">
        <v>70</v>
      </c>
      <c r="D697" t="str" cm="1">
        <f t="array" ref="D697">INDEX($H$2:$H$35, MATCH(1, (A697 &gt;= $F$2:$F$35) * (A697 &lt;= $G$2:$G$35), 0))</f>
        <v>15-03-2025 to 21-03-2025</v>
      </c>
      <c r="E697" t="str">
        <f>IF(COUNTIF('Top5'!I:I, D697) &gt; 0, "Yes", "No")</f>
        <v>Yes</v>
      </c>
    </row>
    <row r="698" spans="1:5">
      <c r="A698" s="1">
        <v>45736</v>
      </c>
      <c r="B698" s="6">
        <v>0.88541666666666663</v>
      </c>
      <c r="C698" s="10" t="s">
        <v>70</v>
      </c>
      <c r="D698" t="str" cm="1">
        <f t="array" ref="D698">INDEX($H$2:$H$35, MATCH(1, (A698 &gt;= $F$2:$F$35) * (A698 &lt;= $G$2:$G$35), 0))</f>
        <v>15-03-2025 to 21-03-2025</v>
      </c>
      <c r="E698" t="str">
        <f>IF(COUNTIF('Top5'!I:I, D698) &gt; 0, "Yes", "No")</f>
        <v>Yes</v>
      </c>
    </row>
    <row r="699" spans="1:5">
      <c r="A699" s="1">
        <v>45736</v>
      </c>
      <c r="B699" s="6">
        <v>0.88680555555555551</v>
      </c>
      <c r="C699" s="10" t="s">
        <v>70</v>
      </c>
      <c r="D699" t="str" cm="1">
        <f t="array" ref="D699">INDEX($H$2:$H$35, MATCH(1, (A699 &gt;= $F$2:$F$35) * (A699 &lt;= $G$2:$G$35), 0))</f>
        <v>15-03-2025 to 21-03-2025</v>
      </c>
      <c r="E699" t="str">
        <f>IF(COUNTIF('Top5'!I:I, D699) &gt; 0, "Yes", "No")</f>
        <v>Yes</v>
      </c>
    </row>
    <row r="700" spans="1:5">
      <c r="A700" s="1">
        <v>45736</v>
      </c>
      <c r="B700" s="6">
        <v>0.8930555555555556</v>
      </c>
      <c r="C700" s="10" t="s">
        <v>70</v>
      </c>
      <c r="D700" t="str" cm="1">
        <f t="array" ref="D700">INDEX($H$2:$H$35, MATCH(1, (A700 &gt;= $F$2:$F$35) * (A700 &lt;= $G$2:$G$35), 0))</f>
        <v>15-03-2025 to 21-03-2025</v>
      </c>
      <c r="E700" t="str">
        <f>IF(COUNTIF('Top5'!I:I, D700) &gt; 0, "Yes", "No")</f>
        <v>Yes</v>
      </c>
    </row>
    <row r="701" spans="1:5">
      <c r="A701" s="1">
        <v>45736</v>
      </c>
      <c r="B701" s="6">
        <v>0.91249999999999998</v>
      </c>
      <c r="C701" s="10" t="s">
        <v>70</v>
      </c>
      <c r="D701" t="str" cm="1">
        <f t="array" ref="D701">INDEX($H$2:$H$35, MATCH(1, (A701 &gt;= $F$2:$F$35) * (A701 &lt;= $G$2:$G$35), 0))</f>
        <v>15-03-2025 to 21-03-2025</v>
      </c>
      <c r="E701" t="str">
        <f>IF(COUNTIF('Top5'!I:I, D701) &gt; 0, "Yes", "No")</f>
        <v>Yes</v>
      </c>
    </row>
    <row r="702" spans="1:5">
      <c r="A702" s="1">
        <v>45737</v>
      </c>
      <c r="B702" s="6">
        <v>0.40208333333333335</v>
      </c>
      <c r="C702" s="10" t="s">
        <v>22</v>
      </c>
      <c r="D702" t="str" cm="1">
        <f t="array" ref="D702">INDEX($H$2:$H$35, MATCH(1, (A702 &gt;= $F$2:$F$35) * (A702 &lt;= $G$2:$G$35), 0))</f>
        <v>15-03-2025 to 21-03-2025</v>
      </c>
      <c r="E702" t="str">
        <f>IF(COUNTIF('Top5'!I:I, D702) &gt; 0, "Yes", "No")</f>
        <v>Yes</v>
      </c>
    </row>
    <row r="703" spans="1:5">
      <c r="A703" s="1">
        <v>45737</v>
      </c>
      <c r="B703" s="6">
        <v>0.40208333333333335</v>
      </c>
      <c r="C703" s="10" t="s">
        <v>22</v>
      </c>
      <c r="D703" t="str" cm="1">
        <f t="array" ref="D703">INDEX($H$2:$H$35, MATCH(1, (A703 &gt;= $F$2:$F$35) * (A703 &lt;= $G$2:$G$35), 0))</f>
        <v>15-03-2025 to 21-03-2025</v>
      </c>
      <c r="E703" t="str">
        <f>IF(COUNTIF('Top5'!I:I, D703) &gt; 0, "Yes", "No")</f>
        <v>Yes</v>
      </c>
    </row>
    <row r="704" spans="1:5">
      <c r="A704" s="1">
        <v>45737</v>
      </c>
      <c r="B704" s="6">
        <v>0.47499999999999998</v>
      </c>
      <c r="C704" s="10" t="s">
        <v>22</v>
      </c>
      <c r="D704" t="str" cm="1">
        <f t="array" ref="D704">INDEX($H$2:$H$35, MATCH(1, (A704 &gt;= $F$2:$F$35) * (A704 &lt;= $G$2:$G$35), 0))</f>
        <v>15-03-2025 to 21-03-2025</v>
      </c>
      <c r="E704" t="str">
        <f>IF(COUNTIF('Top5'!I:I, D704) &gt; 0, "Yes", "No")</f>
        <v>Yes</v>
      </c>
    </row>
    <row r="705" spans="1:5">
      <c r="A705" s="1">
        <v>45737</v>
      </c>
      <c r="B705" s="6">
        <v>0.47569444444444442</v>
      </c>
      <c r="C705" s="10" t="s">
        <v>22</v>
      </c>
      <c r="D705" t="str" cm="1">
        <f t="array" ref="D705">INDEX($H$2:$H$35, MATCH(1, (A705 &gt;= $F$2:$F$35) * (A705 &lt;= $G$2:$G$35), 0))</f>
        <v>15-03-2025 to 21-03-2025</v>
      </c>
      <c r="E705" t="str">
        <f>IF(COUNTIF('Top5'!I:I, D705) &gt; 0, "Yes", "No")</f>
        <v>Yes</v>
      </c>
    </row>
    <row r="706" spans="1:5">
      <c r="A706" s="1">
        <v>45737</v>
      </c>
      <c r="B706" s="6">
        <v>0.48333333333333334</v>
      </c>
      <c r="C706" s="10" t="s">
        <v>22</v>
      </c>
      <c r="D706" t="str" cm="1">
        <f t="array" ref="D706">INDEX($H$2:$H$35, MATCH(1, (A706 &gt;= $F$2:$F$35) * (A706 &lt;= $G$2:$G$35), 0))</f>
        <v>15-03-2025 to 21-03-2025</v>
      </c>
      <c r="E706" t="str">
        <f>IF(COUNTIF('Top5'!I:I, D706) &gt; 0, "Yes", "No")</f>
        <v>Yes</v>
      </c>
    </row>
    <row r="707" spans="1:5">
      <c r="A707" s="1">
        <v>45737</v>
      </c>
      <c r="B707" s="6">
        <v>0.48472222222222222</v>
      </c>
      <c r="C707" s="10" t="s">
        <v>22</v>
      </c>
      <c r="D707" t="str" cm="1">
        <f t="array" ref="D707">INDEX($H$2:$H$35, MATCH(1, (A707 &gt;= $F$2:$F$35) * (A707 &lt;= $G$2:$G$35), 0))</f>
        <v>15-03-2025 to 21-03-2025</v>
      </c>
      <c r="E707" t="str">
        <f>IF(COUNTIF('Top5'!I:I, D707) &gt; 0, "Yes", "No")</f>
        <v>Yes</v>
      </c>
    </row>
    <row r="708" spans="1:5">
      <c r="A708" s="1">
        <v>45737</v>
      </c>
      <c r="B708" s="6">
        <v>0.48819444444444443</v>
      </c>
      <c r="C708" s="10" t="s">
        <v>22</v>
      </c>
      <c r="D708" t="str" cm="1">
        <f t="array" ref="D708">INDEX($H$2:$H$35, MATCH(1, (A708 &gt;= $F$2:$F$35) * (A708 &lt;= $G$2:$G$35), 0))</f>
        <v>15-03-2025 to 21-03-2025</v>
      </c>
      <c r="E708" t="str">
        <f>IF(COUNTIF('Top5'!I:I, D708) &gt; 0, "Yes", "No")</f>
        <v>Yes</v>
      </c>
    </row>
    <row r="709" spans="1:5">
      <c r="A709" s="1">
        <v>45737</v>
      </c>
      <c r="B709" s="6">
        <v>0.4909722222222222</v>
      </c>
      <c r="C709" s="10" t="s">
        <v>22</v>
      </c>
      <c r="D709" t="str" cm="1">
        <f t="array" ref="D709">INDEX($H$2:$H$35, MATCH(1, (A709 &gt;= $F$2:$F$35) * (A709 &lt;= $G$2:$G$35), 0))</f>
        <v>15-03-2025 to 21-03-2025</v>
      </c>
      <c r="E709" t="str">
        <f>IF(COUNTIF('Top5'!I:I, D709) &gt; 0, "Yes", "No")</f>
        <v>Yes</v>
      </c>
    </row>
    <row r="710" spans="1:5">
      <c r="A710" s="1">
        <v>45737</v>
      </c>
      <c r="B710" s="6">
        <v>0.72777777777777775</v>
      </c>
      <c r="C710" s="10" t="s">
        <v>70</v>
      </c>
      <c r="D710" t="str" cm="1">
        <f t="array" ref="D710">INDEX($H$2:$H$35, MATCH(1, (A710 &gt;= $F$2:$F$35) * (A710 &lt;= $G$2:$G$35), 0))</f>
        <v>15-03-2025 to 21-03-2025</v>
      </c>
      <c r="E710" t="str">
        <f>IF(COUNTIF('Top5'!I:I, D710) &gt; 0, "Yes", "No")</f>
        <v>Yes</v>
      </c>
    </row>
    <row r="711" spans="1:5">
      <c r="A711" s="1">
        <v>45737</v>
      </c>
      <c r="B711" s="6">
        <v>0.75138888888888888</v>
      </c>
      <c r="C711" s="10" t="s">
        <v>70</v>
      </c>
      <c r="D711" t="str" cm="1">
        <f t="array" ref="D711">INDEX($H$2:$H$35, MATCH(1, (A711 &gt;= $F$2:$F$35) * (A711 &lt;= $G$2:$G$35), 0))</f>
        <v>15-03-2025 to 21-03-2025</v>
      </c>
      <c r="E711" t="str">
        <f>IF(COUNTIF('Top5'!I:I, D711) &gt; 0, "Yes", "No")</f>
        <v>Yes</v>
      </c>
    </row>
    <row r="712" spans="1:5">
      <c r="A712" s="1">
        <v>45737</v>
      </c>
      <c r="B712" s="6">
        <v>0.93194444444444446</v>
      </c>
      <c r="C712" s="10" t="s">
        <v>70</v>
      </c>
      <c r="D712" t="str" cm="1">
        <f t="array" ref="D712">INDEX($H$2:$H$35, MATCH(1, (A712 &gt;= $F$2:$F$35) * (A712 &lt;= $G$2:$G$35), 0))</f>
        <v>15-03-2025 to 21-03-2025</v>
      </c>
      <c r="E712" t="str">
        <f>IF(COUNTIF('Top5'!I:I, D712) &gt; 0, "Yes", "No")</f>
        <v>Yes</v>
      </c>
    </row>
    <row r="713" spans="1:5">
      <c r="A713" s="1">
        <v>45738</v>
      </c>
      <c r="B713" s="6">
        <v>0.41458333333333336</v>
      </c>
      <c r="C713" s="10" t="s">
        <v>22</v>
      </c>
      <c r="D713" t="str" cm="1">
        <f t="array" ref="D713">INDEX($H$2:$H$35, MATCH(1, (A713 &gt;= $F$2:$F$35) * (A713 &lt;= $G$2:$G$35), 0))</f>
        <v>22-03-2025 to 28-03-2025</v>
      </c>
      <c r="E713" t="str">
        <f>IF(COUNTIF('Top5'!I:I, D713) &gt; 0, "Yes", "No")</f>
        <v>No</v>
      </c>
    </row>
    <row r="714" spans="1:5">
      <c r="A714" s="1">
        <v>45738</v>
      </c>
      <c r="B714" s="6">
        <v>0.47638888888888886</v>
      </c>
      <c r="C714" s="10" t="s">
        <v>22</v>
      </c>
      <c r="D714" t="str" cm="1">
        <f t="array" ref="D714">INDEX($H$2:$H$35, MATCH(1, (A714 &gt;= $F$2:$F$35) * (A714 &lt;= $G$2:$G$35), 0))</f>
        <v>22-03-2025 to 28-03-2025</v>
      </c>
      <c r="E714" t="str">
        <f>IF(COUNTIF('Top5'!I:I, D714) &gt; 0, "Yes", "No")</f>
        <v>No</v>
      </c>
    </row>
    <row r="715" spans="1:5">
      <c r="A715" s="1">
        <v>45738</v>
      </c>
      <c r="B715" s="6">
        <v>0.95763888888888893</v>
      </c>
      <c r="C715" s="10" t="s">
        <v>70</v>
      </c>
      <c r="D715" t="str" cm="1">
        <f t="array" ref="D715">INDEX($H$2:$H$35, MATCH(1, (A715 &gt;= $F$2:$F$35) * (A715 &lt;= $G$2:$G$35), 0))</f>
        <v>22-03-2025 to 28-03-2025</v>
      </c>
      <c r="E715" t="str">
        <f>IF(COUNTIF('Top5'!I:I, D715) &gt; 0, "Yes", "No")</f>
        <v>No</v>
      </c>
    </row>
    <row r="716" spans="1:5">
      <c r="A716" s="1">
        <v>45738</v>
      </c>
      <c r="B716" s="6">
        <v>0.96527777777777779</v>
      </c>
      <c r="C716" s="10" t="s">
        <v>70</v>
      </c>
      <c r="D716" t="str" cm="1">
        <f t="array" ref="D716">INDEX($H$2:$H$35, MATCH(1, (A716 &gt;= $F$2:$F$35) * (A716 &lt;= $G$2:$G$35), 0))</f>
        <v>22-03-2025 to 28-03-2025</v>
      </c>
      <c r="E716" t="str">
        <f>IF(COUNTIF('Top5'!I:I, D716) &gt; 0, "Yes", "No")</f>
        <v>No</v>
      </c>
    </row>
    <row r="717" spans="1:5">
      <c r="A717" s="1">
        <v>45738</v>
      </c>
      <c r="B717" s="6">
        <v>0.96875</v>
      </c>
      <c r="C717" s="10" t="s">
        <v>70</v>
      </c>
      <c r="D717" t="str" cm="1">
        <f t="array" ref="D717">INDEX($H$2:$H$35, MATCH(1, (A717 &gt;= $F$2:$F$35) * (A717 &lt;= $G$2:$G$35), 0))</f>
        <v>22-03-2025 to 28-03-2025</v>
      </c>
      <c r="E717" t="str">
        <f>IF(COUNTIF('Top5'!I:I, D717) &gt; 0, "Yes", "No")</f>
        <v>No</v>
      </c>
    </row>
    <row r="718" spans="1:5">
      <c r="A718" s="1">
        <v>45739</v>
      </c>
      <c r="B718" s="6">
        <v>0.40902777777777777</v>
      </c>
      <c r="C718" s="10" t="s">
        <v>22</v>
      </c>
      <c r="D718" t="str" cm="1">
        <f t="array" ref="D718">INDEX($H$2:$H$35, MATCH(1, (A718 &gt;= $F$2:$F$35) * (A718 &lt;= $G$2:$G$35), 0))</f>
        <v>22-03-2025 to 28-03-2025</v>
      </c>
      <c r="E718" t="str">
        <f>IF(COUNTIF('Top5'!I:I, D718) &gt; 0, "Yes", "No")</f>
        <v>No</v>
      </c>
    </row>
    <row r="719" spans="1:5">
      <c r="A719" s="1">
        <v>45739</v>
      </c>
      <c r="B719" s="6">
        <v>0.53680555555555554</v>
      </c>
      <c r="C719" s="10" t="s">
        <v>71</v>
      </c>
      <c r="D719" t="str" cm="1">
        <f t="array" ref="D719">INDEX($H$2:$H$35, MATCH(1, (A719 &gt;= $F$2:$F$35) * (A719 &lt;= $G$2:$G$35), 0))</f>
        <v>22-03-2025 to 28-03-2025</v>
      </c>
      <c r="E719" t="str">
        <f>IF(COUNTIF('Top5'!I:I, D719) &gt; 0, "Yes", "No")</f>
        <v>No</v>
      </c>
    </row>
    <row r="720" spans="1:5">
      <c r="A720" s="1">
        <v>45739</v>
      </c>
      <c r="B720" s="6">
        <v>0.72847222222222219</v>
      </c>
      <c r="C720" s="10" t="s">
        <v>70</v>
      </c>
      <c r="D720" t="str" cm="1">
        <f t="array" ref="D720">INDEX($H$2:$H$35, MATCH(1, (A720 &gt;= $F$2:$F$35) * (A720 &lt;= $G$2:$G$35), 0))</f>
        <v>22-03-2025 to 28-03-2025</v>
      </c>
      <c r="E720" t="str">
        <f>IF(COUNTIF('Top5'!I:I, D720) &gt; 0, "Yes", "No")</f>
        <v>No</v>
      </c>
    </row>
    <row r="721" spans="1:5">
      <c r="A721" s="1">
        <v>45739</v>
      </c>
      <c r="B721" s="6">
        <v>0.72916666666666663</v>
      </c>
      <c r="C721" s="10" t="s">
        <v>70</v>
      </c>
      <c r="D721" t="str" cm="1">
        <f t="array" ref="D721">INDEX($H$2:$H$35, MATCH(1, (A721 &gt;= $F$2:$F$35) * (A721 &lt;= $G$2:$G$35), 0))</f>
        <v>22-03-2025 to 28-03-2025</v>
      </c>
      <c r="E721" t="str">
        <f>IF(COUNTIF('Top5'!I:I, D721) &gt; 0, "Yes", "No")</f>
        <v>No</v>
      </c>
    </row>
    <row r="722" spans="1:5">
      <c r="A722" s="1">
        <v>45740</v>
      </c>
      <c r="B722" s="6">
        <v>0.49930555555555556</v>
      </c>
      <c r="C722" s="10" t="s">
        <v>22</v>
      </c>
      <c r="D722" t="str" cm="1">
        <f t="array" ref="D722">INDEX($H$2:$H$35, MATCH(1, (A722 &gt;= $F$2:$F$35) * (A722 &lt;= $G$2:$G$35), 0))</f>
        <v>22-03-2025 to 28-03-2025</v>
      </c>
      <c r="E722" t="str">
        <f>IF(COUNTIF('Top5'!I:I, D722) &gt; 0, "Yes", "No")</f>
        <v>No</v>
      </c>
    </row>
    <row r="723" spans="1:5">
      <c r="A723" s="1">
        <v>45740</v>
      </c>
      <c r="B723" s="6">
        <v>0.62291666666666667</v>
      </c>
      <c r="C723" s="10" t="s">
        <v>71</v>
      </c>
      <c r="D723" t="str" cm="1">
        <f t="array" ref="D723">INDEX($H$2:$H$35, MATCH(1, (A723 &gt;= $F$2:$F$35) * (A723 &lt;= $G$2:$G$35), 0))</f>
        <v>22-03-2025 to 28-03-2025</v>
      </c>
      <c r="E723" t="str">
        <f>IF(COUNTIF('Top5'!I:I, D723) &gt; 0, "Yes", "No")</f>
        <v>No</v>
      </c>
    </row>
    <row r="724" spans="1:5">
      <c r="A724" s="1">
        <v>45740</v>
      </c>
      <c r="B724" s="6">
        <v>0.62708333333333333</v>
      </c>
      <c r="C724" s="10" t="s">
        <v>71</v>
      </c>
      <c r="D724" t="str" cm="1">
        <f t="array" ref="D724">INDEX($H$2:$H$35, MATCH(1, (A724 &gt;= $F$2:$F$35) * (A724 &lt;= $G$2:$G$35), 0))</f>
        <v>22-03-2025 to 28-03-2025</v>
      </c>
      <c r="E724" t="str">
        <f>IF(COUNTIF('Top5'!I:I, D724) &gt; 0, "Yes", "No")</f>
        <v>No</v>
      </c>
    </row>
    <row r="725" spans="1:5">
      <c r="A725" s="1">
        <v>45740</v>
      </c>
      <c r="B725" s="6">
        <v>0.62986111111111109</v>
      </c>
      <c r="C725" s="10" t="s">
        <v>71</v>
      </c>
      <c r="D725" t="str" cm="1">
        <f t="array" ref="D725">INDEX($H$2:$H$35, MATCH(1, (A725 &gt;= $F$2:$F$35) * (A725 &lt;= $G$2:$G$35), 0))</f>
        <v>22-03-2025 to 28-03-2025</v>
      </c>
      <c r="E725" t="str">
        <f>IF(COUNTIF('Top5'!I:I, D725) &gt; 0, "Yes", "No")</f>
        <v>No</v>
      </c>
    </row>
    <row r="726" spans="1:5">
      <c r="A726" s="1">
        <v>45740</v>
      </c>
      <c r="B726" s="6">
        <v>0.64027777777777772</v>
      </c>
      <c r="C726" s="10" t="s">
        <v>71</v>
      </c>
      <c r="D726" t="str" cm="1">
        <f t="array" ref="D726">INDEX($H$2:$H$35, MATCH(1, (A726 &gt;= $F$2:$F$35) * (A726 &lt;= $G$2:$G$35), 0))</f>
        <v>22-03-2025 to 28-03-2025</v>
      </c>
      <c r="E726" t="str">
        <f>IF(COUNTIF('Top5'!I:I, D726) &gt; 0, "Yes", "No")</f>
        <v>No</v>
      </c>
    </row>
    <row r="727" spans="1:5">
      <c r="A727" s="1">
        <v>45740</v>
      </c>
      <c r="B727" s="6">
        <v>0.65</v>
      </c>
      <c r="C727" s="10" t="s">
        <v>71</v>
      </c>
      <c r="D727" t="str" cm="1">
        <f t="array" ref="D727">INDEX($H$2:$H$35, MATCH(1, (A727 &gt;= $F$2:$F$35) * (A727 &lt;= $G$2:$G$35), 0))</f>
        <v>22-03-2025 to 28-03-2025</v>
      </c>
      <c r="E727" t="str">
        <f>IF(COUNTIF('Top5'!I:I, D727) &gt; 0, "Yes", "No")</f>
        <v>No</v>
      </c>
    </row>
    <row r="728" spans="1:5">
      <c r="A728" s="1">
        <v>45741</v>
      </c>
      <c r="B728" s="6">
        <v>0.50486111111111109</v>
      </c>
      <c r="C728" s="10" t="s">
        <v>71</v>
      </c>
      <c r="D728" t="str" cm="1">
        <f t="array" ref="D728">INDEX($H$2:$H$35, MATCH(1, (A728 &gt;= $F$2:$F$35) * (A728 &lt;= $G$2:$G$35), 0))</f>
        <v>22-03-2025 to 28-03-2025</v>
      </c>
      <c r="E728" t="str">
        <f>IF(COUNTIF('Top5'!I:I, D728) &gt; 0, "Yes", "No")</f>
        <v>No</v>
      </c>
    </row>
    <row r="729" spans="1:5">
      <c r="A729" s="1">
        <v>45741</v>
      </c>
      <c r="B729" s="6">
        <v>0.51944444444444449</v>
      </c>
      <c r="C729" s="10" t="s">
        <v>71</v>
      </c>
      <c r="D729" t="str" cm="1">
        <f t="array" ref="D729">INDEX($H$2:$H$35, MATCH(1, (A729 &gt;= $F$2:$F$35) * (A729 &lt;= $G$2:$G$35), 0))</f>
        <v>22-03-2025 to 28-03-2025</v>
      </c>
      <c r="E729" t="str">
        <f>IF(COUNTIF('Top5'!I:I, D729) &gt; 0, "Yes", "No")</f>
        <v>No</v>
      </c>
    </row>
    <row r="730" spans="1:5">
      <c r="A730" s="1">
        <v>45741</v>
      </c>
      <c r="B730" s="6">
        <v>0.54583333333333328</v>
      </c>
      <c r="C730" s="10" t="s">
        <v>71</v>
      </c>
      <c r="D730" t="str" cm="1">
        <f t="array" ref="D730">INDEX($H$2:$H$35, MATCH(1, (A730 &gt;= $F$2:$F$35) * (A730 &lt;= $G$2:$G$35), 0))</f>
        <v>22-03-2025 to 28-03-2025</v>
      </c>
      <c r="E730" t="str">
        <f>IF(COUNTIF('Top5'!I:I, D730) &gt; 0, "Yes", "No")</f>
        <v>No</v>
      </c>
    </row>
    <row r="731" spans="1:5">
      <c r="A731" s="1">
        <v>45741</v>
      </c>
      <c r="B731" s="6">
        <v>0.56319444444444444</v>
      </c>
      <c r="C731" s="10" t="s">
        <v>71</v>
      </c>
      <c r="D731" t="str" cm="1">
        <f t="array" ref="D731">INDEX($H$2:$H$35, MATCH(1, (A731 &gt;= $F$2:$F$35) * (A731 &lt;= $G$2:$G$35), 0))</f>
        <v>22-03-2025 to 28-03-2025</v>
      </c>
      <c r="E731" t="str">
        <f>IF(COUNTIF('Top5'!I:I, D731) &gt; 0, "Yes", "No")</f>
        <v>No</v>
      </c>
    </row>
    <row r="732" spans="1:5">
      <c r="A732" s="1">
        <v>45741</v>
      </c>
      <c r="B732" s="6">
        <v>0.56736111111111109</v>
      </c>
      <c r="C732" s="10" t="s">
        <v>71</v>
      </c>
      <c r="D732" t="str" cm="1">
        <f t="array" ref="D732">INDEX($H$2:$H$35, MATCH(1, (A732 &gt;= $F$2:$F$35) * (A732 &lt;= $G$2:$G$35), 0))</f>
        <v>22-03-2025 to 28-03-2025</v>
      </c>
      <c r="E732" t="str">
        <f>IF(COUNTIF('Top5'!I:I, D732) &gt; 0, "Yes", "No")</f>
        <v>No</v>
      </c>
    </row>
    <row r="733" spans="1:5">
      <c r="A733" s="1">
        <v>45741</v>
      </c>
      <c r="B733" s="6">
        <v>0.57361111111111107</v>
      </c>
      <c r="C733" s="10" t="s">
        <v>71</v>
      </c>
      <c r="D733" t="str" cm="1">
        <f t="array" ref="D733">INDEX($H$2:$H$35, MATCH(1, (A733 &gt;= $F$2:$F$35) * (A733 &lt;= $G$2:$G$35), 0))</f>
        <v>22-03-2025 to 28-03-2025</v>
      </c>
      <c r="E733" t="str">
        <f>IF(COUNTIF('Top5'!I:I, D733) &gt; 0, "Yes", "No")</f>
        <v>No</v>
      </c>
    </row>
    <row r="734" spans="1:5">
      <c r="A734" s="1">
        <v>45741</v>
      </c>
      <c r="B734" s="6">
        <v>0.5854166666666667</v>
      </c>
      <c r="C734" s="10" t="s">
        <v>71</v>
      </c>
      <c r="D734" t="str" cm="1">
        <f t="array" ref="D734">INDEX($H$2:$H$35, MATCH(1, (A734 &gt;= $F$2:$F$35) * (A734 &lt;= $G$2:$G$35), 0))</f>
        <v>22-03-2025 to 28-03-2025</v>
      </c>
      <c r="E734" t="str">
        <f>IF(COUNTIF('Top5'!I:I, D734) &gt; 0, "Yes", "No")</f>
        <v>No</v>
      </c>
    </row>
    <row r="735" spans="1:5">
      <c r="A735" s="1">
        <v>45742</v>
      </c>
      <c r="B735" s="6">
        <v>0.83472222222222225</v>
      </c>
      <c r="C735" s="10" t="s">
        <v>70</v>
      </c>
      <c r="D735" t="str" cm="1">
        <f t="array" ref="D735">INDEX($H$2:$H$35, MATCH(1, (A735 &gt;= $F$2:$F$35) * (A735 &lt;= $G$2:$G$35), 0))</f>
        <v>22-03-2025 to 28-03-2025</v>
      </c>
      <c r="E735" t="str">
        <f>IF(COUNTIF('Top5'!I:I, D735) &gt; 0, "Yes", "No")</f>
        <v>No</v>
      </c>
    </row>
    <row r="736" spans="1:5">
      <c r="A736" s="1">
        <v>45743</v>
      </c>
      <c r="B736" s="6">
        <v>0.40416666666666667</v>
      </c>
      <c r="C736" s="10" t="s">
        <v>22</v>
      </c>
      <c r="D736" t="str" cm="1">
        <f t="array" ref="D736">INDEX($H$2:$H$35, MATCH(1, (A736 &gt;= $F$2:$F$35) * (A736 &lt;= $G$2:$G$35), 0))</f>
        <v>22-03-2025 to 28-03-2025</v>
      </c>
      <c r="E736" t="str">
        <f>IF(COUNTIF('Top5'!I:I, D736) &gt; 0, "Yes", "No")</f>
        <v>No</v>
      </c>
    </row>
    <row r="737" spans="1:5">
      <c r="A737" s="1">
        <v>45743</v>
      </c>
      <c r="B737" s="6">
        <v>0.40763888888888888</v>
      </c>
      <c r="C737" s="10" t="s">
        <v>22</v>
      </c>
      <c r="D737" t="str" cm="1">
        <f t="array" ref="D737">INDEX($H$2:$H$35, MATCH(1, (A737 &gt;= $F$2:$F$35) * (A737 &lt;= $G$2:$G$35), 0))</f>
        <v>22-03-2025 to 28-03-2025</v>
      </c>
      <c r="E737" t="str">
        <f>IF(COUNTIF('Top5'!I:I, D737) &gt; 0, "Yes", "No")</f>
        <v>No</v>
      </c>
    </row>
    <row r="738" spans="1:5">
      <c r="A738" s="1">
        <v>45744</v>
      </c>
      <c r="B738" s="6">
        <v>1.3888888888888889E-3</v>
      </c>
      <c r="C738" s="10" t="s">
        <v>70</v>
      </c>
      <c r="D738" t="str" cm="1">
        <f t="array" ref="D738">INDEX($H$2:$H$35, MATCH(1, (A738 &gt;= $F$2:$F$35) * (A738 &lt;= $G$2:$G$35), 0))</f>
        <v>22-03-2025 to 28-03-2025</v>
      </c>
      <c r="E738" t="str">
        <f>IF(COUNTIF('Top5'!I:I, D738) &gt; 0, "Yes", "No")</f>
        <v>No</v>
      </c>
    </row>
    <row r="739" spans="1:5">
      <c r="A739" s="1">
        <v>45744</v>
      </c>
      <c r="B739" s="6">
        <v>0.45833333333333331</v>
      </c>
      <c r="C739" s="10" t="s">
        <v>22</v>
      </c>
      <c r="D739" t="str" cm="1">
        <f t="array" ref="D739">INDEX($H$2:$H$35, MATCH(1, (A739 &gt;= $F$2:$F$35) * (A739 &lt;= $G$2:$G$35), 0))</f>
        <v>22-03-2025 to 28-03-2025</v>
      </c>
      <c r="E739" t="str">
        <f>IF(COUNTIF('Top5'!I:I, D739) &gt; 0, "Yes", "No")</f>
        <v>No</v>
      </c>
    </row>
    <row r="740" spans="1:5">
      <c r="A740" s="1">
        <v>45744</v>
      </c>
      <c r="B740" s="6">
        <v>0.65902777777777777</v>
      </c>
      <c r="C740" s="10" t="s">
        <v>71</v>
      </c>
      <c r="D740" t="str" cm="1">
        <f t="array" ref="D740">INDEX($H$2:$H$35, MATCH(1, (A740 &gt;= $F$2:$F$35) * (A740 &lt;= $G$2:$G$35), 0))</f>
        <v>22-03-2025 to 28-03-2025</v>
      </c>
      <c r="E740" t="str">
        <f>IF(COUNTIF('Top5'!I:I, D740) &gt; 0, "Yes", "No")</f>
        <v>No</v>
      </c>
    </row>
    <row r="741" spans="1:5">
      <c r="A741" s="1">
        <v>45744</v>
      </c>
      <c r="B741" s="6">
        <v>0.66597222222222219</v>
      </c>
      <c r="C741" s="10" t="s">
        <v>71</v>
      </c>
      <c r="D741" t="str" cm="1">
        <f t="array" ref="D741">INDEX($H$2:$H$35, MATCH(1, (A741 &gt;= $F$2:$F$35) * (A741 &lt;= $G$2:$G$35), 0))</f>
        <v>22-03-2025 to 28-03-2025</v>
      </c>
      <c r="E741" t="str">
        <f>IF(COUNTIF('Top5'!I:I, D741) &gt; 0, "Yes", "No")</f>
        <v>No</v>
      </c>
    </row>
    <row r="742" spans="1:5">
      <c r="A742" s="1">
        <v>45744</v>
      </c>
      <c r="B742" s="6">
        <v>0.66666666666666663</v>
      </c>
      <c r="C742" s="10" t="s">
        <v>71</v>
      </c>
      <c r="D742" t="str" cm="1">
        <f t="array" ref="D742">INDEX($H$2:$H$35, MATCH(1, (A742 &gt;= $F$2:$F$35) * (A742 &lt;= $G$2:$G$35), 0))</f>
        <v>22-03-2025 to 28-03-2025</v>
      </c>
      <c r="E742" t="str">
        <f>IF(COUNTIF('Top5'!I:I, D742) &gt; 0, "Yes", "No")</f>
        <v>No</v>
      </c>
    </row>
    <row r="743" spans="1:5">
      <c r="A743" s="1">
        <v>45744</v>
      </c>
      <c r="B743" s="6">
        <v>0.71388888888888891</v>
      </c>
      <c r="C743" s="10" t="s">
        <v>70</v>
      </c>
      <c r="D743" t="str" cm="1">
        <f t="array" ref="D743">INDEX($H$2:$H$35, MATCH(1, (A743 &gt;= $F$2:$F$35) * (A743 &lt;= $G$2:$G$35), 0))</f>
        <v>22-03-2025 to 28-03-2025</v>
      </c>
      <c r="E743" t="str">
        <f>IF(COUNTIF('Top5'!I:I, D743) &gt; 0, "Yes", "No")</f>
        <v>No</v>
      </c>
    </row>
    <row r="744" spans="1:5">
      <c r="A744" s="1">
        <v>45744</v>
      </c>
      <c r="B744" s="6">
        <v>0.71666666666666667</v>
      </c>
      <c r="C744" s="10" t="s">
        <v>70</v>
      </c>
      <c r="D744" t="str" cm="1">
        <f t="array" ref="D744">INDEX($H$2:$H$35, MATCH(1, (A744 &gt;= $F$2:$F$35) * (A744 &lt;= $G$2:$G$35), 0))</f>
        <v>22-03-2025 to 28-03-2025</v>
      </c>
      <c r="E744" t="str">
        <f>IF(COUNTIF('Top5'!I:I, D744) &gt; 0, "Yes", "No")</f>
        <v>No</v>
      </c>
    </row>
    <row r="745" spans="1:5">
      <c r="A745" s="1">
        <v>45744</v>
      </c>
      <c r="B745" s="6">
        <v>0.75138888888888888</v>
      </c>
      <c r="C745" s="10" t="s">
        <v>70</v>
      </c>
      <c r="D745" t="str" cm="1">
        <f t="array" ref="D745">INDEX($H$2:$H$35, MATCH(1, (A745 &gt;= $F$2:$F$35) * (A745 &lt;= $G$2:$G$35), 0))</f>
        <v>22-03-2025 to 28-03-2025</v>
      </c>
      <c r="E745" t="str">
        <f>IF(COUNTIF('Top5'!I:I, D745) &gt; 0, "Yes", "No")</f>
        <v>No</v>
      </c>
    </row>
    <row r="746" spans="1:5">
      <c r="A746" s="1">
        <v>45744</v>
      </c>
      <c r="B746" s="6">
        <v>0.94722222222222219</v>
      </c>
      <c r="C746" s="10" t="s">
        <v>70</v>
      </c>
      <c r="D746" t="str" cm="1">
        <f t="array" ref="D746">INDEX($H$2:$H$35, MATCH(1, (A746 &gt;= $F$2:$F$35) * (A746 &lt;= $G$2:$G$35), 0))</f>
        <v>22-03-2025 to 28-03-2025</v>
      </c>
      <c r="E746" t="str">
        <f>IF(COUNTIF('Top5'!I:I, D746) &gt; 0, "Yes", "No")</f>
        <v>No</v>
      </c>
    </row>
    <row r="747" spans="1:5">
      <c r="A747" s="1">
        <v>45744</v>
      </c>
      <c r="B747" s="6">
        <v>0.94722222222222219</v>
      </c>
      <c r="C747" s="10" t="s">
        <v>70</v>
      </c>
      <c r="D747" t="str" cm="1">
        <f t="array" ref="D747">INDEX($H$2:$H$35, MATCH(1, (A747 &gt;= $F$2:$F$35) * (A747 &lt;= $G$2:$G$35), 0))</f>
        <v>22-03-2025 to 28-03-2025</v>
      </c>
      <c r="E747" t="str">
        <f>IF(COUNTIF('Top5'!I:I, D747) &gt; 0, "Yes", "No")</f>
        <v>No</v>
      </c>
    </row>
    <row r="748" spans="1:5">
      <c r="A748" s="1">
        <v>45745</v>
      </c>
      <c r="B748" s="6">
        <v>0.47499999999999998</v>
      </c>
      <c r="C748" s="10" t="s">
        <v>22</v>
      </c>
      <c r="D748" t="str" cm="1">
        <f t="array" ref="D748">INDEX($H$2:$H$35, MATCH(1, (A748 &gt;= $F$2:$F$35) * (A748 &lt;= $G$2:$G$35), 0))</f>
        <v>29-03-2025 to 31-03-2025</v>
      </c>
      <c r="E748" t="str">
        <f>IF(COUNTIF('Top5'!I:I, D748) &gt; 0, "Yes", "No")</f>
        <v>No</v>
      </c>
    </row>
    <row r="749" spans="1:5">
      <c r="A749" s="1">
        <v>45745</v>
      </c>
      <c r="B749" s="6">
        <v>0.48194444444444445</v>
      </c>
      <c r="C749" s="10" t="s">
        <v>22</v>
      </c>
      <c r="D749" t="str" cm="1">
        <f t="array" ref="D749">INDEX($H$2:$H$35, MATCH(1, (A749 &gt;= $F$2:$F$35) * (A749 &lt;= $G$2:$G$35), 0))</f>
        <v>29-03-2025 to 31-03-2025</v>
      </c>
      <c r="E749" t="str">
        <f>IF(COUNTIF('Top5'!I:I, D749) &gt; 0, "Yes", "No")</f>
        <v>No</v>
      </c>
    </row>
    <row r="750" spans="1:5">
      <c r="A750" s="1">
        <v>45745</v>
      </c>
      <c r="B750" s="6">
        <v>0.53125</v>
      </c>
      <c r="C750" s="10" t="s">
        <v>71</v>
      </c>
      <c r="D750" t="str" cm="1">
        <f t="array" ref="D750">INDEX($H$2:$H$35, MATCH(1, (A750 &gt;= $F$2:$F$35) * (A750 &lt;= $G$2:$G$35), 0))</f>
        <v>29-03-2025 to 31-03-2025</v>
      </c>
      <c r="E750" t="str">
        <f>IF(COUNTIF('Top5'!I:I, D750) &gt; 0, "Yes", "No")</f>
        <v>No</v>
      </c>
    </row>
    <row r="751" spans="1:5">
      <c r="A751" s="1">
        <v>45745</v>
      </c>
      <c r="B751" s="6">
        <v>0.53194444444444444</v>
      </c>
      <c r="C751" s="10" t="s">
        <v>71</v>
      </c>
      <c r="D751" t="str" cm="1">
        <f t="array" ref="D751">INDEX($H$2:$H$35, MATCH(1, (A751 &gt;= $F$2:$F$35) * (A751 &lt;= $G$2:$G$35), 0))</f>
        <v>29-03-2025 to 31-03-2025</v>
      </c>
      <c r="E751" t="str">
        <f>IF(COUNTIF('Top5'!I:I, D751) &gt; 0, "Yes", "No")</f>
        <v>No</v>
      </c>
    </row>
    <row r="752" spans="1:5">
      <c r="A752" s="1">
        <v>45745</v>
      </c>
      <c r="B752" s="6">
        <v>0.53402777777777777</v>
      </c>
      <c r="C752" s="10" t="s">
        <v>71</v>
      </c>
      <c r="D752" t="str" cm="1">
        <f t="array" ref="D752">INDEX($H$2:$H$35, MATCH(1, (A752 &gt;= $F$2:$F$35) * (A752 &lt;= $G$2:$G$35), 0))</f>
        <v>29-03-2025 to 31-03-2025</v>
      </c>
      <c r="E752" t="str">
        <f>IF(COUNTIF('Top5'!I:I, D752) &gt; 0, "Yes", "No")</f>
        <v>No</v>
      </c>
    </row>
    <row r="753" spans="1:5">
      <c r="A753" s="1">
        <v>45745</v>
      </c>
      <c r="B753" s="6">
        <v>0.75624999999999998</v>
      </c>
      <c r="C753" s="10" t="s">
        <v>70</v>
      </c>
      <c r="D753" t="str" cm="1">
        <f t="array" ref="D753">INDEX($H$2:$H$35, MATCH(1, (A753 &gt;= $F$2:$F$35) * (A753 &lt;= $G$2:$G$35), 0))</f>
        <v>29-03-2025 to 31-03-2025</v>
      </c>
      <c r="E753" t="str">
        <f>IF(COUNTIF('Top5'!I:I, D753) &gt; 0, "Yes", "No")</f>
        <v>No</v>
      </c>
    </row>
    <row r="754" spans="1:5">
      <c r="A754" s="1">
        <v>45746</v>
      </c>
      <c r="B754" s="6">
        <v>1.3888888888888889E-3</v>
      </c>
      <c r="C754" s="10" t="s">
        <v>70</v>
      </c>
      <c r="D754" t="str" cm="1">
        <f t="array" ref="D754">INDEX($H$2:$H$35, MATCH(1, (A754 &gt;= $F$2:$F$35) * (A754 &lt;= $G$2:$G$35), 0))</f>
        <v>29-03-2025 to 31-03-2025</v>
      </c>
      <c r="E754" t="str">
        <f>IF(COUNTIF('Top5'!I:I, D754) &gt; 0, "Yes", "No")</f>
        <v>No</v>
      </c>
    </row>
    <row r="755" spans="1:5">
      <c r="A755" s="1">
        <v>45746</v>
      </c>
      <c r="B755" s="6">
        <v>3.472222222222222E-3</v>
      </c>
      <c r="C755" s="10" t="s">
        <v>70</v>
      </c>
      <c r="D755" t="str" cm="1">
        <f t="array" ref="D755">INDEX($H$2:$H$35, MATCH(1, (A755 &gt;= $F$2:$F$35) * (A755 &lt;= $G$2:$G$35), 0))</f>
        <v>29-03-2025 to 31-03-2025</v>
      </c>
      <c r="E755" t="str">
        <f>IF(COUNTIF('Top5'!I:I, D755) &gt; 0, "Yes", "No")</f>
        <v>No</v>
      </c>
    </row>
    <row r="756" spans="1:5">
      <c r="A756" s="1">
        <v>45746</v>
      </c>
      <c r="B756" s="6">
        <v>6.2500000000000003E-3</v>
      </c>
      <c r="C756" s="10" t="s">
        <v>70</v>
      </c>
      <c r="D756" t="str" cm="1">
        <f t="array" ref="D756">INDEX($H$2:$H$35, MATCH(1, (A756 &gt;= $F$2:$F$35) * (A756 &lt;= $G$2:$G$35), 0))</f>
        <v>29-03-2025 to 31-03-2025</v>
      </c>
      <c r="E756" t="str">
        <f>IF(COUNTIF('Top5'!I:I, D756) &gt; 0, "Yes", "No")</f>
        <v>No</v>
      </c>
    </row>
    <row r="757" spans="1:5">
      <c r="A757" s="1">
        <v>45746</v>
      </c>
      <c r="B757" s="6">
        <v>6.2500000000000003E-3</v>
      </c>
      <c r="C757" s="10" t="s">
        <v>70</v>
      </c>
      <c r="D757" t="str" cm="1">
        <f t="array" ref="D757">INDEX($H$2:$H$35, MATCH(1, (A757 &gt;= $F$2:$F$35) * (A757 &lt;= $G$2:$G$35), 0))</f>
        <v>29-03-2025 to 31-03-2025</v>
      </c>
      <c r="E757" t="str">
        <f>IF(COUNTIF('Top5'!I:I, D757) &gt; 0, "Yes", "No")</f>
        <v>No</v>
      </c>
    </row>
    <row r="758" spans="1:5">
      <c r="A758" s="1">
        <v>45746</v>
      </c>
      <c r="B758" s="6">
        <v>7.6388888888888886E-3</v>
      </c>
      <c r="C758" s="10" t="s">
        <v>70</v>
      </c>
      <c r="D758" t="str" cm="1">
        <f t="array" ref="D758">INDEX($H$2:$H$35, MATCH(1, (A758 &gt;= $F$2:$F$35) * (A758 &lt;= $G$2:$G$35), 0))</f>
        <v>29-03-2025 to 31-03-2025</v>
      </c>
      <c r="E758" t="str">
        <f>IF(COUNTIF('Top5'!I:I, D758) &gt; 0, "Yes", "No")</f>
        <v>No</v>
      </c>
    </row>
    <row r="759" spans="1:5">
      <c r="A759" s="1">
        <v>45746</v>
      </c>
      <c r="B759" s="6">
        <v>7.6388888888888886E-3</v>
      </c>
      <c r="C759" s="10" t="s">
        <v>70</v>
      </c>
      <c r="D759" t="str" cm="1">
        <f t="array" ref="D759">INDEX($H$2:$H$35, MATCH(1, (A759 &gt;= $F$2:$F$35) * (A759 &lt;= $G$2:$G$35), 0))</f>
        <v>29-03-2025 to 31-03-2025</v>
      </c>
      <c r="E759" t="str">
        <f>IF(COUNTIF('Top5'!I:I, D759) &gt; 0, "Yes", "No")</f>
        <v>No</v>
      </c>
    </row>
    <row r="760" spans="1:5">
      <c r="A760" s="1">
        <v>45746</v>
      </c>
      <c r="B760" s="6">
        <v>1.1805555555555555E-2</v>
      </c>
      <c r="C760" s="10" t="s">
        <v>70</v>
      </c>
      <c r="D760" t="str" cm="1">
        <f t="array" ref="D760">INDEX($H$2:$H$35, MATCH(1, (A760 &gt;= $F$2:$F$35) * (A760 &lt;= $G$2:$G$35), 0))</f>
        <v>29-03-2025 to 31-03-2025</v>
      </c>
      <c r="E760" t="str">
        <f>IF(COUNTIF('Top5'!I:I, D760) &gt; 0, "Yes", "No")</f>
        <v>No</v>
      </c>
    </row>
    <row r="761" spans="1:5">
      <c r="A761" s="1">
        <v>45746</v>
      </c>
      <c r="B761" s="6">
        <v>1.2500000000000001E-2</v>
      </c>
      <c r="C761" s="10" t="s">
        <v>70</v>
      </c>
      <c r="D761" t="str" cm="1">
        <f t="array" ref="D761">INDEX($H$2:$H$35, MATCH(1, (A761 &gt;= $F$2:$F$35) * (A761 &lt;= $G$2:$G$35), 0))</f>
        <v>29-03-2025 to 31-03-2025</v>
      </c>
      <c r="E761" t="str">
        <f>IF(COUNTIF('Top5'!I:I, D761) &gt; 0, "Yes", "No")</f>
        <v>No</v>
      </c>
    </row>
    <row r="762" spans="1:5">
      <c r="A762" s="1">
        <v>45746</v>
      </c>
      <c r="B762" s="6">
        <v>1.7361111111111112E-2</v>
      </c>
      <c r="C762" s="10" t="s">
        <v>70</v>
      </c>
      <c r="D762" t="str" cm="1">
        <f t="array" ref="D762">INDEX($H$2:$H$35, MATCH(1, (A762 &gt;= $F$2:$F$35) * (A762 &lt;= $G$2:$G$35), 0))</f>
        <v>29-03-2025 to 31-03-2025</v>
      </c>
      <c r="E762" t="str">
        <f>IF(COUNTIF('Top5'!I:I, D762) &gt; 0, "Yes", "No")</f>
        <v>No</v>
      </c>
    </row>
    <row r="763" spans="1:5">
      <c r="A763" s="1">
        <v>45746</v>
      </c>
      <c r="B763" s="6">
        <v>0.61250000000000004</v>
      </c>
      <c r="C763" s="10" t="s">
        <v>71</v>
      </c>
      <c r="D763" t="str" cm="1">
        <f t="array" ref="D763">INDEX($H$2:$H$35, MATCH(1, (A763 &gt;= $F$2:$F$35) * (A763 &lt;= $G$2:$G$35), 0))</f>
        <v>29-03-2025 to 31-03-2025</v>
      </c>
      <c r="E763" t="str">
        <f>IF(COUNTIF('Top5'!I:I, D763) &gt; 0, "Yes", "No")</f>
        <v>No</v>
      </c>
    </row>
    <row r="764" spans="1:5">
      <c r="A764" s="1">
        <v>45746</v>
      </c>
      <c r="B764" s="6">
        <v>0.69027777777777777</v>
      </c>
      <c r="C764" s="10" t="s">
        <v>71</v>
      </c>
      <c r="D764" t="str" cm="1">
        <f t="array" ref="D764">INDEX($H$2:$H$35, MATCH(1, (A764 &gt;= $F$2:$F$35) * (A764 &lt;= $G$2:$G$35), 0))</f>
        <v>29-03-2025 to 31-03-2025</v>
      </c>
      <c r="E764" t="str">
        <f>IF(COUNTIF('Top5'!I:I, D764) &gt; 0, "Yes", "No")</f>
        <v>No</v>
      </c>
    </row>
    <row r="765" spans="1:5">
      <c r="A765" s="1">
        <v>45746</v>
      </c>
      <c r="B765" s="6">
        <v>0.7104166666666667</v>
      </c>
      <c r="C765" s="10" t="s">
        <v>70</v>
      </c>
      <c r="D765" t="str" cm="1">
        <f t="array" ref="D765">INDEX($H$2:$H$35, MATCH(1, (A765 &gt;= $F$2:$F$35) * (A765 &lt;= $G$2:$G$35), 0))</f>
        <v>29-03-2025 to 31-03-2025</v>
      </c>
      <c r="E765" t="str">
        <f>IF(COUNTIF('Top5'!I:I, D765) &gt; 0, "Yes", "No")</f>
        <v>No</v>
      </c>
    </row>
    <row r="766" spans="1:5">
      <c r="A766" s="1">
        <v>45746</v>
      </c>
      <c r="B766" s="6">
        <v>0.71111111111111114</v>
      </c>
      <c r="C766" s="10" t="s">
        <v>70</v>
      </c>
      <c r="D766" t="str" cm="1">
        <f t="array" ref="D766">INDEX($H$2:$H$35, MATCH(1, (A766 &gt;= $F$2:$F$35) * (A766 &lt;= $G$2:$G$35), 0))</f>
        <v>29-03-2025 to 31-03-2025</v>
      </c>
      <c r="E766" t="str">
        <f>IF(COUNTIF('Top5'!I:I, D766) &gt; 0, "Yes", "No")</f>
        <v>No</v>
      </c>
    </row>
    <row r="767" spans="1:5">
      <c r="A767" s="1">
        <v>45746</v>
      </c>
      <c r="B767" s="6">
        <v>0.73888888888888893</v>
      </c>
      <c r="C767" s="10" t="s">
        <v>70</v>
      </c>
      <c r="D767" t="str" cm="1">
        <f t="array" ref="D767">INDEX($H$2:$H$35, MATCH(1, (A767 &gt;= $F$2:$F$35) * (A767 &lt;= $G$2:$G$35), 0))</f>
        <v>29-03-2025 to 31-03-2025</v>
      </c>
      <c r="E767" t="str">
        <f>IF(COUNTIF('Top5'!I:I, D767) &gt; 0, "Yes", "No")</f>
        <v>No</v>
      </c>
    </row>
    <row r="768" spans="1:5">
      <c r="A768" s="1">
        <v>45746</v>
      </c>
      <c r="B768" s="6">
        <v>0.95763888888888893</v>
      </c>
      <c r="C768" s="10" t="s">
        <v>70</v>
      </c>
      <c r="D768" t="str" cm="1">
        <f t="array" ref="D768">INDEX($H$2:$H$35, MATCH(1, (A768 &gt;= $F$2:$F$35) * (A768 &lt;= $G$2:$G$35), 0))</f>
        <v>29-03-2025 to 31-03-2025</v>
      </c>
      <c r="E768" t="str">
        <f>IF(COUNTIF('Top5'!I:I, D768) &gt; 0, "Yes", "No")</f>
        <v>No</v>
      </c>
    </row>
    <row r="769" spans="1:5">
      <c r="A769" s="1">
        <v>45746</v>
      </c>
      <c r="B769" s="6">
        <v>0.98958333333333337</v>
      </c>
      <c r="C769" s="10" t="s">
        <v>70</v>
      </c>
      <c r="D769" t="str" cm="1">
        <f t="array" ref="D769">INDEX($H$2:$H$35, MATCH(1, (A769 &gt;= $F$2:$F$35) * (A769 &lt;= $G$2:$G$35), 0))</f>
        <v>29-03-2025 to 31-03-2025</v>
      </c>
      <c r="E769" t="str">
        <f>IF(COUNTIF('Top5'!I:I, D769) &gt; 0, "Yes", "No")</f>
        <v>No</v>
      </c>
    </row>
    <row r="770" spans="1:5">
      <c r="A770" s="1">
        <v>45746</v>
      </c>
      <c r="B770" s="6">
        <v>0.99027777777777781</v>
      </c>
      <c r="C770" s="10" t="s">
        <v>70</v>
      </c>
      <c r="D770" t="str" cm="1">
        <f t="array" ref="D770">INDEX($H$2:$H$35, MATCH(1, (A770 &gt;= $F$2:$F$35) * (A770 &lt;= $G$2:$G$35), 0))</f>
        <v>29-03-2025 to 31-03-2025</v>
      </c>
      <c r="E770" t="str">
        <f>IF(COUNTIF('Top5'!I:I, D770) &gt; 0, "Yes", "No")</f>
        <v>No</v>
      </c>
    </row>
    <row r="771" spans="1:5">
      <c r="A771" s="1">
        <v>45747</v>
      </c>
      <c r="B771" s="6">
        <v>0.62013888888888891</v>
      </c>
      <c r="C771" s="10" t="s">
        <v>71</v>
      </c>
      <c r="D771" t="str" cm="1">
        <f t="array" ref="D771">INDEX($H$2:$H$35, MATCH(1, (A771 &gt;= $F$2:$F$35) * (A771 &lt;= $G$2:$G$35), 0))</f>
        <v>29-03-2025 to 31-03-2025</v>
      </c>
      <c r="E771" t="str">
        <f>IF(COUNTIF('Top5'!I:I, D771) &gt; 0, "Yes", "No")</f>
        <v>No</v>
      </c>
    </row>
    <row r="772" spans="1:5">
      <c r="A772" s="1">
        <v>45747</v>
      </c>
      <c r="B772" s="6">
        <v>0.89722222222222225</v>
      </c>
      <c r="C772" s="10" t="s">
        <v>70</v>
      </c>
      <c r="D772" t="str" cm="1">
        <f t="array" ref="D772">INDEX($H$2:$H$35, MATCH(1, (A772 &gt;= $F$2:$F$35) * (A772 &lt;= $G$2:$G$35), 0))</f>
        <v>29-03-2025 to 31-03-2025</v>
      </c>
      <c r="E772" t="str">
        <f>IF(COUNTIF('Top5'!I:I, D772) &gt; 0, "Yes", "No")</f>
        <v>No</v>
      </c>
    </row>
    <row r="773" spans="1:5">
      <c r="A773" s="1">
        <v>45747</v>
      </c>
      <c r="B773" s="6">
        <v>0.91805555555555551</v>
      </c>
      <c r="C773" s="10" t="s">
        <v>70</v>
      </c>
      <c r="D773" t="str" cm="1">
        <f t="array" ref="D773">INDEX($H$2:$H$35, MATCH(1, (A773 &gt;= $F$2:$F$35) * (A773 &lt;= $G$2:$G$35), 0))</f>
        <v>29-03-2025 to 31-03-2025</v>
      </c>
      <c r="E773" t="str">
        <f>IF(COUNTIF('Top5'!I:I, D773) &gt; 0, "Yes", "No")</f>
        <v>No</v>
      </c>
    </row>
    <row r="774" spans="1:5">
      <c r="A774" s="1">
        <v>45747</v>
      </c>
      <c r="B774" s="6">
        <v>0.92361111111111116</v>
      </c>
      <c r="C774" s="10" t="s">
        <v>70</v>
      </c>
      <c r="D774" t="str" cm="1">
        <f t="array" ref="D774">INDEX($H$2:$H$35, MATCH(1, (A774 &gt;= $F$2:$F$35) * (A774 &lt;= $G$2:$G$35), 0))</f>
        <v>29-03-2025 to 31-03-2025</v>
      </c>
      <c r="E774" t="str">
        <f>IF(COUNTIF('Top5'!I:I, D774) &gt; 0, "Yes", "No")</f>
        <v>No</v>
      </c>
    </row>
    <row r="775" spans="1:5">
      <c r="A775" s="1">
        <v>45748</v>
      </c>
      <c r="B775" s="6">
        <v>0.40902777777777777</v>
      </c>
      <c r="C775" s="10" t="s">
        <v>22</v>
      </c>
      <c r="D775" t="str" cm="1">
        <f t="array" ref="D775">INDEX($H$2:$H$35, MATCH(1, (A775 &gt;= $F$2:$F$35) * (A775 &lt;= $G$2:$G$35), 0))</f>
        <v>01-04-2025 to 07-04-2025</v>
      </c>
      <c r="E775" t="str">
        <f>IF(COUNTIF('Top5'!I:I, D775) &gt; 0, "Yes", "No")</f>
        <v>Yes</v>
      </c>
    </row>
    <row r="776" spans="1:5">
      <c r="A776" s="1">
        <v>45748</v>
      </c>
      <c r="B776" s="6">
        <v>0.40972222222222221</v>
      </c>
      <c r="C776" s="10" t="s">
        <v>22</v>
      </c>
      <c r="D776" t="str" cm="1">
        <f t="array" ref="D776">INDEX($H$2:$H$35, MATCH(1, (A776 &gt;= $F$2:$F$35) * (A776 &lt;= $G$2:$G$35), 0))</f>
        <v>01-04-2025 to 07-04-2025</v>
      </c>
      <c r="E776" t="str">
        <f>IF(COUNTIF('Top5'!I:I, D776) &gt; 0, "Yes", "No")</f>
        <v>Yes</v>
      </c>
    </row>
    <row r="777" spans="1:5">
      <c r="A777" s="1">
        <v>45748</v>
      </c>
      <c r="B777" s="6">
        <v>0.41041666666666665</v>
      </c>
      <c r="C777" s="10" t="s">
        <v>22</v>
      </c>
      <c r="D777" t="str" cm="1">
        <f t="array" ref="D777">INDEX($H$2:$H$35, MATCH(1, (A777 &gt;= $F$2:$F$35) * (A777 &lt;= $G$2:$G$35), 0))</f>
        <v>01-04-2025 to 07-04-2025</v>
      </c>
      <c r="E777" t="str">
        <f>IF(COUNTIF('Top5'!I:I, D777) &gt; 0, "Yes", "No")</f>
        <v>Yes</v>
      </c>
    </row>
    <row r="778" spans="1:5">
      <c r="A778" s="1">
        <v>45748</v>
      </c>
      <c r="B778" s="6">
        <v>0.70208333333333328</v>
      </c>
      <c r="C778" s="10" t="s">
        <v>71</v>
      </c>
      <c r="D778" t="str" cm="1">
        <f t="array" ref="D778">INDEX($H$2:$H$35, MATCH(1, (A778 &gt;= $F$2:$F$35) * (A778 &lt;= $G$2:$G$35), 0))</f>
        <v>01-04-2025 to 07-04-2025</v>
      </c>
      <c r="E778" t="str">
        <f>IF(COUNTIF('Top5'!I:I, D778) &gt; 0, "Yes", "No")</f>
        <v>Yes</v>
      </c>
    </row>
    <row r="779" spans="1:5">
      <c r="A779" s="1">
        <v>45749</v>
      </c>
      <c r="B779" s="6">
        <v>0.66180555555555554</v>
      </c>
      <c r="C779" s="10" t="s">
        <v>71</v>
      </c>
      <c r="D779" t="str" cm="1">
        <f t="array" ref="D779">INDEX($H$2:$H$35, MATCH(1, (A779 &gt;= $F$2:$F$35) * (A779 &lt;= $G$2:$G$35), 0))</f>
        <v>01-04-2025 to 07-04-2025</v>
      </c>
      <c r="E779" t="str">
        <f>IF(COUNTIF('Top5'!I:I, D779) &gt; 0, "Yes", "No")</f>
        <v>Yes</v>
      </c>
    </row>
    <row r="780" spans="1:5">
      <c r="A780" s="1">
        <v>45749</v>
      </c>
      <c r="B780" s="6">
        <v>0.66319444444444442</v>
      </c>
      <c r="C780" s="10" t="s">
        <v>71</v>
      </c>
      <c r="D780" t="str" cm="1">
        <f t="array" ref="D780">INDEX($H$2:$H$35, MATCH(1, (A780 &gt;= $F$2:$F$35) * (A780 &lt;= $G$2:$G$35), 0))</f>
        <v>01-04-2025 to 07-04-2025</v>
      </c>
      <c r="E780" t="str">
        <f>IF(COUNTIF('Top5'!I:I, D780) &gt; 0, "Yes", "No")</f>
        <v>Yes</v>
      </c>
    </row>
    <row r="781" spans="1:5">
      <c r="A781" s="1">
        <v>45749</v>
      </c>
      <c r="B781" s="6">
        <v>0.66319444444444442</v>
      </c>
      <c r="C781" s="10" t="s">
        <v>71</v>
      </c>
      <c r="D781" t="str" cm="1">
        <f t="array" ref="D781">INDEX($H$2:$H$35, MATCH(1, (A781 &gt;= $F$2:$F$35) * (A781 &lt;= $G$2:$G$35), 0))</f>
        <v>01-04-2025 to 07-04-2025</v>
      </c>
      <c r="E781" t="str">
        <f>IF(COUNTIF('Top5'!I:I, D781) &gt; 0, "Yes", "No")</f>
        <v>Yes</v>
      </c>
    </row>
    <row r="782" spans="1:5">
      <c r="A782" s="1">
        <v>45749</v>
      </c>
      <c r="B782" s="6">
        <v>0.90902777777777777</v>
      </c>
      <c r="C782" s="10" t="s">
        <v>70</v>
      </c>
      <c r="D782" t="str" cm="1">
        <f t="array" ref="D782">INDEX($H$2:$H$35, MATCH(1, (A782 &gt;= $F$2:$F$35) * (A782 &lt;= $G$2:$G$35), 0))</f>
        <v>01-04-2025 to 07-04-2025</v>
      </c>
      <c r="E782" t="str">
        <f>IF(COUNTIF('Top5'!I:I, D782) &gt; 0, "Yes", "No")</f>
        <v>Yes</v>
      </c>
    </row>
    <row r="783" spans="1:5">
      <c r="A783" s="1">
        <v>45750</v>
      </c>
      <c r="B783" s="6">
        <v>0.43263888888888891</v>
      </c>
      <c r="C783" s="10" t="s">
        <v>22</v>
      </c>
      <c r="D783" t="str" cm="1">
        <f t="array" ref="D783">INDEX($H$2:$H$35, MATCH(1, (A783 &gt;= $F$2:$F$35) * (A783 &lt;= $G$2:$G$35), 0))</f>
        <v>01-04-2025 to 07-04-2025</v>
      </c>
      <c r="E783" t="str">
        <f>IF(COUNTIF('Top5'!I:I, D783) &gt; 0, "Yes", "No")</f>
        <v>Yes</v>
      </c>
    </row>
    <row r="784" spans="1:5">
      <c r="A784" s="1">
        <v>45750</v>
      </c>
      <c r="B784" s="6">
        <v>0.48680555555555555</v>
      </c>
      <c r="C784" s="10" t="s">
        <v>22</v>
      </c>
      <c r="D784" t="str" cm="1">
        <f t="array" ref="D784">INDEX($H$2:$H$35, MATCH(1, (A784 &gt;= $F$2:$F$35) * (A784 &lt;= $G$2:$G$35), 0))</f>
        <v>01-04-2025 to 07-04-2025</v>
      </c>
      <c r="E784" t="str">
        <f>IF(COUNTIF('Top5'!I:I, D784) &gt; 0, "Yes", "No")</f>
        <v>Yes</v>
      </c>
    </row>
    <row r="785" spans="1:5">
      <c r="A785" s="1">
        <v>45750</v>
      </c>
      <c r="B785" s="6">
        <v>0.50069444444444444</v>
      </c>
      <c r="C785" s="10" t="s">
        <v>71</v>
      </c>
      <c r="D785" t="str" cm="1">
        <f t="array" ref="D785">INDEX($H$2:$H$35, MATCH(1, (A785 &gt;= $F$2:$F$35) * (A785 &lt;= $G$2:$G$35), 0))</f>
        <v>01-04-2025 to 07-04-2025</v>
      </c>
      <c r="E785" t="str">
        <f>IF(COUNTIF('Top5'!I:I, D785) &gt; 0, "Yes", "No")</f>
        <v>Yes</v>
      </c>
    </row>
    <row r="786" spans="1:5">
      <c r="A786" s="1">
        <v>45750</v>
      </c>
      <c r="B786" s="6">
        <v>0.51111111111111107</v>
      </c>
      <c r="C786" s="10" t="s">
        <v>71</v>
      </c>
      <c r="D786" t="str" cm="1">
        <f t="array" ref="D786">INDEX($H$2:$H$35, MATCH(1, (A786 &gt;= $F$2:$F$35) * (A786 &lt;= $G$2:$G$35), 0))</f>
        <v>01-04-2025 to 07-04-2025</v>
      </c>
      <c r="E786" t="str">
        <f>IF(COUNTIF('Top5'!I:I, D786) &gt; 0, "Yes", "No")</f>
        <v>Yes</v>
      </c>
    </row>
    <row r="787" spans="1:5">
      <c r="A787" s="1">
        <v>45750</v>
      </c>
      <c r="B787" s="6">
        <v>0.51180555555555551</v>
      </c>
      <c r="C787" s="10" t="s">
        <v>71</v>
      </c>
      <c r="D787" t="str" cm="1">
        <f t="array" ref="D787">INDEX($H$2:$H$35, MATCH(1, (A787 &gt;= $F$2:$F$35) * (A787 &lt;= $G$2:$G$35), 0))</f>
        <v>01-04-2025 to 07-04-2025</v>
      </c>
      <c r="E787" t="str">
        <f>IF(COUNTIF('Top5'!I:I, D787) &gt; 0, "Yes", "No")</f>
        <v>Yes</v>
      </c>
    </row>
    <row r="788" spans="1:5">
      <c r="A788" s="1">
        <v>45750</v>
      </c>
      <c r="B788" s="6">
        <v>0.57222222222222219</v>
      </c>
      <c r="C788" s="10" t="s">
        <v>71</v>
      </c>
      <c r="D788" t="str" cm="1">
        <f t="array" ref="D788">INDEX($H$2:$H$35, MATCH(1, (A788 &gt;= $F$2:$F$35) * (A788 &lt;= $G$2:$G$35), 0))</f>
        <v>01-04-2025 to 07-04-2025</v>
      </c>
      <c r="E788" t="str">
        <f>IF(COUNTIF('Top5'!I:I, D788) &gt; 0, "Yes", "No")</f>
        <v>Yes</v>
      </c>
    </row>
    <row r="789" spans="1:5">
      <c r="A789" s="1">
        <v>45750</v>
      </c>
      <c r="B789" s="6">
        <v>0.74375000000000002</v>
      </c>
      <c r="C789" s="10" t="s">
        <v>70</v>
      </c>
      <c r="D789" t="str" cm="1">
        <f t="array" ref="D789">INDEX($H$2:$H$35, MATCH(1, (A789 &gt;= $F$2:$F$35) * (A789 &lt;= $G$2:$G$35), 0))</f>
        <v>01-04-2025 to 07-04-2025</v>
      </c>
      <c r="E789" t="str">
        <f>IF(COUNTIF('Top5'!I:I, D789) &gt; 0, "Yes", "No")</f>
        <v>Yes</v>
      </c>
    </row>
    <row r="790" spans="1:5">
      <c r="A790" s="1">
        <v>45750</v>
      </c>
      <c r="B790" s="6">
        <v>0.76458333333333328</v>
      </c>
      <c r="C790" s="10" t="s">
        <v>70</v>
      </c>
      <c r="D790" t="str" cm="1">
        <f t="array" ref="D790">INDEX($H$2:$H$35, MATCH(1, (A790 &gt;= $F$2:$F$35) * (A790 &lt;= $G$2:$G$35), 0))</f>
        <v>01-04-2025 to 07-04-2025</v>
      </c>
      <c r="E790" t="str">
        <f>IF(COUNTIF('Top5'!I:I, D790) &gt; 0, "Yes", "No")</f>
        <v>Yes</v>
      </c>
    </row>
    <row r="791" spans="1:5">
      <c r="A791" s="1">
        <v>45750</v>
      </c>
      <c r="B791" s="6">
        <v>0.77152777777777781</v>
      </c>
      <c r="C791" s="10" t="s">
        <v>70</v>
      </c>
      <c r="D791" t="str" cm="1">
        <f t="array" ref="D791">INDEX($H$2:$H$35, MATCH(1, (A791 &gt;= $F$2:$F$35) * (A791 &lt;= $G$2:$G$35), 0))</f>
        <v>01-04-2025 to 07-04-2025</v>
      </c>
      <c r="E791" t="str">
        <f>IF(COUNTIF('Top5'!I:I, D791) &gt; 0, "Yes", "No")</f>
        <v>Yes</v>
      </c>
    </row>
    <row r="792" spans="1:5">
      <c r="A792" s="1">
        <v>45750</v>
      </c>
      <c r="B792" s="6">
        <v>0.81736111111111109</v>
      </c>
      <c r="C792" s="10" t="s">
        <v>70</v>
      </c>
      <c r="D792" t="str" cm="1">
        <f t="array" ref="D792">INDEX($H$2:$H$35, MATCH(1, (A792 &gt;= $F$2:$F$35) * (A792 &lt;= $G$2:$G$35), 0))</f>
        <v>01-04-2025 to 07-04-2025</v>
      </c>
      <c r="E792" t="str">
        <f>IF(COUNTIF('Top5'!I:I, D792) &gt; 0, "Yes", "No")</f>
        <v>Yes</v>
      </c>
    </row>
    <row r="793" spans="1:5">
      <c r="A793" s="1">
        <v>45750</v>
      </c>
      <c r="B793" s="6">
        <v>0.88194444444444442</v>
      </c>
      <c r="C793" s="10" t="s">
        <v>70</v>
      </c>
      <c r="D793" t="str" cm="1">
        <f t="array" ref="D793">INDEX($H$2:$H$35, MATCH(1, (A793 &gt;= $F$2:$F$35) * (A793 &lt;= $G$2:$G$35), 0))</f>
        <v>01-04-2025 to 07-04-2025</v>
      </c>
      <c r="E793" t="str">
        <f>IF(COUNTIF('Top5'!I:I, D793) &gt; 0, "Yes", "No")</f>
        <v>Yes</v>
      </c>
    </row>
    <row r="794" spans="1:5">
      <c r="A794" s="1">
        <v>45751</v>
      </c>
      <c r="B794" s="6">
        <v>1.1111111111111112E-2</v>
      </c>
      <c r="C794" s="10" t="s">
        <v>70</v>
      </c>
      <c r="D794" t="str" cm="1">
        <f t="array" ref="D794">INDEX($H$2:$H$35, MATCH(1, (A794 &gt;= $F$2:$F$35) * (A794 &lt;= $G$2:$G$35), 0))</f>
        <v>01-04-2025 to 07-04-2025</v>
      </c>
      <c r="E794" t="str">
        <f>IF(COUNTIF('Top5'!I:I, D794) &gt; 0, "Yes", "No")</f>
        <v>Yes</v>
      </c>
    </row>
    <row r="795" spans="1:5">
      <c r="A795" s="1">
        <v>45751</v>
      </c>
      <c r="B795" s="6">
        <v>1.1111111111111112E-2</v>
      </c>
      <c r="C795" s="10" t="s">
        <v>70</v>
      </c>
      <c r="D795" t="str" cm="1">
        <f t="array" ref="D795">INDEX($H$2:$H$35, MATCH(1, (A795 &gt;= $F$2:$F$35) * (A795 &lt;= $G$2:$G$35), 0))</f>
        <v>01-04-2025 to 07-04-2025</v>
      </c>
      <c r="E795" t="str">
        <f>IF(COUNTIF('Top5'!I:I, D795) &gt; 0, "Yes", "No")</f>
        <v>Yes</v>
      </c>
    </row>
    <row r="796" spans="1:5">
      <c r="A796" s="1">
        <v>45751</v>
      </c>
      <c r="B796" s="6">
        <v>0.7368055555555556</v>
      </c>
      <c r="C796" s="10" t="s">
        <v>70</v>
      </c>
      <c r="D796" t="str" cm="1">
        <f t="array" ref="D796">INDEX($H$2:$H$35, MATCH(1, (A796 &gt;= $F$2:$F$35) * (A796 &lt;= $G$2:$G$35), 0))</f>
        <v>01-04-2025 to 07-04-2025</v>
      </c>
      <c r="E796" t="str">
        <f>IF(COUNTIF('Top5'!I:I, D796) &gt; 0, "Yes", "No")</f>
        <v>Yes</v>
      </c>
    </row>
    <row r="797" spans="1:5">
      <c r="A797" s="1">
        <v>45751</v>
      </c>
      <c r="B797" s="6">
        <v>0.89652777777777781</v>
      </c>
      <c r="C797" s="10" t="s">
        <v>70</v>
      </c>
      <c r="D797" t="str" cm="1">
        <f t="array" ref="D797">INDEX($H$2:$H$35, MATCH(1, (A797 &gt;= $F$2:$F$35) * (A797 &lt;= $G$2:$G$35), 0))</f>
        <v>01-04-2025 to 07-04-2025</v>
      </c>
      <c r="E797" t="str">
        <f>IF(COUNTIF('Top5'!I:I, D797) &gt; 0, "Yes", "No")</f>
        <v>Yes</v>
      </c>
    </row>
    <row r="798" spans="1:5">
      <c r="A798" s="1">
        <v>45752</v>
      </c>
      <c r="B798" s="6">
        <v>0.41944444444444445</v>
      </c>
      <c r="C798" s="10" t="s">
        <v>22</v>
      </c>
      <c r="D798" t="str" cm="1">
        <f t="array" ref="D798">INDEX($H$2:$H$35, MATCH(1, (A798 &gt;= $F$2:$F$35) * (A798 &lt;= $G$2:$G$35), 0))</f>
        <v>01-04-2025 to 07-04-2025</v>
      </c>
      <c r="E798" t="str">
        <f>IF(COUNTIF('Top5'!I:I, D798) &gt; 0, "Yes", "No")</f>
        <v>Yes</v>
      </c>
    </row>
    <row r="799" spans="1:5">
      <c r="A799" s="1">
        <v>45752</v>
      </c>
      <c r="B799" s="6">
        <v>0.42291666666666666</v>
      </c>
      <c r="C799" s="10" t="s">
        <v>22</v>
      </c>
      <c r="D799" t="str" cm="1">
        <f t="array" ref="D799">INDEX($H$2:$H$35, MATCH(1, (A799 &gt;= $F$2:$F$35) * (A799 &lt;= $G$2:$G$35), 0))</f>
        <v>01-04-2025 to 07-04-2025</v>
      </c>
      <c r="E799" t="str">
        <f>IF(COUNTIF('Top5'!I:I, D799) &gt; 0, "Yes", "No")</f>
        <v>Yes</v>
      </c>
    </row>
    <row r="800" spans="1:5">
      <c r="A800" s="1">
        <v>45752</v>
      </c>
      <c r="B800" s="6">
        <v>0.49861111111111112</v>
      </c>
      <c r="C800" s="10" t="s">
        <v>22</v>
      </c>
      <c r="D800" t="str" cm="1">
        <f t="array" ref="D800">INDEX($H$2:$H$35, MATCH(1, (A800 &gt;= $F$2:$F$35) * (A800 &lt;= $G$2:$G$35), 0))</f>
        <v>01-04-2025 to 07-04-2025</v>
      </c>
      <c r="E800" t="str">
        <f>IF(COUNTIF('Top5'!I:I, D800) &gt; 0, "Yes", "No")</f>
        <v>Yes</v>
      </c>
    </row>
    <row r="801" spans="1:5">
      <c r="A801" s="1">
        <v>45752</v>
      </c>
      <c r="B801" s="6">
        <v>0.53402777777777777</v>
      </c>
      <c r="C801" s="10" t="s">
        <v>71</v>
      </c>
      <c r="D801" t="str" cm="1">
        <f t="array" ref="D801">INDEX($H$2:$H$35, MATCH(1, (A801 &gt;= $F$2:$F$35) * (A801 &lt;= $G$2:$G$35), 0))</f>
        <v>01-04-2025 to 07-04-2025</v>
      </c>
      <c r="E801" t="str">
        <f>IF(COUNTIF('Top5'!I:I, D801) &gt; 0, "Yes", "No")</f>
        <v>Yes</v>
      </c>
    </row>
    <row r="802" spans="1:5">
      <c r="A802" s="1">
        <v>45752</v>
      </c>
      <c r="B802" s="6">
        <v>0.53541666666666665</v>
      </c>
      <c r="C802" s="10" t="s">
        <v>71</v>
      </c>
      <c r="D802" t="str" cm="1">
        <f t="array" ref="D802">INDEX($H$2:$H$35, MATCH(1, (A802 &gt;= $F$2:$F$35) * (A802 &lt;= $G$2:$G$35), 0))</f>
        <v>01-04-2025 to 07-04-2025</v>
      </c>
      <c r="E802" t="str">
        <f>IF(COUNTIF('Top5'!I:I, D802) &gt; 0, "Yes", "No")</f>
        <v>Yes</v>
      </c>
    </row>
    <row r="803" spans="1:5">
      <c r="A803" s="1">
        <v>45752</v>
      </c>
      <c r="B803" s="6">
        <v>0.53819444444444442</v>
      </c>
      <c r="C803" s="10" t="s">
        <v>71</v>
      </c>
      <c r="D803" t="str" cm="1">
        <f t="array" ref="D803">INDEX($H$2:$H$35, MATCH(1, (A803 &gt;= $F$2:$F$35) * (A803 &lt;= $G$2:$G$35), 0))</f>
        <v>01-04-2025 to 07-04-2025</v>
      </c>
      <c r="E803" t="str">
        <f>IF(COUNTIF('Top5'!I:I, D803) &gt; 0, "Yes", "No")</f>
        <v>Yes</v>
      </c>
    </row>
    <row r="804" spans="1:5">
      <c r="A804" s="1">
        <v>45752</v>
      </c>
      <c r="B804" s="6">
        <v>0.59930555555555554</v>
      </c>
      <c r="C804" s="10" t="s">
        <v>71</v>
      </c>
      <c r="D804" t="str" cm="1">
        <f t="array" ref="D804">INDEX($H$2:$H$35, MATCH(1, (A804 &gt;= $F$2:$F$35) * (A804 &lt;= $G$2:$G$35), 0))</f>
        <v>01-04-2025 to 07-04-2025</v>
      </c>
      <c r="E804" t="str">
        <f>IF(COUNTIF('Top5'!I:I, D804) &gt; 0, "Yes", "No")</f>
        <v>Yes</v>
      </c>
    </row>
    <row r="805" spans="1:5">
      <c r="A805" s="1">
        <v>45752</v>
      </c>
      <c r="B805" s="6">
        <v>0.79027777777777775</v>
      </c>
      <c r="C805" s="10" t="s">
        <v>70</v>
      </c>
      <c r="D805" t="str" cm="1">
        <f t="array" ref="D805">INDEX($H$2:$H$35, MATCH(1, (A805 &gt;= $F$2:$F$35) * (A805 &lt;= $G$2:$G$35), 0))</f>
        <v>01-04-2025 to 07-04-2025</v>
      </c>
      <c r="E805" t="str">
        <f>IF(COUNTIF('Top5'!I:I, D805) &gt; 0, "Yes", "No")</f>
        <v>Yes</v>
      </c>
    </row>
    <row r="806" spans="1:5">
      <c r="A806" s="1">
        <v>45752</v>
      </c>
      <c r="B806" s="6">
        <v>0.87638888888888888</v>
      </c>
      <c r="C806" s="10" t="s">
        <v>70</v>
      </c>
      <c r="D806" t="str" cm="1">
        <f t="array" ref="D806">INDEX($H$2:$H$35, MATCH(1, (A806 &gt;= $F$2:$F$35) * (A806 &lt;= $G$2:$G$35), 0))</f>
        <v>01-04-2025 to 07-04-2025</v>
      </c>
      <c r="E806" t="str">
        <f>IF(COUNTIF('Top5'!I:I, D806) &gt; 0, "Yes", "No")</f>
        <v>Yes</v>
      </c>
    </row>
    <row r="807" spans="1:5">
      <c r="A807" s="1">
        <v>45752</v>
      </c>
      <c r="B807" s="6">
        <v>0.88055555555555554</v>
      </c>
      <c r="C807" s="10" t="s">
        <v>70</v>
      </c>
      <c r="D807" t="str" cm="1">
        <f t="array" ref="D807">INDEX($H$2:$H$35, MATCH(1, (A807 &gt;= $F$2:$F$35) * (A807 &lt;= $G$2:$G$35), 0))</f>
        <v>01-04-2025 to 07-04-2025</v>
      </c>
      <c r="E807" t="str">
        <f>IF(COUNTIF('Top5'!I:I, D807) &gt; 0, "Yes", "No")</f>
        <v>Yes</v>
      </c>
    </row>
    <row r="808" spans="1:5">
      <c r="A808" s="1">
        <v>45753</v>
      </c>
      <c r="B808" s="6">
        <v>0.38124999999999998</v>
      </c>
      <c r="C808" s="10" t="s">
        <v>22</v>
      </c>
      <c r="D808" t="str" cm="1">
        <f t="array" ref="D808">INDEX($H$2:$H$35, MATCH(1, (A808 &gt;= $F$2:$F$35) * (A808 &lt;= $G$2:$G$35), 0))</f>
        <v>01-04-2025 to 07-04-2025</v>
      </c>
      <c r="E808" t="str">
        <f>IF(COUNTIF('Top5'!I:I, D808) &gt; 0, "Yes", "No")</f>
        <v>Yes</v>
      </c>
    </row>
    <row r="809" spans="1:5">
      <c r="A809" s="1">
        <v>45753</v>
      </c>
      <c r="B809" s="6">
        <v>0.38194444444444442</v>
      </c>
      <c r="C809" s="10" t="s">
        <v>22</v>
      </c>
      <c r="D809" t="str" cm="1">
        <f t="array" ref="D809">INDEX($H$2:$H$35, MATCH(1, (A809 &gt;= $F$2:$F$35) * (A809 &lt;= $G$2:$G$35), 0))</f>
        <v>01-04-2025 to 07-04-2025</v>
      </c>
      <c r="E809" t="str">
        <f>IF(COUNTIF('Top5'!I:I, D809) &gt; 0, "Yes", "No")</f>
        <v>Yes</v>
      </c>
    </row>
    <row r="810" spans="1:5">
      <c r="A810" s="1">
        <v>45753</v>
      </c>
      <c r="B810" s="6">
        <v>0.38263888888888886</v>
      </c>
      <c r="C810" s="10" t="s">
        <v>22</v>
      </c>
      <c r="D810" t="str" cm="1">
        <f t="array" ref="D810">INDEX($H$2:$H$35, MATCH(1, (A810 &gt;= $F$2:$F$35) * (A810 &lt;= $G$2:$G$35), 0))</f>
        <v>01-04-2025 to 07-04-2025</v>
      </c>
      <c r="E810" t="str">
        <f>IF(COUNTIF('Top5'!I:I, D810) &gt; 0, "Yes", "No")</f>
        <v>Yes</v>
      </c>
    </row>
    <row r="811" spans="1:5">
      <c r="A811" s="1">
        <v>45753</v>
      </c>
      <c r="B811" s="6">
        <v>0.60972222222222228</v>
      </c>
      <c r="C811" s="10" t="s">
        <v>71</v>
      </c>
      <c r="D811" t="str" cm="1">
        <f t="array" ref="D811">INDEX($H$2:$H$35, MATCH(1, (A811 &gt;= $F$2:$F$35) * (A811 &lt;= $G$2:$G$35), 0))</f>
        <v>01-04-2025 to 07-04-2025</v>
      </c>
      <c r="E811" t="str">
        <f>IF(COUNTIF('Top5'!I:I, D811) &gt; 0, "Yes", "No")</f>
        <v>Yes</v>
      </c>
    </row>
    <row r="812" spans="1:5">
      <c r="A812" s="1">
        <v>45753</v>
      </c>
      <c r="B812" s="6">
        <v>0.69305555555555554</v>
      </c>
      <c r="C812" s="10" t="s">
        <v>71</v>
      </c>
      <c r="D812" t="str" cm="1">
        <f t="array" ref="D812">INDEX($H$2:$H$35, MATCH(1, (A812 &gt;= $F$2:$F$35) * (A812 &lt;= $G$2:$G$35), 0))</f>
        <v>01-04-2025 to 07-04-2025</v>
      </c>
      <c r="E812" t="str">
        <f>IF(COUNTIF('Top5'!I:I, D812) &gt; 0, "Yes", "No")</f>
        <v>Yes</v>
      </c>
    </row>
    <row r="813" spans="1:5">
      <c r="A813" s="1">
        <v>45753</v>
      </c>
      <c r="B813" s="6">
        <v>0.69652777777777775</v>
      </c>
      <c r="C813" s="10" t="s">
        <v>71</v>
      </c>
      <c r="D813" t="str" cm="1">
        <f t="array" ref="D813">INDEX($H$2:$H$35, MATCH(1, (A813 &gt;= $F$2:$F$35) * (A813 &lt;= $G$2:$G$35), 0))</f>
        <v>01-04-2025 to 07-04-2025</v>
      </c>
      <c r="E813" t="str">
        <f>IF(COUNTIF('Top5'!I:I, D813) &gt; 0, "Yes", "No")</f>
        <v>Yes</v>
      </c>
    </row>
    <row r="814" spans="1:5">
      <c r="A814" s="1">
        <v>45753</v>
      </c>
      <c r="B814" s="6">
        <v>0.98402777777777772</v>
      </c>
      <c r="C814" s="10" t="s">
        <v>70</v>
      </c>
      <c r="D814" t="str" cm="1">
        <f t="array" ref="D814">INDEX($H$2:$H$35, MATCH(1, (A814 &gt;= $F$2:$F$35) * (A814 &lt;= $G$2:$G$35), 0))</f>
        <v>01-04-2025 to 07-04-2025</v>
      </c>
      <c r="E814" t="str">
        <f>IF(COUNTIF('Top5'!I:I, D814) &gt; 0, "Yes", "No")</f>
        <v>Yes</v>
      </c>
    </row>
    <row r="815" spans="1:5">
      <c r="A815" s="1">
        <v>45753</v>
      </c>
      <c r="B815" s="6">
        <v>0.99097222222222225</v>
      </c>
      <c r="C815" s="10" t="s">
        <v>70</v>
      </c>
      <c r="D815" t="str" cm="1">
        <f t="array" ref="D815">INDEX($H$2:$H$35, MATCH(1, (A815 &gt;= $F$2:$F$35) * (A815 &lt;= $G$2:$G$35), 0))</f>
        <v>01-04-2025 to 07-04-2025</v>
      </c>
      <c r="E815" t="str">
        <f>IF(COUNTIF('Top5'!I:I, D815) &gt; 0, "Yes", "No")</f>
        <v>Yes</v>
      </c>
    </row>
    <row r="816" spans="1:5">
      <c r="A816" s="1">
        <v>45753</v>
      </c>
      <c r="B816" s="6">
        <v>0.99236111111111114</v>
      </c>
      <c r="C816" s="10" t="s">
        <v>70</v>
      </c>
      <c r="D816" t="str" cm="1">
        <f t="array" ref="D816">INDEX($H$2:$H$35, MATCH(1, (A816 &gt;= $F$2:$F$35) * (A816 &lt;= $G$2:$G$35), 0))</f>
        <v>01-04-2025 to 07-04-2025</v>
      </c>
      <c r="E816" t="str">
        <f>IF(COUNTIF('Top5'!I:I, D816) &gt; 0, "Yes", "No")</f>
        <v>Yes</v>
      </c>
    </row>
    <row r="817" spans="1:5">
      <c r="A817" s="1">
        <v>45753</v>
      </c>
      <c r="B817" s="6">
        <v>0.99375000000000002</v>
      </c>
      <c r="C817" s="10" t="s">
        <v>70</v>
      </c>
      <c r="D817" t="str" cm="1">
        <f t="array" ref="D817">INDEX($H$2:$H$35, MATCH(1, (A817 &gt;= $F$2:$F$35) * (A817 &lt;= $G$2:$G$35), 0))</f>
        <v>01-04-2025 to 07-04-2025</v>
      </c>
      <c r="E817" t="str">
        <f>IF(COUNTIF('Top5'!I:I, D817) &gt; 0, "Yes", "No")</f>
        <v>Yes</v>
      </c>
    </row>
    <row r="818" spans="1:5">
      <c r="A818" s="1">
        <v>45753</v>
      </c>
      <c r="B818" s="6">
        <v>0.99513888888888891</v>
      </c>
      <c r="C818" s="10" t="s">
        <v>70</v>
      </c>
      <c r="D818" t="str" cm="1">
        <f t="array" ref="D818">INDEX($H$2:$H$35, MATCH(1, (A818 &gt;= $F$2:$F$35) * (A818 &lt;= $G$2:$G$35), 0))</f>
        <v>01-04-2025 to 07-04-2025</v>
      </c>
      <c r="E818" t="str">
        <f>IF(COUNTIF('Top5'!I:I, D818) &gt; 0, "Yes", "No")</f>
        <v>Yes</v>
      </c>
    </row>
    <row r="819" spans="1:5">
      <c r="A819" s="1">
        <v>45754</v>
      </c>
      <c r="B819" s="6">
        <v>1.3888888888888889E-3</v>
      </c>
      <c r="C819" s="10" t="s">
        <v>70</v>
      </c>
      <c r="D819" t="str" cm="1">
        <f t="array" ref="D819">INDEX($H$2:$H$35, MATCH(1, (A819 &gt;= $F$2:$F$35) * (A819 &lt;= $G$2:$G$35), 0))</f>
        <v>01-04-2025 to 07-04-2025</v>
      </c>
      <c r="E819" t="str">
        <f>IF(COUNTIF('Top5'!I:I, D819) &gt; 0, "Yes", "No")</f>
        <v>Yes</v>
      </c>
    </row>
    <row r="820" spans="1:5">
      <c r="A820" s="1">
        <v>45754</v>
      </c>
      <c r="B820" s="6">
        <v>7.6388888888888886E-3</v>
      </c>
      <c r="C820" s="10" t="s">
        <v>70</v>
      </c>
      <c r="D820" t="str" cm="1">
        <f t="array" ref="D820">INDEX($H$2:$H$35, MATCH(1, (A820 &gt;= $F$2:$F$35) * (A820 &lt;= $G$2:$G$35), 0))</f>
        <v>01-04-2025 to 07-04-2025</v>
      </c>
      <c r="E820" t="str">
        <f>IF(COUNTIF('Top5'!I:I, D820) &gt; 0, "Yes", "No")</f>
        <v>Yes</v>
      </c>
    </row>
    <row r="821" spans="1:5">
      <c r="A821" s="1">
        <v>45754</v>
      </c>
      <c r="B821" s="6">
        <v>0.75138888888888888</v>
      </c>
      <c r="C821" s="10" t="s">
        <v>70</v>
      </c>
      <c r="D821" t="str" cm="1">
        <f t="array" ref="D821">INDEX($H$2:$H$35, MATCH(1, (A821 &gt;= $F$2:$F$35) * (A821 &lt;= $G$2:$G$35), 0))</f>
        <v>01-04-2025 to 07-04-2025</v>
      </c>
      <c r="E821" t="str">
        <f>IF(COUNTIF('Top5'!I:I, D821) &gt; 0, "Yes", "No")</f>
        <v>Yes</v>
      </c>
    </row>
    <row r="822" spans="1:5">
      <c r="A822" s="1">
        <v>45754</v>
      </c>
      <c r="B822" s="6">
        <v>0.75416666666666665</v>
      </c>
      <c r="C822" s="10" t="s">
        <v>70</v>
      </c>
      <c r="D822" t="str" cm="1">
        <f t="array" ref="D822">INDEX($H$2:$H$35, MATCH(1, (A822 &gt;= $F$2:$F$35) * (A822 &lt;= $G$2:$G$35), 0))</f>
        <v>01-04-2025 to 07-04-2025</v>
      </c>
      <c r="E822" t="str">
        <f>IF(COUNTIF('Top5'!I:I, D822) &gt; 0, "Yes", "No")</f>
        <v>Yes</v>
      </c>
    </row>
    <row r="823" spans="1:5">
      <c r="A823" s="1">
        <v>45754</v>
      </c>
      <c r="B823" s="6">
        <v>0.77986111111111112</v>
      </c>
      <c r="C823" s="10" t="s">
        <v>70</v>
      </c>
      <c r="D823" t="str" cm="1">
        <f t="array" ref="D823">INDEX($H$2:$H$35, MATCH(1, (A823 &gt;= $F$2:$F$35) * (A823 &lt;= $G$2:$G$35), 0))</f>
        <v>01-04-2025 to 07-04-2025</v>
      </c>
      <c r="E823" t="str">
        <f>IF(COUNTIF('Top5'!I:I, D823) &gt; 0, "Yes", "No")</f>
        <v>Yes</v>
      </c>
    </row>
    <row r="824" spans="1:5">
      <c r="A824" s="1">
        <v>45754</v>
      </c>
      <c r="B824" s="6">
        <v>0.98124999999999996</v>
      </c>
      <c r="C824" s="10" t="s">
        <v>70</v>
      </c>
      <c r="D824" t="str" cm="1">
        <f t="array" ref="D824">INDEX($H$2:$H$35, MATCH(1, (A824 &gt;= $F$2:$F$35) * (A824 &lt;= $G$2:$G$35), 0))</f>
        <v>01-04-2025 to 07-04-2025</v>
      </c>
      <c r="E824" t="str">
        <f>IF(COUNTIF('Top5'!I:I, D824) &gt; 0, "Yes", "No")</f>
        <v>Yes</v>
      </c>
    </row>
    <row r="825" spans="1:5">
      <c r="A825" s="1">
        <v>45754</v>
      </c>
      <c r="B825" s="6">
        <v>0.9819444444444444</v>
      </c>
      <c r="C825" s="10" t="s">
        <v>70</v>
      </c>
      <c r="D825" t="str" cm="1">
        <f t="array" ref="D825">INDEX($H$2:$H$35, MATCH(1, (A825 &gt;= $F$2:$F$35) * (A825 &lt;= $G$2:$G$35), 0))</f>
        <v>01-04-2025 to 07-04-2025</v>
      </c>
      <c r="E825" t="str">
        <f>IF(COUNTIF('Top5'!I:I, D825) &gt; 0, "Yes", "No")</f>
        <v>Yes</v>
      </c>
    </row>
    <row r="826" spans="1:5">
      <c r="A826" s="1">
        <v>45754</v>
      </c>
      <c r="B826" s="6">
        <v>0.98263888888888884</v>
      </c>
      <c r="C826" s="10" t="s">
        <v>70</v>
      </c>
      <c r="D826" t="str" cm="1">
        <f t="array" ref="D826">INDEX($H$2:$H$35, MATCH(1, (A826 &gt;= $F$2:$F$35) * (A826 &lt;= $G$2:$G$35), 0))</f>
        <v>01-04-2025 to 07-04-2025</v>
      </c>
      <c r="E826" t="str">
        <f>IF(COUNTIF('Top5'!I:I, D826) &gt; 0, "Yes", "No")</f>
        <v>Yes</v>
      </c>
    </row>
    <row r="827" spans="1:5">
      <c r="A827" s="1">
        <v>45755</v>
      </c>
      <c r="B827" s="6">
        <v>0.4375</v>
      </c>
      <c r="C827" s="10" t="s">
        <v>22</v>
      </c>
      <c r="D827" t="str" cm="1">
        <f t="array" ref="D827">INDEX($H$2:$H$35, MATCH(1, (A827 &gt;= $F$2:$F$35) * (A827 &lt;= $G$2:$G$35), 0))</f>
        <v>08-04-2025 to 14-04-2025</v>
      </c>
      <c r="E827" t="str">
        <f>IF(COUNTIF('Top5'!I:I, D827) &gt; 0, "Yes", "No")</f>
        <v>No</v>
      </c>
    </row>
    <row r="828" spans="1:5">
      <c r="A828" s="1">
        <v>45755</v>
      </c>
      <c r="B828" s="6">
        <v>0.4513888888888889</v>
      </c>
      <c r="C828" s="10" t="s">
        <v>22</v>
      </c>
      <c r="D828" t="str" cm="1">
        <f t="array" ref="D828">INDEX($H$2:$H$35, MATCH(1, (A828 &gt;= $F$2:$F$35) * (A828 &lt;= $G$2:$G$35), 0))</f>
        <v>08-04-2025 to 14-04-2025</v>
      </c>
      <c r="E828" t="str">
        <f>IF(COUNTIF('Top5'!I:I, D828) &gt; 0, "Yes", "No")</f>
        <v>No</v>
      </c>
    </row>
    <row r="829" spans="1:5">
      <c r="A829" s="1">
        <v>45755</v>
      </c>
      <c r="B829" s="6">
        <v>0.5541666666666667</v>
      </c>
      <c r="C829" s="10" t="s">
        <v>71</v>
      </c>
      <c r="D829" t="str" cm="1">
        <f t="array" ref="D829">INDEX($H$2:$H$35, MATCH(1, (A829 &gt;= $F$2:$F$35) * (A829 &lt;= $G$2:$G$35), 0))</f>
        <v>08-04-2025 to 14-04-2025</v>
      </c>
      <c r="E829" t="str">
        <f>IF(COUNTIF('Top5'!I:I, D829) &gt; 0, "Yes", "No")</f>
        <v>No</v>
      </c>
    </row>
    <row r="830" spans="1:5">
      <c r="A830" s="1">
        <v>45755</v>
      </c>
      <c r="B830" s="6">
        <v>0.5805555555555556</v>
      </c>
      <c r="C830" s="10" t="s">
        <v>71</v>
      </c>
      <c r="D830" t="str" cm="1">
        <f t="array" ref="D830">INDEX($H$2:$H$35, MATCH(1, (A830 &gt;= $F$2:$F$35) * (A830 &lt;= $G$2:$G$35), 0))</f>
        <v>08-04-2025 to 14-04-2025</v>
      </c>
      <c r="E830" t="str">
        <f>IF(COUNTIF('Top5'!I:I, D830) &gt; 0, "Yes", "No")</f>
        <v>No</v>
      </c>
    </row>
    <row r="831" spans="1:5">
      <c r="A831" s="1">
        <v>45755</v>
      </c>
      <c r="B831" s="6">
        <v>0.73750000000000004</v>
      </c>
      <c r="C831" s="10" t="s">
        <v>70</v>
      </c>
      <c r="D831" t="str" cm="1">
        <f t="array" ref="D831">INDEX($H$2:$H$35, MATCH(1, (A831 &gt;= $F$2:$F$35) * (A831 &lt;= $G$2:$G$35), 0))</f>
        <v>08-04-2025 to 14-04-2025</v>
      </c>
      <c r="E831" t="str">
        <f>IF(COUNTIF('Top5'!I:I, D831) &gt; 0, "Yes", "No")</f>
        <v>No</v>
      </c>
    </row>
    <row r="832" spans="1:5">
      <c r="A832" s="1">
        <v>45755</v>
      </c>
      <c r="B832" s="6">
        <v>0.94791666666666663</v>
      </c>
      <c r="C832" s="10" t="s">
        <v>70</v>
      </c>
      <c r="D832" t="str" cm="1">
        <f t="array" ref="D832">INDEX($H$2:$H$35, MATCH(1, (A832 &gt;= $F$2:$F$35) * (A832 &lt;= $G$2:$G$35), 0))</f>
        <v>08-04-2025 to 14-04-2025</v>
      </c>
      <c r="E832" t="str">
        <f>IF(COUNTIF('Top5'!I:I, D832) &gt; 0, "Yes", "No")</f>
        <v>No</v>
      </c>
    </row>
    <row r="833" spans="1:5">
      <c r="A833" s="1">
        <v>45755</v>
      </c>
      <c r="B833" s="6">
        <v>0.94861111111111107</v>
      </c>
      <c r="C833" s="10" t="s">
        <v>70</v>
      </c>
      <c r="D833" t="str" cm="1">
        <f t="array" ref="D833">INDEX($H$2:$H$35, MATCH(1, (A833 &gt;= $F$2:$F$35) * (A833 &lt;= $G$2:$G$35), 0))</f>
        <v>08-04-2025 to 14-04-2025</v>
      </c>
      <c r="E833" t="str">
        <f>IF(COUNTIF('Top5'!I:I, D833) &gt; 0, "Yes", "No")</f>
        <v>No</v>
      </c>
    </row>
    <row r="834" spans="1:5">
      <c r="A834" s="1">
        <v>45756</v>
      </c>
      <c r="B834" s="6">
        <v>0.375</v>
      </c>
      <c r="C834" s="10" t="s">
        <v>22</v>
      </c>
      <c r="D834" t="str" cm="1">
        <f t="array" ref="D834">INDEX($H$2:$H$35, MATCH(1, (A834 &gt;= $F$2:$F$35) * (A834 &lt;= $G$2:$G$35), 0))</f>
        <v>08-04-2025 to 14-04-2025</v>
      </c>
      <c r="E834" t="str">
        <f>IF(COUNTIF('Top5'!I:I, D834) &gt; 0, "Yes", "No")</f>
        <v>No</v>
      </c>
    </row>
    <row r="835" spans="1:5">
      <c r="A835" s="1">
        <v>45756</v>
      </c>
      <c r="B835" s="6">
        <v>0.41388888888888886</v>
      </c>
      <c r="C835" s="10" t="s">
        <v>22</v>
      </c>
      <c r="D835" t="str" cm="1">
        <f t="array" ref="D835">INDEX($H$2:$H$35, MATCH(1, (A835 &gt;= $F$2:$F$35) * (A835 &lt;= $G$2:$G$35), 0))</f>
        <v>08-04-2025 to 14-04-2025</v>
      </c>
      <c r="E835" t="str">
        <f>IF(COUNTIF('Top5'!I:I, D835) &gt; 0, "Yes", "No")</f>
        <v>No</v>
      </c>
    </row>
    <row r="836" spans="1:5">
      <c r="A836" s="1">
        <v>45756</v>
      </c>
      <c r="B836" s="6">
        <v>0.41458333333333336</v>
      </c>
      <c r="C836" s="10" t="s">
        <v>22</v>
      </c>
      <c r="D836" t="str" cm="1">
        <f t="array" ref="D836">INDEX($H$2:$H$35, MATCH(1, (A836 &gt;= $F$2:$F$35) * (A836 &lt;= $G$2:$G$35), 0))</f>
        <v>08-04-2025 to 14-04-2025</v>
      </c>
      <c r="E836" t="str">
        <f>IF(COUNTIF('Top5'!I:I, D836) &gt; 0, "Yes", "No")</f>
        <v>No</v>
      </c>
    </row>
    <row r="837" spans="1:5">
      <c r="A837" s="1">
        <v>45756</v>
      </c>
      <c r="B837" s="6">
        <v>0.4152777777777778</v>
      </c>
      <c r="C837" s="10" t="s">
        <v>22</v>
      </c>
      <c r="D837" t="str" cm="1">
        <f t="array" ref="D837">INDEX($H$2:$H$35, MATCH(1, (A837 &gt;= $F$2:$F$35) * (A837 &lt;= $G$2:$G$35), 0))</f>
        <v>08-04-2025 to 14-04-2025</v>
      </c>
      <c r="E837" t="str">
        <f>IF(COUNTIF('Top5'!I:I, D837) &gt; 0, "Yes", "No")</f>
        <v>No</v>
      </c>
    </row>
    <row r="838" spans="1:5">
      <c r="A838" s="1">
        <v>45756</v>
      </c>
      <c r="B838" s="6">
        <v>0.42083333333333334</v>
      </c>
      <c r="C838" s="10" t="s">
        <v>22</v>
      </c>
      <c r="D838" t="str" cm="1">
        <f t="array" ref="D838">INDEX($H$2:$H$35, MATCH(1, (A838 &gt;= $F$2:$F$35) * (A838 &lt;= $G$2:$G$35), 0))</f>
        <v>08-04-2025 to 14-04-2025</v>
      </c>
      <c r="E838" t="str">
        <f>IF(COUNTIF('Top5'!I:I, D838) &gt; 0, "Yes", "No")</f>
        <v>No</v>
      </c>
    </row>
    <row r="839" spans="1:5">
      <c r="A839" s="1">
        <v>45756</v>
      </c>
      <c r="B839" s="6">
        <v>0.42499999999999999</v>
      </c>
      <c r="C839" s="10" t="s">
        <v>22</v>
      </c>
      <c r="D839" t="str" cm="1">
        <f t="array" ref="D839">INDEX($H$2:$H$35, MATCH(1, (A839 &gt;= $F$2:$F$35) * (A839 &lt;= $G$2:$G$35), 0))</f>
        <v>08-04-2025 to 14-04-2025</v>
      </c>
      <c r="E839" t="str">
        <f>IF(COUNTIF('Top5'!I:I, D839) &gt; 0, "Yes", "No")</f>
        <v>No</v>
      </c>
    </row>
    <row r="840" spans="1:5">
      <c r="A840" s="1">
        <v>45756</v>
      </c>
      <c r="B840" s="6">
        <v>0.51458333333333328</v>
      </c>
      <c r="C840" s="10" t="s">
        <v>71</v>
      </c>
      <c r="D840" t="str" cm="1">
        <f t="array" ref="D840">INDEX($H$2:$H$35, MATCH(1, (A840 &gt;= $F$2:$F$35) * (A840 &lt;= $G$2:$G$35), 0))</f>
        <v>08-04-2025 to 14-04-2025</v>
      </c>
      <c r="E840" t="str">
        <f>IF(COUNTIF('Top5'!I:I, D840) &gt; 0, "Yes", "No")</f>
        <v>No</v>
      </c>
    </row>
    <row r="841" spans="1:5">
      <c r="A841" s="1">
        <v>45756</v>
      </c>
      <c r="B841" s="6">
        <v>0.64166666666666672</v>
      </c>
      <c r="C841" s="10" t="s">
        <v>71</v>
      </c>
      <c r="D841" t="str" cm="1">
        <f t="array" ref="D841">INDEX($H$2:$H$35, MATCH(1, (A841 &gt;= $F$2:$F$35) * (A841 &lt;= $G$2:$G$35), 0))</f>
        <v>08-04-2025 to 14-04-2025</v>
      </c>
      <c r="E841" t="str">
        <f>IF(COUNTIF('Top5'!I:I, D841) &gt; 0, "Yes", "No")</f>
        <v>No</v>
      </c>
    </row>
    <row r="842" spans="1:5">
      <c r="A842" s="1">
        <v>45756</v>
      </c>
      <c r="B842" s="6">
        <v>0.64513888888888893</v>
      </c>
      <c r="C842" s="10" t="s">
        <v>71</v>
      </c>
      <c r="D842" t="str" cm="1">
        <f t="array" ref="D842">INDEX($H$2:$H$35, MATCH(1, (A842 &gt;= $F$2:$F$35) * (A842 &lt;= $G$2:$G$35), 0))</f>
        <v>08-04-2025 to 14-04-2025</v>
      </c>
      <c r="E842" t="str">
        <f>IF(COUNTIF('Top5'!I:I, D842) &gt; 0, "Yes", "No")</f>
        <v>No</v>
      </c>
    </row>
    <row r="843" spans="1:5">
      <c r="A843" s="1">
        <v>45756</v>
      </c>
      <c r="B843" s="6">
        <v>0.74236111111111114</v>
      </c>
      <c r="C843" s="10" t="s">
        <v>70</v>
      </c>
      <c r="D843" t="str" cm="1">
        <f t="array" ref="D843">INDEX($H$2:$H$35, MATCH(1, (A843 &gt;= $F$2:$F$35) * (A843 &lt;= $G$2:$G$35), 0))</f>
        <v>08-04-2025 to 14-04-2025</v>
      </c>
      <c r="E843" t="str">
        <f>IF(COUNTIF('Top5'!I:I, D843) &gt; 0, "Yes", "No")</f>
        <v>No</v>
      </c>
    </row>
    <row r="844" spans="1:5">
      <c r="A844" s="1">
        <v>45756</v>
      </c>
      <c r="B844" s="6">
        <v>0.75069444444444444</v>
      </c>
      <c r="C844" s="10" t="s">
        <v>70</v>
      </c>
      <c r="D844" t="str" cm="1">
        <f t="array" ref="D844">INDEX($H$2:$H$35, MATCH(1, (A844 &gt;= $F$2:$F$35) * (A844 &lt;= $G$2:$G$35), 0))</f>
        <v>08-04-2025 to 14-04-2025</v>
      </c>
      <c r="E844" t="str">
        <f>IF(COUNTIF('Top5'!I:I, D844) &gt; 0, "Yes", "No")</f>
        <v>No</v>
      </c>
    </row>
    <row r="845" spans="1:5">
      <c r="A845" s="1">
        <v>45756</v>
      </c>
      <c r="B845" s="6">
        <v>0.99930555555555556</v>
      </c>
      <c r="C845" s="10" t="s">
        <v>70</v>
      </c>
      <c r="D845" t="str" cm="1">
        <f t="array" ref="D845">INDEX($H$2:$H$35, MATCH(1, (A845 &gt;= $F$2:$F$35) * (A845 &lt;= $G$2:$G$35), 0))</f>
        <v>08-04-2025 to 14-04-2025</v>
      </c>
      <c r="E845" t="str">
        <f>IF(COUNTIF('Top5'!I:I, D845) &gt; 0, "Yes", "No")</f>
        <v>No</v>
      </c>
    </row>
    <row r="846" spans="1:5">
      <c r="A846" s="1">
        <v>45757</v>
      </c>
      <c r="B846" s="6">
        <v>5.5555555555555558E-3</v>
      </c>
      <c r="C846" s="10" t="s">
        <v>70</v>
      </c>
      <c r="D846" t="str" cm="1">
        <f t="array" ref="D846">INDEX($H$2:$H$35, MATCH(1, (A846 &gt;= $F$2:$F$35) * (A846 &lt;= $G$2:$G$35), 0))</f>
        <v>08-04-2025 to 14-04-2025</v>
      </c>
      <c r="E846" t="str">
        <f>IF(COUNTIF('Top5'!I:I, D846) &gt; 0, "Yes", "No")</f>
        <v>No</v>
      </c>
    </row>
    <row r="847" spans="1:5">
      <c r="A847" s="1">
        <v>45757</v>
      </c>
      <c r="B847" s="6">
        <v>5.5555555555555558E-3</v>
      </c>
      <c r="C847" s="10" t="s">
        <v>70</v>
      </c>
      <c r="D847" t="str" cm="1">
        <f t="array" ref="D847">INDEX($H$2:$H$35, MATCH(1, (A847 &gt;= $F$2:$F$35) * (A847 &lt;= $G$2:$G$35), 0))</f>
        <v>08-04-2025 to 14-04-2025</v>
      </c>
      <c r="E847" t="str">
        <f>IF(COUNTIF('Top5'!I:I, D847) &gt; 0, "Yes", "No")</f>
        <v>No</v>
      </c>
    </row>
    <row r="848" spans="1:5">
      <c r="A848" s="1">
        <v>45757</v>
      </c>
      <c r="B848" s="6">
        <v>7.6388888888888886E-3</v>
      </c>
      <c r="C848" s="10" t="s">
        <v>70</v>
      </c>
      <c r="D848" t="str" cm="1">
        <f t="array" ref="D848">INDEX($H$2:$H$35, MATCH(1, (A848 &gt;= $F$2:$F$35) * (A848 &lt;= $G$2:$G$35), 0))</f>
        <v>08-04-2025 to 14-04-2025</v>
      </c>
      <c r="E848" t="str">
        <f>IF(COUNTIF('Top5'!I:I, D848) &gt; 0, "Yes", "No")</f>
        <v>No</v>
      </c>
    </row>
    <row r="849" spans="1:5">
      <c r="A849" s="1">
        <v>45757</v>
      </c>
      <c r="B849" s="6">
        <v>8.3333333333333332E-3</v>
      </c>
      <c r="C849" s="10" t="s">
        <v>70</v>
      </c>
      <c r="D849" t="str" cm="1">
        <f t="array" ref="D849">INDEX($H$2:$H$35, MATCH(1, (A849 &gt;= $F$2:$F$35) * (A849 &lt;= $G$2:$G$35), 0))</f>
        <v>08-04-2025 to 14-04-2025</v>
      </c>
      <c r="E849" t="str">
        <f>IF(COUNTIF('Top5'!I:I, D849) &gt; 0, "Yes", "No")</f>
        <v>No</v>
      </c>
    </row>
    <row r="850" spans="1:5">
      <c r="A850" s="1">
        <v>45757</v>
      </c>
      <c r="B850" s="6">
        <v>8.3333333333333332E-3</v>
      </c>
      <c r="C850" s="10" t="s">
        <v>70</v>
      </c>
      <c r="D850" t="str" cm="1">
        <f t="array" ref="D850">INDEX($H$2:$H$35, MATCH(1, (A850 &gt;= $F$2:$F$35) * (A850 &lt;= $G$2:$G$35), 0))</f>
        <v>08-04-2025 to 14-04-2025</v>
      </c>
      <c r="E850" t="str">
        <f>IF(COUNTIF('Top5'!I:I, D850) &gt; 0, "Yes", "No")</f>
        <v>No</v>
      </c>
    </row>
    <row r="851" spans="1:5">
      <c r="A851" s="1">
        <v>45757</v>
      </c>
      <c r="B851" s="6">
        <v>1.1111111111111112E-2</v>
      </c>
      <c r="C851" s="10" t="s">
        <v>70</v>
      </c>
      <c r="D851" t="str" cm="1">
        <f t="array" ref="D851">INDEX($H$2:$H$35, MATCH(1, (A851 &gt;= $F$2:$F$35) * (A851 &lt;= $G$2:$G$35), 0))</f>
        <v>08-04-2025 to 14-04-2025</v>
      </c>
      <c r="E851" t="str">
        <f>IF(COUNTIF('Top5'!I:I, D851) &gt; 0, "Yes", "No")</f>
        <v>No</v>
      </c>
    </row>
    <row r="852" spans="1:5">
      <c r="A852" s="1">
        <v>45757</v>
      </c>
      <c r="B852" s="6">
        <v>2.013888888888889E-2</v>
      </c>
      <c r="C852" s="10" t="s">
        <v>70</v>
      </c>
      <c r="D852" t="str" cm="1">
        <f t="array" ref="D852">INDEX($H$2:$H$35, MATCH(1, (A852 &gt;= $F$2:$F$35) * (A852 &lt;= $G$2:$G$35), 0))</f>
        <v>08-04-2025 to 14-04-2025</v>
      </c>
      <c r="E852" t="str">
        <f>IF(COUNTIF('Top5'!I:I, D852) &gt; 0, "Yes", "No")</f>
        <v>No</v>
      </c>
    </row>
    <row r="853" spans="1:5">
      <c r="A853" s="1">
        <v>45757</v>
      </c>
      <c r="B853" s="6">
        <v>0.36388888888888887</v>
      </c>
      <c r="C853" s="10" t="s">
        <v>22</v>
      </c>
      <c r="D853" t="str" cm="1">
        <f t="array" ref="D853">INDEX($H$2:$H$35, MATCH(1, (A853 &gt;= $F$2:$F$35) * (A853 &lt;= $G$2:$G$35), 0))</f>
        <v>08-04-2025 to 14-04-2025</v>
      </c>
      <c r="E853" t="str">
        <f>IF(COUNTIF('Top5'!I:I, D853) &gt; 0, "Yes", "No")</f>
        <v>No</v>
      </c>
    </row>
    <row r="854" spans="1:5">
      <c r="A854" s="1">
        <v>45757</v>
      </c>
      <c r="B854" s="6">
        <v>0.42152777777777778</v>
      </c>
      <c r="C854" s="10" t="s">
        <v>22</v>
      </c>
      <c r="D854" t="str" cm="1">
        <f t="array" ref="D854">INDEX($H$2:$H$35, MATCH(1, (A854 &gt;= $F$2:$F$35) * (A854 &lt;= $G$2:$G$35), 0))</f>
        <v>08-04-2025 to 14-04-2025</v>
      </c>
      <c r="E854" t="str">
        <f>IF(COUNTIF('Top5'!I:I, D854) &gt; 0, "Yes", "No")</f>
        <v>No</v>
      </c>
    </row>
    <row r="855" spans="1:5">
      <c r="A855" s="1">
        <v>45757</v>
      </c>
      <c r="B855" s="6">
        <v>0.42291666666666666</v>
      </c>
      <c r="C855" s="10" t="s">
        <v>22</v>
      </c>
      <c r="D855" t="str" cm="1">
        <f t="array" ref="D855">INDEX($H$2:$H$35, MATCH(1, (A855 &gt;= $F$2:$F$35) * (A855 &lt;= $G$2:$G$35), 0))</f>
        <v>08-04-2025 to 14-04-2025</v>
      </c>
      <c r="E855" t="str">
        <f>IF(COUNTIF('Top5'!I:I, D855) &gt; 0, "Yes", "No")</f>
        <v>No</v>
      </c>
    </row>
    <row r="856" spans="1:5">
      <c r="A856" s="1">
        <v>45757</v>
      </c>
      <c r="B856" s="6">
        <v>0.4236111111111111</v>
      </c>
      <c r="C856" s="10" t="s">
        <v>22</v>
      </c>
      <c r="D856" t="str" cm="1">
        <f t="array" ref="D856">INDEX($H$2:$H$35, MATCH(1, (A856 &gt;= $F$2:$F$35) * (A856 &lt;= $G$2:$G$35), 0))</f>
        <v>08-04-2025 to 14-04-2025</v>
      </c>
      <c r="E856" t="str">
        <f>IF(COUNTIF('Top5'!I:I, D856) &gt; 0, "Yes", "No")</f>
        <v>No</v>
      </c>
    </row>
    <row r="857" spans="1:5">
      <c r="A857" s="1">
        <v>45757</v>
      </c>
      <c r="B857" s="6">
        <v>0.43888888888888888</v>
      </c>
      <c r="C857" s="10" t="s">
        <v>22</v>
      </c>
      <c r="D857" t="str" cm="1">
        <f t="array" ref="D857">INDEX($H$2:$H$35, MATCH(1, (A857 &gt;= $F$2:$F$35) * (A857 &lt;= $G$2:$G$35), 0))</f>
        <v>08-04-2025 to 14-04-2025</v>
      </c>
      <c r="E857" t="str">
        <f>IF(COUNTIF('Top5'!I:I, D857) &gt; 0, "Yes", "No")</f>
        <v>No</v>
      </c>
    </row>
    <row r="858" spans="1:5">
      <c r="A858" s="1">
        <v>45757</v>
      </c>
      <c r="B858" s="6">
        <v>0.57847222222222228</v>
      </c>
      <c r="C858" s="10" t="s">
        <v>71</v>
      </c>
      <c r="D858" t="str" cm="1">
        <f t="array" ref="D858">INDEX($H$2:$H$35, MATCH(1, (A858 &gt;= $F$2:$F$35) * (A858 &lt;= $G$2:$G$35), 0))</f>
        <v>08-04-2025 to 14-04-2025</v>
      </c>
      <c r="E858" t="str">
        <f>IF(COUNTIF('Top5'!I:I, D858) &gt; 0, "Yes", "No")</f>
        <v>No</v>
      </c>
    </row>
    <row r="859" spans="1:5">
      <c r="A859" s="1">
        <v>45757</v>
      </c>
      <c r="B859" s="6">
        <v>0.63958333333333328</v>
      </c>
      <c r="C859" s="10" t="s">
        <v>71</v>
      </c>
      <c r="D859" t="str" cm="1">
        <f t="array" ref="D859">INDEX($H$2:$H$35, MATCH(1, (A859 &gt;= $F$2:$F$35) * (A859 &lt;= $G$2:$G$35), 0))</f>
        <v>08-04-2025 to 14-04-2025</v>
      </c>
      <c r="E859" t="str">
        <f>IF(COUNTIF('Top5'!I:I, D859) &gt; 0, "Yes", "No")</f>
        <v>No</v>
      </c>
    </row>
    <row r="860" spans="1:5">
      <c r="A860" s="1">
        <v>45758</v>
      </c>
      <c r="B860" s="6">
        <v>2.0833333333333333E-3</v>
      </c>
      <c r="C860" s="10" t="s">
        <v>70</v>
      </c>
      <c r="D860" t="str" cm="1">
        <f t="array" ref="D860">INDEX($H$2:$H$35, MATCH(1, (A860 &gt;= $F$2:$F$35) * (A860 &lt;= $G$2:$G$35), 0))</f>
        <v>08-04-2025 to 14-04-2025</v>
      </c>
      <c r="E860" t="str">
        <f>IF(COUNTIF('Top5'!I:I, D860) &gt; 0, "Yes", "No")</f>
        <v>No</v>
      </c>
    </row>
    <row r="861" spans="1:5">
      <c r="A861" s="1">
        <v>45758</v>
      </c>
      <c r="B861" s="6">
        <v>2.7777777777777779E-3</v>
      </c>
      <c r="C861" s="10" t="s">
        <v>70</v>
      </c>
      <c r="D861" t="str" cm="1">
        <f t="array" ref="D861">INDEX($H$2:$H$35, MATCH(1, (A861 &gt;= $F$2:$F$35) * (A861 &lt;= $G$2:$G$35), 0))</f>
        <v>08-04-2025 to 14-04-2025</v>
      </c>
      <c r="E861" t="str">
        <f>IF(COUNTIF('Top5'!I:I, D861) &gt; 0, "Yes", "No")</f>
        <v>No</v>
      </c>
    </row>
    <row r="862" spans="1:5">
      <c r="A862" s="1">
        <v>45758</v>
      </c>
      <c r="B862" s="6">
        <v>5.5555555555555558E-3</v>
      </c>
      <c r="C862" s="10" t="s">
        <v>70</v>
      </c>
      <c r="D862" t="str" cm="1">
        <f t="array" ref="D862">INDEX($H$2:$H$35, MATCH(1, (A862 &gt;= $F$2:$F$35) * (A862 &lt;= $G$2:$G$35), 0))</f>
        <v>08-04-2025 to 14-04-2025</v>
      </c>
      <c r="E862" t="str">
        <f>IF(COUNTIF('Top5'!I:I, D862) &gt; 0, "Yes", "No")</f>
        <v>No</v>
      </c>
    </row>
    <row r="863" spans="1:5">
      <c r="A863" s="1">
        <v>45758</v>
      </c>
      <c r="B863" s="6">
        <v>0.52013888888888893</v>
      </c>
      <c r="C863" s="10" t="s">
        <v>71</v>
      </c>
      <c r="D863" t="str" cm="1">
        <f t="array" ref="D863">INDEX($H$2:$H$35, MATCH(1, (A863 &gt;= $F$2:$F$35) * (A863 &lt;= $G$2:$G$35), 0))</f>
        <v>08-04-2025 to 14-04-2025</v>
      </c>
      <c r="E863" t="str">
        <f>IF(COUNTIF('Top5'!I:I, D863) &gt; 0, "Yes", "No")</f>
        <v>No</v>
      </c>
    </row>
    <row r="864" spans="1:5">
      <c r="A864" s="1">
        <v>45758</v>
      </c>
      <c r="B864" s="6">
        <v>0.92291666666666672</v>
      </c>
      <c r="C864" s="10" t="s">
        <v>70</v>
      </c>
      <c r="D864" t="str" cm="1">
        <f t="array" ref="D864">INDEX($H$2:$H$35, MATCH(1, (A864 &gt;= $F$2:$F$35) * (A864 &lt;= $G$2:$G$35), 0))</f>
        <v>08-04-2025 to 14-04-2025</v>
      </c>
      <c r="E864" t="str">
        <f>IF(COUNTIF('Top5'!I:I, D864) &gt; 0, "Yes", "No")</f>
        <v>No</v>
      </c>
    </row>
    <row r="865" spans="1:5">
      <c r="A865" s="1">
        <v>45758</v>
      </c>
      <c r="B865" s="6">
        <v>0.98750000000000004</v>
      </c>
      <c r="C865" s="10" t="s">
        <v>70</v>
      </c>
      <c r="D865" t="str" cm="1">
        <f t="array" ref="D865">INDEX($H$2:$H$35, MATCH(1, (A865 &gt;= $F$2:$F$35) * (A865 &lt;= $G$2:$G$35), 0))</f>
        <v>08-04-2025 to 14-04-2025</v>
      </c>
      <c r="E865" t="str">
        <f>IF(COUNTIF('Top5'!I:I, D865) &gt; 0, "Yes", "No")</f>
        <v>No</v>
      </c>
    </row>
    <row r="866" spans="1:5">
      <c r="A866" s="1">
        <v>45759</v>
      </c>
      <c r="B866" s="6">
        <v>4.8611111111111112E-3</v>
      </c>
      <c r="C866" s="10" t="s">
        <v>70</v>
      </c>
      <c r="D866" t="str" cm="1">
        <f t="array" ref="D866">INDEX($H$2:$H$35, MATCH(1, (A866 &gt;= $F$2:$F$35) * (A866 &lt;= $G$2:$G$35), 0))</f>
        <v>08-04-2025 to 14-04-2025</v>
      </c>
      <c r="E866" t="str">
        <f>IF(COUNTIF('Top5'!I:I, D866) &gt; 0, "Yes", "No")</f>
        <v>No</v>
      </c>
    </row>
    <row r="867" spans="1:5">
      <c r="A867" s="1">
        <v>45759</v>
      </c>
      <c r="B867" s="6">
        <v>4.8611111111111112E-3</v>
      </c>
      <c r="C867" s="10" t="s">
        <v>70</v>
      </c>
      <c r="D867" t="str" cm="1">
        <f t="array" ref="D867">INDEX($H$2:$H$35, MATCH(1, (A867 &gt;= $F$2:$F$35) * (A867 &lt;= $G$2:$G$35), 0))</f>
        <v>08-04-2025 to 14-04-2025</v>
      </c>
      <c r="E867" t="str">
        <f>IF(COUNTIF('Top5'!I:I, D867) &gt; 0, "Yes", "No")</f>
        <v>No</v>
      </c>
    </row>
    <row r="868" spans="1:5">
      <c r="A868" s="1">
        <v>45759</v>
      </c>
      <c r="B868" s="6">
        <v>4.8611111111111112E-3</v>
      </c>
      <c r="C868" s="10" t="s">
        <v>70</v>
      </c>
      <c r="D868" t="str" cm="1">
        <f t="array" ref="D868">INDEX($H$2:$H$35, MATCH(1, (A868 &gt;= $F$2:$F$35) * (A868 &lt;= $G$2:$G$35), 0))</f>
        <v>08-04-2025 to 14-04-2025</v>
      </c>
      <c r="E868" t="str">
        <f>IF(COUNTIF('Top5'!I:I, D868) &gt; 0, "Yes", "No")</f>
        <v>No</v>
      </c>
    </row>
    <row r="869" spans="1:5">
      <c r="A869" s="1">
        <v>45759</v>
      </c>
      <c r="B869" s="6">
        <v>4.8611111111111112E-3</v>
      </c>
      <c r="C869" s="10" t="s">
        <v>70</v>
      </c>
      <c r="D869" t="str" cm="1">
        <f t="array" ref="D869">INDEX($H$2:$H$35, MATCH(1, (A869 &gt;= $F$2:$F$35) * (A869 &lt;= $G$2:$G$35), 0))</f>
        <v>08-04-2025 to 14-04-2025</v>
      </c>
      <c r="E869" t="str">
        <f>IF(COUNTIF('Top5'!I:I, D869) &gt; 0, "Yes", "No")</f>
        <v>No</v>
      </c>
    </row>
    <row r="870" spans="1:5">
      <c r="A870" s="1">
        <v>45759</v>
      </c>
      <c r="B870" s="6">
        <v>4.8611111111111112E-3</v>
      </c>
      <c r="C870" s="10" t="s">
        <v>70</v>
      </c>
      <c r="D870" t="str" cm="1">
        <f t="array" ref="D870">INDEX($H$2:$H$35, MATCH(1, (A870 &gt;= $F$2:$F$35) * (A870 &lt;= $G$2:$G$35), 0))</f>
        <v>08-04-2025 to 14-04-2025</v>
      </c>
      <c r="E870" t="str">
        <f>IF(COUNTIF('Top5'!I:I, D870) &gt; 0, "Yes", "No")</f>
        <v>No</v>
      </c>
    </row>
    <row r="871" spans="1:5">
      <c r="A871" s="1">
        <v>45759</v>
      </c>
      <c r="B871" s="6">
        <v>4.8611111111111112E-3</v>
      </c>
      <c r="C871" s="10" t="s">
        <v>70</v>
      </c>
      <c r="D871" t="str" cm="1">
        <f t="array" ref="D871">INDEX($H$2:$H$35, MATCH(1, (A871 &gt;= $F$2:$F$35) * (A871 &lt;= $G$2:$G$35), 0))</f>
        <v>08-04-2025 to 14-04-2025</v>
      </c>
      <c r="E871" t="str">
        <f>IF(COUNTIF('Top5'!I:I, D871) &gt; 0, "Yes", "No")</f>
        <v>No</v>
      </c>
    </row>
    <row r="872" spans="1:5">
      <c r="A872" s="1">
        <v>45759</v>
      </c>
      <c r="B872" s="6">
        <v>0.40486111111111112</v>
      </c>
      <c r="C872" s="10" t="s">
        <v>22</v>
      </c>
      <c r="D872" t="str" cm="1">
        <f t="array" ref="D872">INDEX($H$2:$H$35, MATCH(1, (A872 &gt;= $F$2:$F$35) * (A872 &lt;= $G$2:$G$35), 0))</f>
        <v>08-04-2025 to 14-04-2025</v>
      </c>
      <c r="E872" t="str">
        <f>IF(COUNTIF('Top5'!I:I, D872) &gt; 0, "Yes", "No")</f>
        <v>No</v>
      </c>
    </row>
    <row r="873" spans="1:5">
      <c r="A873" s="1">
        <v>45759</v>
      </c>
      <c r="B873" s="6">
        <v>0.40555555555555556</v>
      </c>
      <c r="C873" s="10" t="s">
        <v>22</v>
      </c>
      <c r="D873" t="str" cm="1">
        <f t="array" ref="D873">INDEX($H$2:$H$35, MATCH(1, (A873 &gt;= $F$2:$F$35) * (A873 &lt;= $G$2:$G$35), 0))</f>
        <v>08-04-2025 to 14-04-2025</v>
      </c>
      <c r="E873" t="str">
        <f>IF(COUNTIF('Top5'!I:I, D873) &gt; 0, "Yes", "No")</f>
        <v>No</v>
      </c>
    </row>
    <row r="874" spans="1:5">
      <c r="A874" s="1">
        <v>45759</v>
      </c>
      <c r="B874" s="6">
        <v>0.42291666666666666</v>
      </c>
      <c r="C874" s="10" t="s">
        <v>22</v>
      </c>
      <c r="D874" t="str" cm="1">
        <f t="array" ref="D874">INDEX($H$2:$H$35, MATCH(1, (A874 &gt;= $F$2:$F$35) * (A874 &lt;= $G$2:$G$35), 0))</f>
        <v>08-04-2025 to 14-04-2025</v>
      </c>
      <c r="E874" t="str">
        <f>IF(COUNTIF('Top5'!I:I, D874) &gt; 0, "Yes", "No")</f>
        <v>No</v>
      </c>
    </row>
    <row r="875" spans="1:5">
      <c r="A875" s="1">
        <v>45759</v>
      </c>
      <c r="B875" s="6">
        <v>0.42569444444444443</v>
      </c>
      <c r="C875" s="10" t="s">
        <v>22</v>
      </c>
      <c r="D875" t="str" cm="1">
        <f t="array" ref="D875">INDEX($H$2:$H$35, MATCH(1, (A875 &gt;= $F$2:$F$35) * (A875 &lt;= $G$2:$G$35), 0))</f>
        <v>08-04-2025 to 14-04-2025</v>
      </c>
      <c r="E875" t="str">
        <f>IF(COUNTIF('Top5'!I:I, D875) &gt; 0, "Yes", "No")</f>
        <v>No</v>
      </c>
    </row>
    <row r="876" spans="1:5">
      <c r="A876" s="1">
        <v>45759</v>
      </c>
      <c r="B876" s="6">
        <v>0.42708333333333331</v>
      </c>
      <c r="C876" s="10" t="s">
        <v>22</v>
      </c>
      <c r="D876" t="str" cm="1">
        <f t="array" ref="D876">INDEX($H$2:$H$35, MATCH(1, (A876 &gt;= $F$2:$F$35) * (A876 &lt;= $G$2:$G$35), 0))</f>
        <v>08-04-2025 to 14-04-2025</v>
      </c>
      <c r="E876" t="str">
        <f>IF(COUNTIF('Top5'!I:I, D876) &gt; 0, "Yes", "No")</f>
        <v>No</v>
      </c>
    </row>
    <row r="877" spans="1:5">
      <c r="A877" s="1">
        <v>45759</v>
      </c>
      <c r="B877" s="6">
        <v>0.79305555555555551</v>
      </c>
      <c r="C877" s="10" t="s">
        <v>70</v>
      </c>
      <c r="D877" t="str" cm="1">
        <f t="array" ref="D877">INDEX($H$2:$H$35, MATCH(1, (A877 &gt;= $F$2:$F$35) * (A877 &lt;= $G$2:$G$35), 0))</f>
        <v>08-04-2025 to 14-04-2025</v>
      </c>
      <c r="E877" t="str">
        <f>IF(COUNTIF('Top5'!I:I, D877) &gt; 0, "Yes", "No")</f>
        <v>No</v>
      </c>
    </row>
    <row r="878" spans="1:5">
      <c r="A878" s="1">
        <v>45760</v>
      </c>
      <c r="B878" s="6">
        <v>0.375</v>
      </c>
      <c r="C878" s="10" t="s">
        <v>22</v>
      </c>
      <c r="D878" t="str" cm="1">
        <f t="array" ref="D878">INDEX($H$2:$H$35, MATCH(1, (A878 &gt;= $F$2:$F$35) * (A878 &lt;= $G$2:$G$35), 0))</f>
        <v>08-04-2025 to 14-04-2025</v>
      </c>
      <c r="E878" t="str">
        <f>IF(COUNTIF('Top5'!I:I, D878) &gt; 0, "Yes", "No")</f>
        <v>No</v>
      </c>
    </row>
    <row r="879" spans="1:5">
      <c r="A879" s="1">
        <v>45760</v>
      </c>
      <c r="B879" s="6">
        <v>0.37916666666666665</v>
      </c>
      <c r="C879" s="10" t="s">
        <v>22</v>
      </c>
      <c r="D879" t="str" cm="1">
        <f t="array" ref="D879">INDEX($H$2:$H$35, MATCH(1, (A879 &gt;= $F$2:$F$35) * (A879 &lt;= $G$2:$G$35), 0))</f>
        <v>08-04-2025 to 14-04-2025</v>
      </c>
      <c r="E879" t="str">
        <f>IF(COUNTIF('Top5'!I:I, D879) &gt; 0, "Yes", "No")</f>
        <v>No</v>
      </c>
    </row>
    <row r="880" spans="1:5">
      <c r="A880" s="1">
        <v>45760</v>
      </c>
      <c r="B880" s="6">
        <v>0.62430555555555556</v>
      </c>
      <c r="C880" s="10" t="s">
        <v>71</v>
      </c>
      <c r="D880" t="str" cm="1">
        <f t="array" ref="D880">INDEX($H$2:$H$35, MATCH(1, (A880 &gt;= $F$2:$F$35) * (A880 &lt;= $G$2:$G$35), 0))</f>
        <v>08-04-2025 to 14-04-2025</v>
      </c>
      <c r="E880" t="str">
        <f>IF(COUNTIF('Top5'!I:I, D880) &gt; 0, "Yes", "No")</f>
        <v>No</v>
      </c>
    </row>
    <row r="881" spans="1:5">
      <c r="A881" s="1">
        <v>45760</v>
      </c>
      <c r="B881" s="6">
        <v>0.625</v>
      </c>
      <c r="C881" s="10" t="s">
        <v>71</v>
      </c>
      <c r="D881" t="str" cm="1">
        <f t="array" ref="D881">INDEX($H$2:$H$35, MATCH(1, (A881 &gt;= $F$2:$F$35) * (A881 &lt;= $G$2:$G$35), 0))</f>
        <v>08-04-2025 to 14-04-2025</v>
      </c>
      <c r="E881" t="str">
        <f>IF(COUNTIF('Top5'!I:I, D881) &gt; 0, "Yes", "No")</f>
        <v>No</v>
      </c>
    </row>
    <row r="882" spans="1:5">
      <c r="A882" s="1">
        <v>45760</v>
      </c>
      <c r="B882" s="6">
        <v>0.67291666666666672</v>
      </c>
      <c r="C882" s="10" t="s">
        <v>71</v>
      </c>
      <c r="D882" t="str" cm="1">
        <f t="array" ref="D882">INDEX($H$2:$H$35, MATCH(1, (A882 &gt;= $F$2:$F$35) * (A882 &lt;= $G$2:$G$35), 0))</f>
        <v>08-04-2025 to 14-04-2025</v>
      </c>
      <c r="E882" t="str">
        <f>IF(COUNTIF('Top5'!I:I, D882) &gt; 0, "Yes", "No")</f>
        <v>No</v>
      </c>
    </row>
    <row r="883" spans="1:5">
      <c r="A883" s="1">
        <v>45761</v>
      </c>
      <c r="B883" s="6">
        <v>0.50277777777777777</v>
      </c>
      <c r="C883" s="10" t="s">
        <v>71</v>
      </c>
      <c r="D883" t="str" cm="1">
        <f t="array" ref="D883">INDEX($H$2:$H$35, MATCH(1, (A883 &gt;= $F$2:$F$35) * (A883 &lt;= $G$2:$G$35), 0))</f>
        <v>08-04-2025 to 14-04-2025</v>
      </c>
      <c r="E883" t="str">
        <f>IF(COUNTIF('Top5'!I:I, D883) &gt; 0, "Yes", "No")</f>
        <v>No</v>
      </c>
    </row>
    <row r="884" spans="1:5">
      <c r="A884" s="1">
        <v>45761</v>
      </c>
      <c r="B884" s="6">
        <v>0.51736111111111116</v>
      </c>
      <c r="C884" s="10" t="s">
        <v>71</v>
      </c>
      <c r="D884" t="str" cm="1">
        <f t="array" ref="D884">INDEX($H$2:$H$35, MATCH(1, (A884 &gt;= $F$2:$F$35) * (A884 &lt;= $G$2:$G$35), 0))</f>
        <v>08-04-2025 to 14-04-2025</v>
      </c>
      <c r="E884" t="str">
        <f>IF(COUNTIF('Top5'!I:I, D884) &gt; 0, "Yes", "No")</f>
        <v>No</v>
      </c>
    </row>
    <row r="885" spans="1:5">
      <c r="A885" s="1">
        <v>45761</v>
      </c>
      <c r="B885" s="6">
        <v>0.5854166666666667</v>
      </c>
      <c r="C885" s="10" t="s">
        <v>71</v>
      </c>
      <c r="D885" t="str" cm="1">
        <f t="array" ref="D885">INDEX($H$2:$H$35, MATCH(1, (A885 &gt;= $F$2:$F$35) * (A885 &lt;= $G$2:$G$35), 0))</f>
        <v>08-04-2025 to 14-04-2025</v>
      </c>
      <c r="E885" t="str">
        <f>IF(COUNTIF('Top5'!I:I, D885) &gt; 0, "Yes", "No")</f>
        <v>No</v>
      </c>
    </row>
    <row r="886" spans="1:5">
      <c r="A886" s="1">
        <v>45761</v>
      </c>
      <c r="B886" s="6">
        <v>0.77013888888888893</v>
      </c>
      <c r="C886" s="10" t="s">
        <v>70</v>
      </c>
      <c r="D886" t="str" cm="1">
        <f t="array" ref="D886">INDEX($H$2:$H$35, MATCH(1, (A886 &gt;= $F$2:$F$35) * (A886 &lt;= $G$2:$G$35), 0))</f>
        <v>08-04-2025 to 14-04-2025</v>
      </c>
      <c r="E886" t="str">
        <f>IF(COUNTIF('Top5'!I:I, D886) &gt; 0, "Yes", "No")</f>
        <v>No</v>
      </c>
    </row>
    <row r="887" spans="1:5">
      <c r="A887" s="1">
        <v>45761</v>
      </c>
      <c r="B887" s="6">
        <v>0.77152777777777781</v>
      </c>
      <c r="C887" s="10" t="s">
        <v>70</v>
      </c>
      <c r="D887" t="str" cm="1">
        <f t="array" ref="D887">INDEX($H$2:$H$35, MATCH(1, (A887 &gt;= $F$2:$F$35) * (A887 &lt;= $G$2:$G$35), 0))</f>
        <v>08-04-2025 to 14-04-2025</v>
      </c>
      <c r="E887" t="str">
        <f>IF(COUNTIF('Top5'!I:I, D887) &gt; 0, "Yes", "No")</f>
        <v>No</v>
      </c>
    </row>
    <row r="888" spans="1:5">
      <c r="A888" s="1">
        <v>45761</v>
      </c>
      <c r="B888" s="6">
        <v>0.78472222222222221</v>
      </c>
      <c r="C888" s="10" t="s">
        <v>70</v>
      </c>
      <c r="D888" t="str" cm="1">
        <f t="array" ref="D888">INDEX($H$2:$H$35, MATCH(1, (A888 &gt;= $F$2:$F$35) * (A888 &lt;= $G$2:$G$35), 0))</f>
        <v>08-04-2025 to 14-04-2025</v>
      </c>
      <c r="E888" t="str">
        <f>IF(COUNTIF('Top5'!I:I, D888) &gt; 0, "Yes", "No")</f>
        <v>No</v>
      </c>
    </row>
    <row r="889" spans="1:5">
      <c r="A889" s="1">
        <v>45761</v>
      </c>
      <c r="B889" s="6">
        <v>0.85416666666666663</v>
      </c>
      <c r="C889" s="10" t="s">
        <v>70</v>
      </c>
      <c r="D889" t="str" cm="1">
        <f t="array" ref="D889">INDEX($H$2:$H$35, MATCH(1, (A889 &gt;= $F$2:$F$35) * (A889 &lt;= $G$2:$G$35), 0))</f>
        <v>08-04-2025 to 14-04-2025</v>
      </c>
      <c r="E889" t="str">
        <f>IF(COUNTIF('Top5'!I:I, D889) &gt; 0, "Yes", "No")</f>
        <v>No</v>
      </c>
    </row>
    <row r="890" spans="1:5">
      <c r="A890" s="1">
        <v>45762</v>
      </c>
      <c r="B890" s="6">
        <v>0.41666666666666669</v>
      </c>
      <c r="C890" s="10" t="s">
        <v>22</v>
      </c>
      <c r="D890" t="str" cm="1">
        <f t="array" ref="D890">INDEX($H$2:$H$35, MATCH(1, (A890 &gt;= $F$2:$F$35) * (A890 &lt;= $G$2:$G$35), 0))</f>
        <v>15-04-2025 to 21-04-2025</v>
      </c>
      <c r="E890" t="str">
        <f>IF(COUNTIF('Top5'!I:I, D890) &gt; 0, "Yes", "No")</f>
        <v>No</v>
      </c>
    </row>
    <row r="891" spans="1:5">
      <c r="A891" s="1">
        <v>45762</v>
      </c>
      <c r="B891" s="6">
        <v>0.45763888888888887</v>
      </c>
      <c r="C891" s="10" t="s">
        <v>22</v>
      </c>
      <c r="D891" t="str" cm="1">
        <f t="array" ref="D891">INDEX($H$2:$H$35, MATCH(1, (A891 &gt;= $F$2:$F$35) * (A891 &lt;= $G$2:$G$35), 0))</f>
        <v>15-04-2025 to 21-04-2025</v>
      </c>
      <c r="E891" t="str">
        <f>IF(COUNTIF('Top5'!I:I, D891) &gt; 0, "Yes", "No")</f>
        <v>No</v>
      </c>
    </row>
    <row r="892" spans="1:5">
      <c r="A892" s="1">
        <v>45762</v>
      </c>
      <c r="B892" s="6">
        <v>0.45763888888888887</v>
      </c>
      <c r="C892" s="10" t="s">
        <v>22</v>
      </c>
      <c r="D892" t="str" cm="1">
        <f t="array" ref="D892">INDEX($H$2:$H$35, MATCH(1, (A892 &gt;= $F$2:$F$35) * (A892 &lt;= $G$2:$G$35), 0))</f>
        <v>15-04-2025 to 21-04-2025</v>
      </c>
      <c r="E892" t="str">
        <f>IF(COUNTIF('Top5'!I:I, D892) &gt; 0, "Yes", "No")</f>
        <v>No</v>
      </c>
    </row>
    <row r="893" spans="1:5">
      <c r="A893" s="1">
        <v>45762</v>
      </c>
      <c r="B893" s="6">
        <v>0.6381944444444444</v>
      </c>
      <c r="C893" s="10" t="s">
        <v>71</v>
      </c>
      <c r="D893" t="str" cm="1">
        <f t="array" ref="D893">INDEX($H$2:$H$35, MATCH(1, (A893 &gt;= $F$2:$F$35) * (A893 &lt;= $G$2:$G$35), 0))</f>
        <v>15-04-2025 to 21-04-2025</v>
      </c>
      <c r="E893" t="str">
        <f>IF(COUNTIF('Top5'!I:I, D893) &gt; 0, "Yes", "No")</f>
        <v>No</v>
      </c>
    </row>
    <row r="894" spans="1:5">
      <c r="A894" s="1">
        <v>45762</v>
      </c>
      <c r="B894" s="6">
        <v>0.73888888888888893</v>
      </c>
      <c r="C894" s="10" t="s">
        <v>70</v>
      </c>
      <c r="D894" t="str" cm="1">
        <f t="array" ref="D894">INDEX($H$2:$H$35, MATCH(1, (A894 &gt;= $F$2:$F$35) * (A894 &lt;= $G$2:$G$35), 0))</f>
        <v>15-04-2025 to 21-04-2025</v>
      </c>
      <c r="E894" t="str">
        <f>IF(COUNTIF('Top5'!I:I, D894) &gt; 0, "Yes", "No")</f>
        <v>No</v>
      </c>
    </row>
    <row r="895" spans="1:5">
      <c r="A895" s="1">
        <v>45762</v>
      </c>
      <c r="B895" s="6">
        <v>0.7680555555555556</v>
      </c>
      <c r="C895" s="10" t="s">
        <v>70</v>
      </c>
      <c r="D895" t="str" cm="1">
        <f t="array" ref="D895">INDEX($H$2:$H$35, MATCH(1, (A895 &gt;= $F$2:$F$35) * (A895 &lt;= $G$2:$G$35), 0))</f>
        <v>15-04-2025 to 21-04-2025</v>
      </c>
      <c r="E895" t="str">
        <f>IF(COUNTIF('Top5'!I:I, D895) &gt; 0, "Yes", "No")</f>
        <v>No</v>
      </c>
    </row>
    <row r="896" spans="1:5">
      <c r="A896" s="1">
        <v>45763</v>
      </c>
      <c r="B896" s="6">
        <v>0.43055555555555558</v>
      </c>
      <c r="C896" s="10" t="s">
        <v>22</v>
      </c>
      <c r="D896" t="str" cm="1">
        <f t="array" ref="D896">INDEX($H$2:$H$35, MATCH(1, (A896 &gt;= $F$2:$F$35) * (A896 &lt;= $G$2:$G$35), 0))</f>
        <v>15-04-2025 to 21-04-2025</v>
      </c>
      <c r="E896" t="str">
        <f>IF(COUNTIF('Top5'!I:I, D896) &gt; 0, "Yes", "No")</f>
        <v>No</v>
      </c>
    </row>
    <row r="897" spans="1:5">
      <c r="A897" s="1">
        <v>45763</v>
      </c>
      <c r="B897" s="6">
        <v>0.44722222222222224</v>
      </c>
      <c r="C897" s="10" t="s">
        <v>22</v>
      </c>
      <c r="D897" t="str" cm="1">
        <f t="array" ref="D897">INDEX($H$2:$H$35, MATCH(1, (A897 &gt;= $F$2:$F$35) * (A897 &lt;= $G$2:$G$35), 0))</f>
        <v>15-04-2025 to 21-04-2025</v>
      </c>
      <c r="E897" t="str">
        <f>IF(COUNTIF('Top5'!I:I, D897) &gt; 0, "Yes", "No")</f>
        <v>No</v>
      </c>
    </row>
    <row r="898" spans="1:5">
      <c r="A898" s="1">
        <v>45763</v>
      </c>
      <c r="B898" s="6">
        <v>0.44791666666666669</v>
      </c>
      <c r="C898" s="10" t="s">
        <v>22</v>
      </c>
      <c r="D898" t="str" cm="1">
        <f t="array" ref="D898">INDEX($H$2:$H$35, MATCH(1, (A898 &gt;= $F$2:$F$35) * (A898 &lt;= $G$2:$G$35), 0))</f>
        <v>15-04-2025 to 21-04-2025</v>
      </c>
      <c r="E898" t="str">
        <f>IF(COUNTIF('Top5'!I:I, D898) &gt; 0, "Yes", "No")</f>
        <v>No</v>
      </c>
    </row>
    <row r="899" spans="1:5">
      <c r="A899" s="1">
        <v>45763</v>
      </c>
      <c r="B899" s="6">
        <v>0.53194444444444444</v>
      </c>
      <c r="C899" s="10" t="s">
        <v>71</v>
      </c>
      <c r="D899" t="str" cm="1">
        <f t="array" ref="D899">INDEX($H$2:$H$35, MATCH(1, (A899 &gt;= $F$2:$F$35) * (A899 &lt;= $G$2:$G$35), 0))</f>
        <v>15-04-2025 to 21-04-2025</v>
      </c>
      <c r="E899" t="str">
        <f>IF(COUNTIF('Top5'!I:I, D899) &gt; 0, "Yes", "No")</f>
        <v>No</v>
      </c>
    </row>
    <row r="900" spans="1:5">
      <c r="A900" s="1">
        <v>45763</v>
      </c>
      <c r="B900" s="6">
        <v>0.69166666666666665</v>
      </c>
      <c r="C900" s="10" t="s">
        <v>71</v>
      </c>
      <c r="D900" t="str" cm="1">
        <f t="array" ref="D900">INDEX($H$2:$H$35, MATCH(1, (A900 &gt;= $F$2:$F$35) * (A900 &lt;= $G$2:$G$35), 0))</f>
        <v>15-04-2025 to 21-04-2025</v>
      </c>
      <c r="E900" t="str">
        <f>IF(COUNTIF('Top5'!I:I, D900) &gt; 0, "Yes", "No")</f>
        <v>No</v>
      </c>
    </row>
    <row r="901" spans="1:5">
      <c r="A901" s="1">
        <v>45763</v>
      </c>
      <c r="B901" s="6">
        <v>0.74722222222222223</v>
      </c>
      <c r="C901" s="10" t="s">
        <v>70</v>
      </c>
      <c r="D901" t="str" cm="1">
        <f t="array" ref="D901">INDEX($H$2:$H$35, MATCH(1, (A901 &gt;= $F$2:$F$35) * (A901 &lt;= $G$2:$G$35), 0))</f>
        <v>15-04-2025 to 21-04-2025</v>
      </c>
      <c r="E901" t="str">
        <f>IF(COUNTIF('Top5'!I:I, D901) &gt; 0, "Yes", "No")</f>
        <v>No</v>
      </c>
    </row>
    <row r="902" spans="1:5">
      <c r="A902" s="1">
        <v>45763</v>
      </c>
      <c r="B902" s="6">
        <v>0.79652777777777772</v>
      </c>
      <c r="C902" s="10" t="s">
        <v>70</v>
      </c>
      <c r="D902" t="str" cm="1">
        <f t="array" ref="D902">INDEX($H$2:$H$35, MATCH(1, (A902 &gt;= $F$2:$F$35) * (A902 &lt;= $G$2:$G$35), 0))</f>
        <v>15-04-2025 to 21-04-2025</v>
      </c>
      <c r="E902" t="str">
        <f>IF(COUNTIF('Top5'!I:I, D902) &gt; 0, "Yes", "No")</f>
        <v>No</v>
      </c>
    </row>
    <row r="903" spans="1:5">
      <c r="A903" s="1">
        <v>45763</v>
      </c>
      <c r="B903" s="6">
        <v>0.94930555555555551</v>
      </c>
      <c r="C903" s="10" t="s">
        <v>70</v>
      </c>
      <c r="D903" t="str" cm="1">
        <f t="array" ref="D903">INDEX($H$2:$H$35, MATCH(1, (A903 &gt;= $F$2:$F$35) * (A903 &lt;= $G$2:$G$35), 0))</f>
        <v>15-04-2025 to 21-04-2025</v>
      </c>
      <c r="E903" t="str">
        <f>IF(COUNTIF('Top5'!I:I, D903) &gt; 0, "Yes", "No")</f>
        <v>No</v>
      </c>
    </row>
    <row r="904" spans="1:5">
      <c r="A904" s="1">
        <v>45763</v>
      </c>
      <c r="B904" s="6">
        <v>0.95694444444444449</v>
      </c>
      <c r="C904" s="10" t="s">
        <v>70</v>
      </c>
      <c r="D904" t="str" cm="1">
        <f t="array" ref="D904">INDEX($H$2:$H$35, MATCH(1, (A904 &gt;= $F$2:$F$35) * (A904 &lt;= $G$2:$G$35), 0))</f>
        <v>15-04-2025 to 21-04-2025</v>
      </c>
      <c r="E904" t="str">
        <f>IF(COUNTIF('Top5'!I:I, D904) &gt; 0, "Yes", "No")</f>
        <v>No</v>
      </c>
    </row>
    <row r="905" spans="1:5">
      <c r="A905" s="1">
        <v>45763</v>
      </c>
      <c r="B905" s="6">
        <v>0.97638888888888886</v>
      </c>
      <c r="C905" s="10" t="s">
        <v>70</v>
      </c>
      <c r="D905" t="str" cm="1">
        <f t="array" ref="D905">INDEX($H$2:$H$35, MATCH(1, (A905 &gt;= $F$2:$F$35) * (A905 &lt;= $G$2:$G$35), 0))</f>
        <v>15-04-2025 to 21-04-2025</v>
      </c>
      <c r="E905" t="str">
        <f>IF(COUNTIF('Top5'!I:I, D905) &gt; 0, "Yes", "No")</f>
        <v>No</v>
      </c>
    </row>
    <row r="906" spans="1:5">
      <c r="A906" s="1">
        <v>45764</v>
      </c>
      <c r="B906" s="6">
        <v>6.2500000000000003E-3</v>
      </c>
      <c r="C906" s="10" t="s">
        <v>70</v>
      </c>
      <c r="D906" t="str" cm="1">
        <f t="array" ref="D906">INDEX($H$2:$H$35, MATCH(1, (A906 &gt;= $F$2:$F$35) * (A906 &lt;= $G$2:$G$35), 0))</f>
        <v>15-04-2025 to 21-04-2025</v>
      </c>
      <c r="E906" t="str">
        <f>IF(COUNTIF('Top5'!I:I, D906) &gt; 0, "Yes", "No")</f>
        <v>No</v>
      </c>
    </row>
    <row r="907" spans="1:5">
      <c r="A907" s="1">
        <v>45764</v>
      </c>
      <c r="B907" s="6">
        <v>8.3333333333333332E-3</v>
      </c>
      <c r="C907" s="10" t="s">
        <v>70</v>
      </c>
      <c r="D907" t="str" cm="1">
        <f t="array" ref="D907">INDEX($H$2:$H$35, MATCH(1, (A907 &gt;= $F$2:$F$35) * (A907 &lt;= $G$2:$G$35), 0))</f>
        <v>15-04-2025 to 21-04-2025</v>
      </c>
      <c r="E907" t="str">
        <f>IF(COUNTIF('Top5'!I:I, D907) &gt; 0, "Yes", "No")</f>
        <v>No</v>
      </c>
    </row>
    <row r="908" spans="1:5">
      <c r="A908" s="1">
        <v>45764</v>
      </c>
      <c r="B908" s="6">
        <v>1.0416666666666666E-2</v>
      </c>
      <c r="C908" s="10" t="s">
        <v>70</v>
      </c>
      <c r="D908" t="str" cm="1">
        <f t="array" ref="D908">INDEX($H$2:$H$35, MATCH(1, (A908 &gt;= $F$2:$F$35) * (A908 &lt;= $G$2:$G$35), 0))</f>
        <v>15-04-2025 to 21-04-2025</v>
      </c>
      <c r="E908" t="str">
        <f>IF(COUNTIF('Top5'!I:I, D908) &gt; 0, "Yes", "No")</f>
        <v>No</v>
      </c>
    </row>
    <row r="909" spans="1:5">
      <c r="A909" s="1">
        <v>45764</v>
      </c>
      <c r="B909" s="6">
        <v>1.1111111111111112E-2</v>
      </c>
      <c r="C909" s="10" t="s">
        <v>70</v>
      </c>
      <c r="D909" t="str" cm="1">
        <f t="array" ref="D909">INDEX($H$2:$H$35, MATCH(1, (A909 &gt;= $F$2:$F$35) * (A909 &lt;= $G$2:$G$35), 0))</f>
        <v>15-04-2025 to 21-04-2025</v>
      </c>
      <c r="E909" t="str">
        <f>IF(COUNTIF('Top5'!I:I, D909) &gt; 0, "Yes", "No")</f>
        <v>No</v>
      </c>
    </row>
    <row r="910" spans="1:5">
      <c r="A910" s="1">
        <v>45764</v>
      </c>
      <c r="B910" s="6">
        <v>0.36805555555555558</v>
      </c>
      <c r="C910" s="10" t="s">
        <v>22</v>
      </c>
      <c r="D910" t="str" cm="1">
        <f t="array" ref="D910">INDEX($H$2:$H$35, MATCH(1, (A910 &gt;= $F$2:$F$35) * (A910 &lt;= $G$2:$G$35), 0))</f>
        <v>15-04-2025 to 21-04-2025</v>
      </c>
      <c r="E910" t="str">
        <f>IF(COUNTIF('Top5'!I:I, D910) &gt; 0, "Yes", "No")</f>
        <v>No</v>
      </c>
    </row>
    <row r="911" spans="1:5">
      <c r="A911" s="1">
        <v>45764</v>
      </c>
      <c r="B911" s="6">
        <v>0.36944444444444446</v>
      </c>
      <c r="C911" s="10" t="s">
        <v>22</v>
      </c>
      <c r="D911" t="str" cm="1">
        <f t="array" ref="D911">INDEX($H$2:$H$35, MATCH(1, (A911 &gt;= $F$2:$F$35) * (A911 &lt;= $G$2:$G$35), 0))</f>
        <v>15-04-2025 to 21-04-2025</v>
      </c>
      <c r="E911" t="str">
        <f>IF(COUNTIF('Top5'!I:I, D911) &gt; 0, "Yes", "No")</f>
        <v>No</v>
      </c>
    </row>
    <row r="912" spans="1:5">
      <c r="A912" s="1">
        <v>45764</v>
      </c>
      <c r="B912" s="6">
        <v>0.43402777777777779</v>
      </c>
      <c r="C912" s="10" t="s">
        <v>22</v>
      </c>
      <c r="D912" t="str" cm="1">
        <f t="array" ref="D912">INDEX($H$2:$H$35, MATCH(1, (A912 &gt;= $F$2:$F$35) * (A912 &lt;= $G$2:$G$35), 0))</f>
        <v>15-04-2025 to 21-04-2025</v>
      </c>
      <c r="E912" t="str">
        <f>IF(COUNTIF('Top5'!I:I, D912) &gt; 0, "Yes", "No")</f>
        <v>No</v>
      </c>
    </row>
    <row r="913" spans="1:5">
      <c r="A913" s="1">
        <v>45764</v>
      </c>
      <c r="B913" s="6">
        <v>0.43402777777777779</v>
      </c>
      <c r="C913" s="10" t="s">
        <v>22</v>
      </c>
      <c r="D913" t="str" cm="1">
        <f t="array" ref="D913">INDEX($H$2:$H$35, MATCH(1, (A913 &gt;= $F$2:$F$35) * (A913 &lt;= $G$2:$G$35), 0))</f>
        <v>15-04-2025 to 21-04-2025</v>
      </c>
      <c r="E913" t="str">
        <f>IF(COUNTIF('Top5'!I:I, D913) &gt; 0, "Yes", "No")</f>
        <v>No</v>
      </c>
    </row>
    <row r="914" spans="1:5">
      <c r="A914" s="1">
        <v>45764</v>
      </c>
      <c r="B914" s="6">
        <v>0.44513888888888886</v>
      </c>
      <c r="C914" s="10" t="s">
        <v>22</v>
      </c>
      <c r="D914" t="str" cm="1">
        <f t="array" ref="D914">INDEX($H$2:$H$35, MATCH(1, (A914 &gt;= $F$2:$F$35) * (A914 &lt;= $G$2:$G$35), 0))</f>
        <v>15-04-2025 to 21-04-2025</v>
      </c>
      <c r="E914" t="str">
        <f>IF(COUNTIF('Top5'!I:I, D914) &gt; 0, "Yes", "No")</f>
        <v>No</v>
      </c>
    </row>
    <row r="915" spans="1:5">
      <c r="A915" s="1">
        <v>45764</v>
      </c>
      <c r="B915" s="6">
        <v>0.4548611111111111</v>
      </c>
      <c r="C915" s="10" t="s">
        <v>22</v>
      </c>
      <c r="D915" t="str" cm="1">
        <f t="array" ref="D915">INDEX($H$2:$H$35, MATCH(1, (A915 &gt;= $F$2:$F$35) * (A915 &lt;= $G$2:$G$35), 0))</f>
        <v>15-04-2025 to 21-04-2025</v>
      </c>
      <c r="E915" t="str">
        <f>IF(COUNTIF('Top5'!I:I, D915) &gt; 0, "Yes", "No")</f>
        <v>No</v>
      </c>
    </row>
    <row r="916" spans="1:5">
      <c r="A916" s="1">
        <v>45764</v>
      </c>
      <c r="B916" s="6">
        <v>0.48958333333333331</v>
      </c>
      <c r="C916" s="10" t="s">
        <v>22</v>
      </c>
      <c r="D916" t="str" cm="1">
        <f t="array" ref="D916">INDEX($H$2:$H$35, MATCH(1, (A916 &gt;= $F$2:$F$35) * (A916 &lt;= $G$2:$G$35), 0))</f>
        <v>15-04-2025 to 21-04-2025</v>
      </c>
      <c r="E916" t="str">
        <f>IF(COUNTIF('Top5'!I:I, D916) &gt; 0, "Yes", "No")</f>
        <v>No</v>
      </c>
    </row>
    <row r="917" spans="1:5">
      <c r="A917" s="1">
        <v>45765</v>
      </c>
      <c r="B917" s="6">
        <v>0.43611111111111112</v>
      </c>
      <c r="C917" s="10" t="s">
        <v>22</v>
      </c>
      <c r="D917" t="str" cm="1">
        <f t="array" ref="D917">INDEX($H$2:$H$35, MATCH(1, (A917 &gt;= $F$2:$F$35) * (A917 &lt;= $G$2:$G$35), 0))</f>
        <v>15-04-2025 to 21-04-2025</v>
      </c>
      <c r="E917" t="str">
        <f>IF(COUNTIF('Top5'!I:I, D917) &gt; 0, "Yes", "No")</f>
        <v>No</v>
      </c>
    </row>
    <row r="918" spans="1:5">
      <c r="A918" s="1">
        <v>45765</v>
      </c>
      <c r="B918" s="6">
        <v>0.44166666666666665</v>
      </c>
      <c r="C918" s="10" t="s">
        <v>22</v>
      </c>
      <c r="D918" t="str" cm="1">
        <f t="array" ref="D918">INDEX($H$2:$H$35, MATCH(1, (A918 &gt;= $F$2:$F$35) * (A918 &lt;= $G$2:$G$35), 0))</f>
        <v>15-04-2025 to 21-04-2025</v>
      </c>
      <c r="E918" t="str">
        <f>IF(COUNTIF('Top5'!I:I, D918) &gt; 0, "Yes", "No")</f>
        <v>No</v>
      </c>
    </row>
    <row r="919" spans="1:5">
      <c r="A919" s="1">
        <v>45765</v>
      </c>
      <c r="B919" s="6">
        <v>0.44374999999999998</v>
      </c>
      <c r="C919" s="10" t="s">
        <v>22</v>
      </c>
      <c r="D919" t="str" cm="1">
        <f t="array" ref="D919">INDEX($H$2:$H$35, MATCH(1, (A919 &gt;= $F$2:$F$35) * (A919 &lt;= $G$2:$G$35), 0))</f>
        <v>15-04-2025 to 21-04-2025</v>
      </c>
      <c r="E919" t="str">
        <f>IF(COUNTIF('Top5'!I:I, D919) &gt; 0, "Yes", "No")</f>
        <v>No</v>
      </c>
    </row>
    <row r="920" spans="1:5">
      <c r="A920" s="1">
        <v>45765</v>
      </c>
      <c r="B920" s="6">
        <v>0.71388888888888891</v>
      </c>
      <c r="C920" s="10" t="s">
        <v>70</v>
      </c>
      <c r="D920" t="str" cm="1">
        <f t="array" ref="D920">INDEX($H$2:$H$35, MATCH(1, (A920 &gt;= $F$2:$F$35) * (A920 &lt;= $G$2:$G$35), 0))</f>
        <v>15-04-2025 to 21-04-2025</v>
      </c>
      <c r="E920" t="str">
        <f>IF(COUNTIF('Top5'!I:I, D920) &gt; 0, "Yes", "No")</f>
        <v>No</v>
      </c>
    </row>
    <row r="921" spans="1:5">
      <c r="A921" s="1">
        <v>45765</v>
      </c>
      <c r="B921" s="6">
        <v>0.90347222222222223</v>
      </c>
      <c r="C921" s="10" t="s">
        <v>70</v>
      </c>
      <c r="D921" t="str" cm="1">
        <f t="array" ref="D921">INDEX($H$2:$H$35, MATCH(1, (A921 &gt;= $F$2:$F$35) * (A921 &lt;= $G$2:$G$35), 0))</f>
        <v>15-04-2025 to 21-04-2025</v>
      </c>
      <c r="E921" t="str">
        <f>IF(COUNTIF('Top5'!I:I, D921) &gt; 0, "Yes", "No")</f>
        <v>No</v>
      </c>
    </row>
    <row r="922" spans="1:5">
      <c r="A922" s="1">
        <v>45766</v>
      </c>
      <c r="B922" s="6">
        <v>0.46597222222222223</v>
      </c>
      <c r="C922" s="10" t="s">
        <v>22</v>
      </c>
      <c r="D922" t="str" cm="1">
        <f t="array" ref="D922">INDEX($H$2:$H$35, MATCH(1, (A922 &gt;= $F$2:$F$35) * (A922 &lt;= $G$2:$G$35), 0))</f>
        <v>15-04-2025 to 21-04-2025</v>
      </c>
      <c r="E922" t="str">
        <f>IF(COUNTIF('Top5'!I:I, D922) &gt; 0, "Yes", "No")</f>
        <v>No</v>
      </c>
    </row>
    <row r="923" spans="1:5">
      <c r="A923" s="1">
        <v>45766</v>
      </c>
      <c r="B923" s="6">
        <v>0.47152777777777777</v>
      </c>
      <c r="C923" s="10" t="s">
        <v>22</v>
      </c>
      <c r="D923" t="str" cm="1">
        <f t="array" ref="D923">INDEX($H$2:$H$35, MATCH(1, (A923 &gt;= $F$2:$F$35) * (A923 &lt;= $G$2:$G$35), 0))</f>
        <v>15-04-2025 to 21-04-2025</v>
      </c>
      <c r="E923" t="str">
        <f>IF(COUNTIF('Top5'!I:I, D923) &gt; 0, "Yes", "No")</f>
        <v>No</v>
      </c>
    </row>
    <row r="924" spans="1:5">
      <c r="A924" s="1">
        <v>45766</v>
      </c>
      <c r="B924" s="6">
        <v>0.61597222222222225</v>
      </c>
      <c r="C924" s="10" t="s">
        <v>71</v>
      </c>
      <c r="D924" t="str" cm="1">
        <f t="array" ref="D924">INDEX($H$2:$H$35, MATCH(1, (A924 &gt;= $F$2:$F$35) * (A924 &lt;= $G$2:$G$35), 0))</f>
        <v>15-04-2025 to 21-04-2025</v>
      </c>
      <c r="E924" t="str">
        <f>IF(COUNTIF('Top5'!I:I, D924) &gt; 0, "Yes", "No")</f>
        <v>No</v>
      </c>
    </row>
    <row r="925" spans="1:5">
      <c r="A925" s="1">
        <v>45767</v>
      </c>
      <c r="B925" s="6">
        <v>0.44930555555555557</v>
      </c>
      <c r="C925" s="10" t="s">
        <v>22</v>
      </c>
      <c r="D925" t="str" cm="1">
        <f t="array" ref="D925">INDEX($H$2:$H$35, MATCH(1, (A925 &gt;= $F$2:$F$35) * (A925 &lt;= $G$2:$G$35), 0))</f>
        <v>15-04-2025 to 21-04-2025</v>
      </c>
      <c r="E925" t="str">
        <f>IF(COUNTIF('Top5'!I:I, D925) &gt; 0, "Yes", "No")</f>
        <v>No</v>
      </c>
    </row>
    <row r="926" spans="1:5">
      <c r="A926" s="1">
        <v>45767</v>
      </c>
      <c r="B926" s="6">
        <v>0.4597222222222222</v>
      </c>
      <c r="C926" s="10" t="s">
        <v>22</v>
      </c>
      <c r="D926" t="str" cm="1">
        <f t="array" ref="D926">INDEX($H$2:$H$35, MATCH(1, (A926 &gt;= $F$2:$F$35) * (A926 &lt;= $G$2:$G$35), 0))</f>
        <v>15-04-2025 to 21-04-2025</v>
      </c>
      <c r="E926" t="str">
        <f>IF(COUNTIF('Top5'!I:I, D926) &gt; 0, "Yes", "No")</f>
        <v>No</v>
      </c>
    </row>
    <row r="927" spans="1:5">
      <c r="A927" s="1">
        <v>45767</v>
      </c>
      <c r="B927" s="6">
        <v>0.48888888888888887</v>
      </c>
      <c r="C927" s="10" t="s">
        <v>22</v>
      </c>
      <c r="D927" t="str" cm="1">
        <f t="array" ref="D927">INDEX($H$2:$H$35, MATCH(1, (A927 &gt;= $F$2:$F$35) * (A927 &lt;= $G$2:$G$35), 0))</f>
        <v>15-04-2025 to 21-04-2025</v>
      </c>
      <c r="E927" t="str">
        <f>IF(COUNTIF('Top5'!I:I, D927) &gt; 0, "Yes", "No")</f>
        <v>No</v>
      </c>
    </row>
    <row r="928" spans="1:5">
      <c r="A928" s="1">
        <v>45768</v>
      </c>
      <c r="B928" s="6">
        <v>0.76736111111111116</v>
      </c>
      <c r="C928" s="10" t="s">
        <v>70</v>
      </c>
      <c r="D928" t="str" cm="1">
        <f t="array" ref="D928">INDEX($H$2:$H$35, MATCH(1, (A928 &gt;= $F$2:$F$35) * (A928 &lt;= $G$2:$G$35), 0))</f>
        <v>15-04-2025 to 21-04-2025</v>
      </c>
      <c r="E928" t="str">
        <f>IF(COUNTIF('Top5'!I:I, D928) &gt; 0, "Yes", "No")</f>
        <v>No</v>
      </c>
    </row>
    <row r="929" spans="1:5">
      <c r="A929" s="1">
        <v>45768</v>
      </c>
      <c r="B929" s="6">
        <v>0.7729166666666667</v>
      </c>
      <c r="C929" s="10" t="s">
        <v>70</v>
      </c>
      <c r="D929" t="str" cm="1">
        <f t="array" ref="D929">INDEX($H$2:$H$35, MATCH(1, (A929 &gt;= $F$2:$F$35) * (A929 &lt;= $G$2:$G$35), 0))</f>
        <v>15-04-2025 to 21-04-2025</v>
      </c>
      <c r="E929" t="str">
        <f>IF(COUNTIF('Top5'!I:I, D929) &gt; 0, "Yes", "No")</f>
        <v>No</v>
      </c>
    </row>
    <row r="930" spans="1:5">
      <c r="A930" s="1">
        <v>45768</v>
      </c>
      <c r="B930" s="6">
        <v>0.78263888888888888</v>
      </c>
      <c r="C930" s="10" t="s">
        <v>70</v>
      </c>
      <c r="D930" t="str" cm="1">
        <f t="array" ref="D930">INDEX($H$2:$H$35, MATCH(1, (A930 &gt;= $F$2:$F$35) * (A930 &lt;= $G$2:$G$35), 0))</f>
        <v>15-04-2025 to 21-04-2025</v>
      </c>
      <c r="E930" t="str">
        <f>IF(COUNTIF('Top5'!I:I, D930) &gt; 0, "Yes", "No")</f>
        <v>No</v>
      </c>
    </row>
    <row r="931" spans="1:5">
      <c r="A931" s="1">
        <v>45769</v>
      </c>
      <c r="B931" s="6">
        <v>0.4513888888888889</v>
      </c>
      <c r="C931" s="10" t="s">
        <v>22</v>
      </c>
      <c r="D931" t="str" cm="1">
        <f t="array" ref="D931">INDEX($H$2:$H$35, MATCH(1, (A931 &gt;= $F$2:$F$35) * (A931 &lt;= $G$2:$G$35), 0))</f>
        <v>22-04-2025 to 28-04-2025</v>
      </c>
      <c r="E931" t="str">
        <f>IF(COUNTIF('Top5'!I:I, D931) &gt; 0, "Yes", "No")</f>
        <v>No</v>
      </c>
    </row>
    <row r="932" spans="1:5">
      <c r="A932" s="1">
        <v>45769</v>
      </c>
      <c r="B932" s="6">
        <v>0.66527777777777775</v>
      </c>
      <c r="C932" s="10" t="s">
        <v>71</v>
      </c>
      <c r="D932" t="str" cm="1">
        <f t="array" ref="D932">INDEX($H$2:$H$35, MATCH(1, (A932 &gt;= $F$2:$F$35) * (A932 &lt;= $G$2:$G$35), 0))</f>
        <v>22-04-2025 to 28-04-2025</v>
      </c>
      <c r="E932" t="str">
        <f>IF(COUNTIF('Top5'!I:I, D932) &gt; 0, "Yes", "No")</f>
        <v>No</v>
      </c>
    </row>
    <row r="933" spans="1:5">
      <c r="A933" s="1">
        <v>45769</v>
      </c>
      <c r="B933" s="6">
        <v>0.76736111111111116</v>
      </c>
      <c r="C933" s="10" t="s">
        <v>70</v>
      </c>
      <c r="D933" t="str" cm="1">
        <f t="array" ref="D933">INDEX($H$2:$H$35, MATCH(1, (A933 &gt;= $F$2:$F$35) * (A933 &lt;= $G$2:$G$35), 0))</f>
        <v>22-04-2025 to 28-04-2025</v>
      </c>
      <c r="E933" t="str">
        <f>IF(COUNTIF('Top5'!I:I, D933) &gt; 0, "Yes", "No")</f>
        <v>No</v>
      </c>
    </row>
    <row r="934" spans="1:5">
      <c r="A934" s="1">
        <v>45769</v>
      </c>
      <c r="B934" s="6">
        <v>0.77500000000000002</v>
      </c>
      <c r="C934" s="10" t="s">
        <v>70</v>
      </c>
      <c r="D934" t="str" cm="1">
        <f t="array" ref="D934">INDEX($H$2:$H$35, MATCH(1, (A934 &gt;= $F$2:$F$35) * (A934 &lt;= $G$2:$G$35), 0))</f>
        <v>22-04-2025 to 28-04-2025</v>
      </c>
      <c r="E934" t="str">
        <f>IF(COUNTIF('Top5'!I:I, D934) &gt; 0, "Yes", "No")</f>
        <v>No</v>
      </c>
    </row>
    <row r="935" spans="1:5">
      <c r="A935" s="1">
        <v>45769</v>
      </c>
      <c r="B935" s="6">
        <v>0.80763888888888891</v>
      </c>
      <c r="C935" s="10" t="s">
        <v>70</v>
      </c>
      <c r="D935" t="str" cm="1">
        <f t="array" ref="D935">INDEX($H$2:$H$35, MATCH(1, (A935 &gt;= $F$2:$F$35) * (A935 &lt;= $G$2:$G$35), 0))</f>
        <v>22-04-2025 to 28-04-2025</v>
      </c>
      <c r="E935" t="str">
        <f>IF(COUNTIF('Top5'!I:I, D935) &gt; 0, "Yes", "No")</f>
        <v>No</v>
      </c>
    </row>
    <row r="936" spans="1:5">
      <c r="A936" s="1">
        <v>45769</v>
      </c>
      <c r="B936" s="6">
        <v>0.97361111111111109</v>
      </c>
      <c r="C936" s="10" t="s">
        <v>70</v>
      </c>
      <c r="D936" t="str" cm="1">
        <f t="array" ref="D936">INDEX($H$2:$H$35, MATCH(1, (A936 &gt;= $F$2:$F$35) * (A936 &lt;= $G$2:$G$35), 0))</f>
        <v>22-04-2025 to 28-04-2025</v>
      </c>
      <c r="E936" t="str">
        <f>IF(COUNTIF('Top5'!I:I, D936) &gt; 0, "Yes", "No")</f>
        <v>No</v>
      </c>
    </row>
    <row r="937" spans="1:5">
      <c r="A937" s="1">
        <v>45769</v>
      </c>
      <c r="B937" s="6">
        <v>0.9819444444444444</v>
      </c>
      <c r="C937" s="10" t="s">
        <v>70</v>
      </c>
      <c r="D937" t="str" cm="1">
        <f t="array" ref="D937">INDEX($H$2:$H$35, MATCH(1, (A937 &gt;= $F$2:$F$35) * (A937 &lt;= $G$2:$G$35), 0))</f>
        <v>22-04-2025 to 28-04-2025</v>
      </c>
      <c r="E937" t="str">
        <f>IF(COUNTIF('Top5'!I:I, D937) &gt; 0, "Yes", "No")</f>
        <v>No</v>
      </c>
    </row>
    <row r="938" spans="1:5">
      <c r="A938" s="1">
        <v>45770</v>
      </c>
      <c r="B938" s="6">
        <v>0.43333333333333335</v>
      </c>
      <c r="C938" s="10" t="s">
        <v>22</v>
      </c>
      <c r="D938" t="str" cm="1">
        <f t="array" ref="D938">INDEX($H$2:$H$35, MATCH(1, (A938 &gt;= $F$2:$F$35) * (A938 &lt;= $G$2:$G$35), 0))</f>
        <v>22-04-2025 to 28-04-2025</v>
      </c>
      <c r="E938" t="str">
        <f>IF(COUNTIF('Top5'!I:I, D938) &gt; 0, "Yes", "No")</f>
        <v>No</v>
      </c>
    </row>
    <row r="939" spans="1:5">
      <c r="A939" s="1">
        <v>45770</v>
      </c>
      <c r="B939" s="6">
        <v>0.43680555555555556</v>
      </c>
      <c r="C939" s="10" t="s">
        <v>22</v>
      </c>
      <c r="D939" t="str" cm="1">
        <f t="array" ref="D939">INDEX($H$2:$H$35, MATCH(1, (A939 &gt;= $F$2:$F$35) * (A939 &lt;= $G$2:$G$35), 0))</f>
        <v>22-04-2025 to 28-04-2025</v>
      </c>
      <c r="E939" t="str">
        <f>IF(COUNTIF('Top5'!I:I, D939) &gt; 0, "Yes", "No")</f>
        <v>No</v>
      </c>
    </row>
    <row r="940" spans="1:5">
      <c r="A940" s="1">
        <v>45770</v>
      </c>
      <c r="B940" s="6">
        <v>0.49652777777777779</v>
      </c>
      <c r="C940" s="10" t="s">
        <v>22</v>
      </c>
      <c r="D940" t="str" cm="1">
        <f t="array" ref="D940">INDEX($H$2:$H$35, MATCH(1, (A940 &gt;= $F$2:$F$35) * (A940 &lt;= $G$2:$G$35), 0))</f>
        <v>22-04-2025 to 28-04-2025</v>
      </c>
      <c r="E940" t="str">
        <f>IF(COUNTIF('Top5'!I:I, D940) &gt; 0, "Yes", "No")</f>
        <v>No</v>
      </c>
    </row>
    <row r="941" spans="1:5">
      <c r="A941" s="1">
        <v>45770</v>
      </c>
      <c r="B941" s="6">
        <v>0.49861111111111112</v>
      </c>
      <c r="C941" s="10" t="s">
        <v>22</v>
      </c>
      <c r="D941" t="str" cm="1">
        <f t="array" ref="D941">INDEX($H$2:$H$35, MATCH(1, (A941 &gt;= $F$2:$F$35) * (A941 &lt;= $G$2:$G$35), 0))</f>
        <v>22-04-2025 to 28-04-2025</v>
      </c>
      <c r="E941" t="str">
        <f>IF(COUNTIF('Top5'!I:I, D941) &gt; 0, "Yes", "No")</f>
        <v>No</v>
      </c>
    </row>
    <row r="942" spans="1:5">
      <c r="A942" s="1">
        <v>45770</v>
      </c>
      <c r="B942" s="6">
        <v>0.49930555555555556</v>
      </c>
      <c r="C942" s="10" t="s">
        <v>22</v>
      </c>
      <c r="D942" t="str" cm="1">
        <f t="array" ref="D942">INDEX($H$2:$H$35, MATCH(1, (A942 &gt;= $F$2:$F$35) * (A942 &lt;= $G$2:$G$35), 0))</f>
        <v>22-04-2025 to 28-04-2025</v>
      </c>
      <c r="E942" t="str">
        <f>IF(COUNTIF('Top5'!I:I, D942) &gt; 0, "Yes", "No")</f>
        <v>No</v>
      </c>
    </row>
    <row r="943" spans="1:5">
      <c r="A943" s="1">
        <v>45770</v>
      </c>
      <c r="B943" s="6">
        <v>0.51388888888888884</v>
      </c>
      <c r="C943" s="10" t="s">
        <v>71</v>
      </c>
      <c r="D943" t="str" cm="1">
        <f t="array" ref="D943">INDEX($H$2:$H$35, MATCH(1, (A943 &gt;= $F$2:$F$35) * (A943 &lt;= $G$2:$G$35), 0))</f>
        <v>22-04-2025 to 28-04-2025</v>
      </c>
      <c r="E943" t="str">
        <f>IF(COUNTIF('Top5'!I:I, D943) &gt; 0, "Yes", "No")</f>
        <v>No</v>
      </c>
    </row>
    <row r="944" spans="1:5">
      <c r="A944" s="1">
        <v>45770</v>
      </c>
      <c r="B944" s="6">
        <v>0.51388888888888884</v>
      </c>
      <c r="C944" s="10" t="s">
        <v>71</v>
      </c>
      <c r="D944" t="str" cm="1">
        <f t="array" ref="D944">INDEX($H$2:$H$35, MATCH(1, (A944 &gt;= $F$2:$F$35) * (A944 &lt;= $G$2:$G$35), 0))</f>
        <v>22-04-2025 to 28-04-2025</v>
      </c>
      <c r="E944" t="str">
        <f>IF(COUNTIF('Top5'!I:I, D944) &gt; 0, "Yes", "No")</f>
        <v>No</v>
      </c>
    </row>
    <row r="945" spans="1:5">
      <c r="A945" s="1">
        <v>45770</v>
      </c>
      <c r="B945" s="6">
        <v>0.51458333333333328</v>
      </c>
      <c r="C945" s="10" t="s">
        <v>71</v>
      </c>
      <c r="D945" t="str" cm="1">
        <f t="array" ref="D945">INDEX($H$2:$H$35, MATCH(1, (A945 &gt;= $F$2:$F$35) * (A945 &lt;= $G$2:$G$35), 0))</f>
        <v>22-04-2025 to 28-04-2025</v>
      </c>
      <c r="E945" t="str">
        <f>IF(COUNTIF('Top5'!I:I, D945) &gt; 0, "Yes", "No")</f>
        <v>No</v>
      </c>
    </row>
    <row r="946" spans="1:5">
      <c r="A946" s="1">
        <v>45770</v>
      </c>
      <c r="B946" s="6">
        <v>0.51666666666666672</v>
      </c>
      <c r="C946" s="10" t="s">
        <v>71</v>
      </c>
      <c r="D946" t="str" cm="1">
        <f t="array" ref="D946">INDEX($H$2:$H$35, MATCH(1, (A946 &gt;= $F$2:$F$35) * (A946 &lt;= $G$2:$G$35), 0))</f>
        <v>22-04-2025 to 28-04-2025</v>
      </c>
      <c r="E946" t="str">
        <f>IF(COUNTIF('Top5'!I:I, D946) &gt; 0, "Yes", "No")</f>
        <v>No</v>
      </c>
    </row>
    <row r="947" spans="1:5">
      <c r="A947" s="1">
        <v>45770</v>
      </c>
      <c r="B947" s="6">
        <v>0.51736111111111116</v>
      </c>
      <c r="C947" s="10" t="s">
        <v>71</v>
      </c>
      <c r="D947" t="str" cm="1">
        <f t="array" ref="D947">INDEX($H$2:$H$35, MATCH(1, (A947 &gt;= $F$2:$F$35) * (A947 &lt;= $G$2:$G$35), 0))</f>
        <v>22-04-2025 to 28-04-2025</v>
      </c>
      <c r="E947" t="str">
        <f>IF(COUNTIF('Top5'!I:I, D947) &gt; 0, "Yes", "No")</f>
        <v>No</v>
      </c>
    </row>
    <row r="948" spans="1:5">
      <c r="A948" s="1">
        <v>45770</v>
      </c>
      <c r="B948" s="6">
        <v>0.5180555555555556</v>
      </c>
      <c r="C948" s="10" t="s">
        <v>71</v>
      </c>
      <c r="D948" t="str" cm="1">
        <f t="array" ref="D948">INDEX($H$2:$H$35, MATCH(1, (A948 &gt;= $F$2:$F$35) * (A948 &lt;= $G$2:$G$35), 0))</f>
        <v>22-04-2025 to 28-04-2025</v>
      </c>
      <c r="E948" t="str">
        <f>IF(COUNTIF('Top5'!I:I, D948) &gt; 0, "Yes", "No")</f>
        <v>No</v>
      </c>
    </row>
    <row r="949" spans="1:5">
      <c r="A949" s="1">
        <v>45770</v>
      </c>
      <c r="B949" s="6">
        <v>0.5180555555555556</v>
      </c>
      <c r="C949" s="10" t="s">
        <v>71</v>
      </c>
      <c r="D949" t="str" cm="1">
        <f t="array" ref="D949">INDEX($H$2:$H$35, MATCH(1, (A949 &gt;= $F$2:$F$35) * (A949 &lt;= $G$2:$G$35), 0))</f>
        <v>22-04-2025 to 28-04-2025</v>
      </c>
      <c r="E949" t="str">
        <f>IF(COUNTIF('Top5'!I:I, D949) &gt; 0, "Yes", "No")</f>
        <v>No</v>
      </c>
    </row>
    <row r="950" spans="1:5">
      <c r="A950" s="1">
        <v>45770</v>
      </c>
      <c r="B950" s="6">
        <v>0.5180555555555556</v>
      </c>
      <c r="C950" s="10" t="s">
        <v>71</v>
      </c>
      <c r="D950" t="str" cm="1">
        <f t="array" ref="D950">INDEX($H$2:$H$35, MATCH(1, (A950 &gt;= $F$2:$F$35) * (A950 &lt;= $G$2:$G$35), 0))</f>
        <v>22-04-2025 to 28-04-2025</v>
      </c>
      <c r="E950" t="str">
        <f>IF(COUNTIF('Top5'!I:I, D950) &gt; 0, "Yes", "No")</f>
        <v>No</v>
      </c>
    </row>
    <row r="951" spans="1:5">
      <c r="A951" s="1">
        <v>45770</v>
      </c>
      <c r="B951" s="6">
        <v>0.51875000000000004</v>
      </c>
      <c r="C951" s="10" t="s">
        <v>71</v>
      </c>
      <c r="D951" t="str" cm="1">
        <f t="array" ref="D951">INDEX($H$2:$H$35, MATCH(1, (A951 &gt;= $F$2:$F$35) * (A951 &lt;= $G$2:$G$35), 0))</f>
        <v>22-04-2025 to 28-04-2025</v>
      </c>
      <c r="E951" t="str">
        <f>IF(COUNTIF('Top5'!I:I, D951) &gt; 0, "Yes", "No")</f>
        <v>No</v>
      </c>
    </row>
    <row r="952" spans="1:5">
      <c r="A952" s="1">
        <v>45770</v>
      </c>
      <c r="B952" s="6">
        <v>0.52777777777777779</v>
      </c>
      <c r="C952" s="10" t="s">
        <v>71</v>
      </c>
      <c r="D952" t="str" cm="1">
        <f t="array" ref="D952">INDEX($H$2:$H$35, MATCH(1, (A952 &gt;= $F$2:$F$35) * (A952 &lt;= $G$2:$G$35), 0))</f>
        <v>22-04-2025 to 28-04-2025</v>
      </c>
      <c r="E952" t="str">
        <f>IF(COUNTIF('Top5'!I:I, D952) &gt; 0, "Yes", "No")</f>
        <v>No</v>
      </c>
    </row>
    <row r="953" spans="1:5">
      <c r="A953" s="1">
        <v>45770</v>
      </c>
      <c r="B953" s="6">
        <v>0.52916666666666667</v>
      </c>
      <c r="C953" s="10" t="s">
        <v>71</v>
      </c>
      <c r="D953" t="str" cm="1">
        <f t="array" ref="D953">INDEX($H$2:$H$35, MATCH(1, (A953 &gt;= $F$2:$F$35) * (A953 &lt;= $G$2:$G$35), 0))</f>
        <v>22-04-2025 to 28-04-2025</v>
      </c>
      <c r="E953" t="str">
        <f>IF(COUNTIF('Top5'!I:I, D953) &gt; 0, "Yes", "No")</f>
        <v>No</v>
      </c>
    </row>
    <row r="954" spans="1:5">
      <c r="A954" s="1">
        <v>45770</v>
      </c>
      <c r="B954" s="6">
        <v>0.53055555555555556</v>
      </c>
      <c r="C954" s="10" t="s">
        <v>71</v>
      </c>
      <c r="D954" t="str" cm="1">
        <f t="array" ref="D954">INDEX($H$2:$H$35, MATCH(1, (A954 &gt;= $F$2:$F$35) * (A954 &lt;= $G$2:$G$35), 0))</f>
        <v>22-04-2025 to 28-04-2025</v>
      </c>
      <c r="E954" t="str">
        <f>IF(COUNTIF('Top5'!I:I, D954) &gt; 0, "Yes", "No")</f>
        <v>No</v>
      </c>
    </row>
    <row r="955" spans="1:5">
      <c r="A955" s="1">
        <v>45770</v>
      </c>
      <c r="B955" s="6">
        <v>0.53125</v>
      </c>
      <c r="C955" s="10" t="s">
        <v>71</v>
      </c>
      <c r="D955" t="str" cm="1">
        <f t="array" ref="D955">INDEX($H$2:$H$35, MATCH(1, (A955 &gt;= $F$2:$F$35) * (A955 &lt;= $G$2:$G$35), 0))</f>
        <v>22-04-2025 to 28-04-2025</v>
      </c>
      <c r="E955" t="str">
        <f>IF(COUNTIF('Top5'!I:I, D955) &gt; 0, "Yes", "No")</f>
        <v>No</v>
      </c>
    </row>
    <row r="956" spans="1:5">
      <c r="A956" s="1">
        <v>45770</v>
      </c>
      <c r="B956" s="6">
        <v>0.61805555555555558</v>
      </c>
      <c r="C956" s="10" t="s">
        <v>71</v>
      </c>
      <c r="D956" t="str" cm="1">
        <f t="array" ref="D956">INDEX($H$2:$H$35, MATCH(1, (A956 &gt;= $F$2:$F$35) * (A956 &lt;= $G$2:$G$35), 0))</f>
        <v>22-04-2025 to 28-04-2025</v>
      </c>
      <c r="E956" t="str">
        <f>IF(COUNTIF('Top5'!I:I, D956) &gt; 0, "Yes", "No")</f>
        <v>No</v>
      </c>
    </row>
    <row r="957" spans="1:5">
      <c r="A957" s="1">
        <v>45770</v>
      </c>
      <c r="B957" s="6">
        <v>0.72499999999999998</v>
      </c>
      <c r="C957" s="10" t="s">
        <v>70</v>
      </c>
      <c r="D957" t="str" cm="1">
        <f t="array" ref="D957">INDEX($H$2:$H$35, MATCH(1, (A957 &gt;= $F$2:$F$35) * (A957 &lt;= $G$2:$G$35), 0))</f>
        <v>22-04-2025 to 28-04-2025</v>
      </c>
      <c r="E957" t="str">
        <f>IF(COUNTIF('Top5'!I:I, D957) &gt; 0, "Yes", "No")</f>
        <v>No</v>
      </c>
    </row>
    <row r="958" spans="1:5">
      <c r="A958" s="1">
        <v>45771</v>
      </c>
      <c r="B958" s="6">
        <v>0.58750000000000002</v>
      </c>
      <c r="C958" s="10" t="s">
        <v>71</v>
      </c>
      <c r="D958" t="str" cm="1">
        <f t="array" ref="D958">INDEX($H$2:$H$35, MATCH(1, (A958 &gt;= $F$2:$F$35) * (A958 &lt;= $G$2:$G$35), 0))</f>
        <v>22-04-2025 to 28-04-2025</v>
      </c>
      <c r="E958" t="str">
        <f>IF(COUNTIF('Top5'!I:I, D958) &gt; 0, "Yes", "No")</f>
        <v>No</v>
      </c>
    </row>
    <row r="959" spans="1:5">
      <c r="A959" s="1">
        <v>45771</v>
      </c>
      <c r="B959" s="6">
        <v>0.65277777777777779</v>
      </c>
      <c r="C959" s="10" t="s">
        <v>71</v>
      </c>
      <c r="D959" t="str" cm="1">
        <f t="array" ref="D959">INDEX($H$2:$H$35, MATCH(1, (A959 &gt;= $F$2:$F$35) * (A959 &lt;= $G$2:$G$35), 0))</f>
        <v>22-04-2025 to 28-04-2025</v>
      </c>
      <c r="E959" t="str">
        <f>IF(COUNTIF('Top5'!I:I, D959) &gt; 0, "Yes", "No")</f>
        <v>No</v>
      </c>
    </row>
    <row r="960" spans="1:5">
      <c r="A960" s="1">
        <v>45771</v>
      </c>
      <c r="B960" s="6">
        <v>0.85</v>
      </c>
      <c r="C960" s="10" t="s">
        <v>70</v>
      </c>
      <c r="D960" t="str" cm="1">
        <f t="array" ref="D960">INDEX($H$2:$H$35, MATCH(1, (A960 &gt;= $F$2:$F$35) * (A960 &lt;= $G$2:$G$35), 0))</f>
        <v>22-04-2025 to 28-04-2025</v>
      </c>
      <c r="E960" t="str">
        <f>IF(COUNTIF('Top5'!I:I, D960) &gt; 0, "Yes", "No")</f>
        <v>No</v>
      </c>
    </row>
    <row r="961" spans="1:5">
      <c r="A961" s="1">
        <v>45771</v>
      </c>
      <c r="B961" s="6">
        <v>0.87847222222222221</v>
      </c>
      <c r="C961" s="10" t="s">
        <v>70</v>
      </c>
      <c r="D961" t="str" cm="1">
        <f t="array" ref="D961">INDEX($H$2:$H$35, MATCH(1, (A961 &gt;= $F$2:$F$35) * (A961 &lt;= $G$2:$G$35), 0))</f>
        <v>22-04-2025 to 28-04-2025</v>
      </c>
      <c r="E961" t="str">
        <f>IF(COUNTIF('Top5'!I:I, D961) &gt; 0, "Yes", "No")</f>
        <v>No</v>
      </c>
    </row>
    <row r="962" spans="1:5">
      <c r="A962" s="1">
        <v>45772</v>
      </c>
      <c r="B962" s="6">
        <v>0.4375</v>
      </c>
      <c r="C962" s="10" t="s">
        <v>22</v>
      </c>
      <c r="D962" t="str" cm="1">
        <f t="array" ref="D962">INDEX($H$2:$H$35, MATCH(1, (A962 &gt;= $F$2:$F$35) * (A962 &lt;= $G$2:$G$35), 0))</f>
        <v>22-04-2025 to 28-04-2025</v>
      </c>
      <c r="E962" t="str">
        <f>IF(COUNTIF('Top5'!I:I, D962) &gt; 0, "Yes", "No")</f>
        <v>No</v>
      </c>
    </row>
    <row r="963" spans="1:5">
      <c r="A963" s="1">
        <v>45772</v>
      </c>
      <c r="B963" s="6">
        <v>0.4548611111111111</v>
      </c>
      <c r="C963" s="10" t="s">
        <v>22</v>
      </c>
      <c r="D963" t="str" cm="1">
        <f t="array" ref="D963">INDEX($H$2:$H$35, MATCH(1, (A963 &gt;= $F$2:$F$35) * (A963 &lt;= $G$2:$G$35), 0))</f>
        <v>22-04-2025 to 28-04-2025</v>
      </c>
      <c r="E963" t="str">
        <f>IF(COUNTIF('Top5'!I:I, D963) &gt; 0, "Yes", "No")</f>
        <v>No</v>
      </c>
    </row>
    <row r="964" spans="1:5">
      <c r="A964" s="1">
        <v>45772</v>
      </c>
      <c r="B964" s="6">
        <v>0.93055555555555558</v>
      </c>
      <c r="C964" s="10" t="s">
        <v>70</v>
      </c>
      <c r="D964" t="str" cm="1">
        <f t="array" ref="D964">INDEX($H$2:$H$35, MATCH(1, (A964 &gt;= $F$2:$F$35) * (A964 &lt;= $G$2:$G$35), 0))</f>
        <v>22-04-2025 to 28-04-2025</v>
      </c>
      <c r="E964" t="str">
        <f>IF(COUNTIF('Top5'!I:I, D964) &gt; 0, "Yes", "No")</f>
        <v>No</v>
      </c>
    </row>
    <row r="965" spans="1:5">
      <c r="A965" s="1">
        <v>45772</v>
      </c>
      <c r="B965" s="6">
        <v>0.93055555555555558</v>
      </c>
      <c r="C965" s="10" t="s">
        <v>70</v>
      </c>
      <c r="D965" t="str" cm="1">
        <f t="array" ref="D965">INDEX($H$2:$H$35, MATCH(1, (A965 &gt;= $F$2:$F$35) * (A965 &lt;= $G$2:$G$35), 0))</f>
        <v>22-04-2025 to 28-04-2025</v>
      </c>
      <c r="E965" t="str">
        <f>IF(COUNTIF('Top5'!I:I, D965) &gt; 0, "Yes", "No")</f>
        <v>No</v>
      </c>
    </row>
    <row r="966" spans="1:5">
      <c r="A966" s="1">
        <v>45773</v>
      </c>
      <c r="B966" s="6">
        <v>0.44374999999999998</v>
      </c>
      <c r="C966" s="10" t="s">
        <v>22</v>
      </c>
      <c r="D966" t="str" cm="1">
        <f t="array" ref="D966">INDEX($H$2:$H$35, MATCH(1, (A966 &gt;= $F$2:$F$35) * (A966 &lt;= $G$2:$G$35), 0))</f>
        <v>22-04-2025 to 28-04-2025</v>
      </c>
      <c r="E966" t="str">
        <f>IF(COUNTIF('Top5'!I:I, D966) &gt; 0, "Yes", "No")</f>
        <v>No</v>
      </c>
    </row>
    <row r="967" spans="1:5">
      <c r="A967" s="1">
        <v>45773</v>
      </c>
      <c r="B967" s="6">
        <v>0.4597222222222222</v>
      </c>
      <c r="C967" s="10" t="s">
        <v>22</v>
      </c>
      <c r="D967" t="str" cm="1">
        <f t="array" ref="D967">INDEX($H$2:$H$35, MATCH(1, (A967 &gt;= $F$2:$F$35) * (A967 &lt;= $G$2:$G$35), 0))</f>
        <v>22-04-2025 to 28-04-2025</v>
      </c>
      <c r="E967" t="str">
        <f>IF(COUNTIF('Top5'!I:I, D967) &gt; 0, "Yes", "No")</f>
        <v>No</v>
      </c>
    </row>
    <row r="968" spans="1:5">
      <c r="A968" s="1">
        <v>45773</v>
      </c>
      <c r="B968" s="6">
        <v>0.46180555555555558</v>
      </c>
      <c r="C968" s="10" t="s">
        <v>22</v>
      </c>
      <c r="D968" t="str" cm="1">
        <f t="array" ref="D968">INDEX($H$2:$H$35, MATCH(1, (A968 &gt;= $F$2:$F$35) * (A968 &lt;= $G$2:$G$35), 0))</f>
        <v>22-04-2025 to 28-04-2025</v>
      </c>
      <c r="E968" t="str">
        <f>IF(COUNTIF('Top5'!I:I, D968) &gt; 0, "Yes", "No")</f>
        <v>No</v>
      </c>
    </row>
    <row r="969" spans="1:5">
      <c r="A969" s="1">
        <v>45773</v>
      </c>
      <c r="B969" s="6">
        <v>0.80277777777777781</v>
      </c>
      <c r="C969" s="10" t="s">
        <v>70</v>
      </c>
      <c r="D969" t="str" cm="1">
        <f t="array" ref="D969">INDEX($H$2:$H$35, MATCH(1, (A969 &gt;= $F$2:$F$35) * (A969 &lt;= $G$2:$G$35), 0))</f>
        <v>22-04-2025 to 28-04-2025</v>
      </c>
      <c r="E969" t="str">
        <f>IF(COUNTIF('Top5'!I:I, D969) &gt; 0, "Yes", "No")</f>
        <v>No</v>
      </c>
    </row>
    <row r="970" spans="1:5">
      <c r="A970" s="1">
        <v>45774</v>
      </c>
      <c r="B970" s="6">
        <v>6.9444444444444447E-4</v>
      </c>
      <c r="C970" s="10" t="s">
        <v>70</v>
      </c>
      <c r="D970" t="str" cm="1">
        <f t="array" ref="D970">INDEX($H$2:$H$35, MATCH(1, (A970 &gt;= $F$2:$F$35) * (A970 &lt;= $G$2:$G$35), 0))</f>
        <v>22-04-2025 to 28-04-2025</v>
      </c>
      <c r="E970" t="str">
        <f>IF(COUNTIF('Top5'!I:I, D970) &gt; 0, "Yes", "No")</f>
        <v>No</v>
      </c>
    </row>
    <row r="971" spans="1:5">
      <c r="A971" s="1">
        <v>45774</v>
      </c>
      <c r="B971" s="6">
        <v>0.59236111111111112</v>
      </c>
      <c r="C971" s="10" t="s">
        <v>71</v>
      </c>
      <c r="D971" t="str" cm="1">
        <f t="array" ref="D971">INDEX($H$2:$H$35, MATCH(1, (A971 &gt;= $F$2:$F$35) * (A971 &lt;= $G$2:$G$35), 0))</f>
        <v>22-04-2025 to 28-04-2025</v>
      </c>
      <c r="E971" t="str">
        <f>IF(COUNTIF('Top5'!I:I, D971) &gt; 0, "Yes", "No")</f>
        <v>No</v>
      </c>
    </row>
    <row r="972" spans="1:5">
      <c r="A972" s="1">
        <v>45774</v>
      </c>
      <c r="B972" s="6">
        <v>0.59513888888888888</v>
      </c>
      <c r="C972" s="10" t="s">
        <v>71</v>
      </c>
      <c r="D972" t="str" cm="1">
        <f t="array" ref="D972">INDEX($H$2:$H$35, MATCH(1, (A972 &gt;= $F$2:$F$35) * (A972 &lt;= $G$2:$G$35), 0))</f>
        <v>22-04-2025 to 28-04-2025</v>
      </c>
      <c r="E972" t="str">
        <f>IF(COUNTIF('Top5'!I:I, D972) &gt; 0, "Yes", "No")</f>
        <v>No</v>
      </c>
    </row>
    <row r="973" spans="1:5">
      <c r="A973" s="1">
        <v>45774</v>
      </c>
      <c r="B973" s="6">
        <v>0.75902777777777775</v>
      </c>
      <c r="C973" s="10" t="s">
        <v>70</v>
      </c>
      <c r="D973" t="str" cm="1">
        <f t="array" ref="D973">INDEX($H$2:$H$35, MATCH(1, (A973 &gt;= $F$2:$F$35) * (A973 &lt;= $G$2:$G$35), 0))</f>
        <v>22-04-2025 to 28-04-2025</v>
      </c>
      <c r="E973" t="str">
        <f>IF(COUNTIF('Top5'!I:I, D973) &gt; 0, "Yes", "No")</f>
        <v>No</v>
      </c>
    </row>
    <row r="974" spans="1:5">
      <c r="A974" s="1">
        <v>45774</v>
      </c>
      <c r="B974" s="6">
        <v>0.77569444444444446</v>
      </c>
      <c r="C974" s="10" t="s">
        <v>70</v>
      </c>
      <c r="D974" t="str" cm="1">
        <f t="array" ref="D974">INDEX($H$2:$H$35, MATCH(1, (A974 &gt;= $F$2:$F$35) * (A974 &lt;= $G$2:$G$35), 0))</f>
        <v>22-04-2025 to 28-04-2025</v>
      </c>
      <c r="E974" t="str">
        <f>IF(COUNTIF('Top5'!I:I, D974) &gt; 0, "Yes", "No")</f>
        <v>No</v>
      </c>
    </row>
    <row r="975" spans="1:5">
      <c r="A975" s="1">
        <v>45774</v>
      </c>
      <c r="B975" s="6">
        <v>0.98124999999999996</v>
      </c>
      <c r="C975" s="10" t="s">
        <v>70</v>
      </c>
      <c r="D975" t="str" cm="1">
        <f t="array" ref="D975">INDEX($H$2:$H$35, MATCH(1, (A975 &gt;= $F$2:$F$35) * (A975 &lt;= $G$2:$G$35), 0))</f>
        <v>22-04-2025 to 28-04-2025</v>
      </c>
      <c r="E975" t="str">
        <f>IF(COUNTIF('Top5'!I:I, D975) &gt; 0, "Yes", "No")</f>
        <v>No</v>
      </c>
    </row>
    <row r="976" spans="1:5">
      <c r="A976" s="1">
        <v>45775</v>
      </c>
      <c r="B976" s="6">
        <v>3.472222222222222E-3</v>
      </c>
      <c r="C976" s="10" t="s">
        <v>70</v>
      </c>
      <c r="D976" t="str" cm="1">
        <f t="array" ref="D976">INDEX($H$2:$H$35, MATCH(1, (A976 &gt;= $F$2:$F$35) * (A976 &lt;= $G$2:$G$35), 0))</f>
        <v>22-04-2025 to 28-04-2025</v>
      </c>
      <c r="E976" t="str">
        <f>IF(COUNTIF('Top5'!I:I, D976) &gt; 0, "Yes", "No")</f>
        <v>No</v>
      </c>
    </row>
    <row r="977" spans="1:5">
      <c r="A977" s="1">
        <v>45775</v>
      </c>
      <c r="B977" s="6">
        <v>0.49027777777777776</v>
      </c>
      <c r="C977" s="10" t="s">
        <v>22</v>
      </c>
      <c r="D977" t="str" cm="1">
        <f t="array" ref="D977">INDEX($H$2:$H$35, MATCH(1, (A977 &gt;= $F$2:$F$35) * (A977 &lt;= $G$2:$G$35), 0))</f>
        <v>22-04-2025 to 28-04-2025</v>
      </c>
      <c r="E977" t="str">
        <f>IF(COUNTIF('Top5'!I:I, D977) &gt; 0, "Yes", "No")</f>
        <v>No</v>
      </c>
    </row>
    <row r="978" spans="1:5">
      <c r="A978" s="1">
        <v>45775</v>
      </c>
      <c r="B978" s="6">
        <v>0.49305555555555558</v>
      </c>
      <c r="C978" s="10" t="s">
        <v>22</v>
      </c>
      <c r="D978" t="str" cm="1">
        <f t="array" ref="D978">INDEX($H$2:$H$35, MATCH(1, (A978 &gt;= $F$2:$F$35) * (A978 &lt;= $G$2:$G$35), 0))</f>
        <v>22-04-2025 to 28-04-2025</v>
      </c>
      <c r="E978" t="str">
        <f>IF(COUNTIF('Top5'!I:I, D978) &gt; 0, "Yes", "No")</f>
        <v>No</v>
      </c>
    </row>
    <row r="979" spans="1:5">
      <c r="A979" s="1">
        <v>45775</v>
      </c>
      <c r="B979" s="6">
        <v>0.49375000000000002</v>
      </c>
      <c r="C979" s="10" t="s">
        <v>22</v>
      </c>
      <c r="D979" t="str" cm="1">
        <f t="array" ref="D979">INDEX($H$2:$H$35, MATCH(1, (A979 &gt;= $F$2:$F$35) * (A979 &lt;= $G$2:$G$35), 0))</f>
        <v>22-04-2025 to 28-04-2025</v>
      </c>
      <c r="E979" t="str">
        <f>IF(COUNTIF('Top5'!I:I, D979) &gt; 0, "Yes", "No")</f>
        <v>No</v>
      </c>
    </row>
    <row r="980" spans="1:5">
      <c r="A980" s="1">
        <v>45775</v>
      </c>
      <c r="B980" s="6">
        <v>0.50486111111111109</v>
      </c>
      <c r="C980" s="10" t="s">
        <v>71</v>
      </c>
      <c r="D980" t="str" cm="1">
        <f t="array" ref="D980">INDEX($H$2:$H$35, MATCH(1, (A980 &gt;= $F$2:$F$35) * (A980 &lt;= $G$2:$G$35), 0))</f>
        <v>22-04-2025 to 28-04-2025</v>
      </c>
      <c r="E980" t="str">
        <f>IF(COUNTIF('Top5'!I:I, D980) &gt; 0, "Yes", "No")</f>
        <v>No</v>
      </c>
    </row>
    <row r="981" spans="1:5">
      <c r="A981" s="1">
        <v>45775</v>
      </c>
      <c r="B981" s="6">
        <v>0.50486111111111109</v>
      </c>
      <c r="C981" s="10" t="s">
        <v>71</v>
      </c>
      <c r="D981" t="str" cm="1">
        <f t="array" ref="D981">INDEX($H$2:$H$35, MATCH(1, (A981 &gt;= $F$2:$F$35) * (A981 &lt;= $G$2:$G$35), 0))</f>
        <v>22-04-2025 to 28-04-2025</v>
      </c>
      <c r="E981" t="str">
        <f>IF(COUNTIF('Top5'!I:I, D981) &gt; 0, "Yes", "No")</f>
        <v>No</v>
      </c>
    </row>
    <row r="982" spans="1:5">
      <c r="A982" s="1">
        <v>45775</v>
      </c>
      <c r="B982" s="6">
        <v>0.65208333333333335</v>
      </c>
      <c r="C982" s="10" t="s">
        <v>71</v>
      </c>
      <c r="D982" t="str" cm="1">
        <f t="array" ref="D982">INDEX($H$2:$H$35, MATCH(1, (A982 &gt;= $F$2:$F$35) * (A982 &lt;= $G$2:$G$35), 0))</f>
        <v>22-04-2025 to 28-04-2025</v>
      </c>
      <c r="E982" t="str">
        <f>IF(COUNTIF('Top5'!I:I, D982) &gt; 0, "Yes", "No")</f>
        <v>No</v>
      </c>
    </row>
    <row r="983" spans="1:5">
      <c r="A983" s="1">
        <v>45775</v>
      </c>
      <c r="B983" s="6">
        <v>0.66249999999999998</v>
      </c>
      <c r="C983" s="10" t="s">
        <v>71</v>
      </c>
      <c r="D983" t="str" cm="1">
        <f t="array" ref="D983">INDEX($H$2:$H$35, MATCH(1, (A983 &gt;= $F$2:$F$35) * (A983 &lt;= $G$2:$G$35), 0))</f>
        <v>22-04-2025 to 28-04-2025</v>
      </c>
      <c r="E983" t="str">
        <f>IF(COUNTIF('Top5'!I:I, D983) &gt; 0, "Yes", "No")</f>
        <v>No</v>
      </c>
    </row>
    <row r="984" spans="1:5">
      <c r="A984" s="1">
        <v>45775</v>
      </c>
      <c r="B984" s="6">
        <v>0.70208333333333328</v>
      </c>
      <c r="C984" s="10" t="s">
        <v>71</v>
      </c>
      <c r="D984" t="str" cm="1">
        <f t="array" ref="D984">INDEX($H$2:$H$35, MATCH(1, (A984 &gt;= $F$2:$F$35) * (A984 &lt;= $G$2:$G$35), 0))</f>
        <v>22-04-2025 to 28-04-2025</v>
      </c>
      <c r="E984" t="str">
        <f>IF(COUNTIF('Top5'!I:I, D984) &gt; 0, "Yes", "No")</f>
        <v>No</v>
      </c>
    </row>
    <row r="985" spans="1:5">
      <c r="A985" s="1">
        <v>45775</v>
      </c>
      <c r="B985" s="6">
        <v>0.8979166666666667</v>
      </c>
      <c r="C985" s="10" t="s">
        <v>70</v>
      </c>
      <c r="D985" t="str" cm="1">
        <f t="array" ref="D985">INDEX($H$2:$H$35, MATCH(1, (A985 &gt;= $F$2:$F$35) * (A985 &lt;= $G$2:$G$35), 0))</f>
        <v>22-04-2025 to 28-04-2025</v>
      </c>
      <c r="E985" t="str">
        <f>IF(COUNTIF('Top5'!I:I, D985) &gt; 0, "Yes", "No")</f>
        <v>No</v>
      </c>
    </row>
    <row r="986" spans="1:5">
      <c r="A986" s="1">
        <v>45775</v>
      </c>
      <c r="B986" s="6">
        <v>0.90138888888888891</v>
      </c>
      <c r="C986" s="10" t="s">
        <v>70</v>
      </c>
      <c r="D986" t="str" cm="1">
        <f t="array" ref="D986">INDEX($H$2:$H$35, MATCH(1, (A986 &gt;= $F$2:$F$35) * (A986 &lt;= $G$2:$G$35), 0))</f>
        <v>22-04-2025 to 28-04-2025</v>
      </c>
      <c r="E986" t="str">
        <f>IF(COUNTIF('Top5'!I:I, D986) &gt; 0, "Yes", "No")</f>
        <v>No</v>
      </c>
    </row>
    <row r="987" spans="1:5">
      <c r="A987" s="1">
        <v>45775</v>
      </c>
      <c r="B987" s="6">
        <v>0.90208333333333335</v>
      </c>
      <c r="C987" s="10" t="s">
        <v>70</v>
      </c>
      <c r="D987" t="str" cm="1">
        <f t="array" ref="D987">INDEX($H$2:$H$35, MATCH(1, (A987 &gt;= $F$2:$F$35) * (A987 &lt;= $G$2:$G$35), 0))</f>
        <v>22-04-2025 to 28-04-2025</v>
      </c>
      <c r="E987" t="str">
        <f>IF(COUNTIF('Top5'!I:I, D987) &gt; 0, "Yes", "No")</f>
        <v>No</v>
      </c>
    </row>
    <row r="988" spans="1:5">
      <c r="A988" s="1">
        <v>45776</v>
      </c>
      <c r="B988" s="6">
        <v>2.0833333333333333E-3</v>
      </c>
      <c r="C988" s="10" t="s">
        <v>70</v>
      </c>
      <c r="D988" t="str" cm="1">
        <f t="array" ref="D988">INDEX($H$2:$H$35, MATCH(1, (A988 &gt;= $F$2:$F$35) * (A988 &lt;= $G$2:$G$35), 0))</f>
        <v>29-04-2025 to 30-04-2025</v>
      </c>
      <c r="E988" t="str">
        <f>IF(COUNTIF('Top5'!I:I, D988) &gt; 0, "Yes", "No")</f>
        <v>No</v>
      </c>
    </row>
    <row r="989" spans="1:5">
      <c r="A989" s="1">
        <v>45776</v>
      </c>
      <c r="B989" s="6">
        <v>2.0833333333333333E-3</v>
      </c>
      <c r="C989" s="10" t="s">
        <v>70</v>
      </c>
      <c r="D989" t="str" cm="1">
        <f t="array" ref="D989">INDEX($H$2:$H$35, MATCH(1, (A989 &gt;= $F$2:$F$35) * (A989 &lt;= $G$2:$G$35), 0))</f>
        <v>29-04-2025 to 30-04-2025</v>
      </c>
      <c r="E989" t="str">
        <f>IF(COUNTIF('Top5'!I:I, D989) &gt; 0, "Yes", "No")</f>
        <v>No</v>
      </c>
    </row>
    <row r="990" spans="1:5">
      <c r="A990" s="1">
        <v>45776</v>
      </c>
      <c r="B990" s="6">
        <v>2.0833333333333333E-3</v>
      </c>
      <c r="C990" s="10" t="s">
        <v>70</v>
      </c>
      <c r="D990" t="str" cm="1">
        <f t="array" ref="D990">INDEX($H$2:$H$35, MATCH(1, (A990 &gt;= $F$2:$F$35) * (A990 &lt;= $G$2:$G$35), 0))</f>
        <v>29-04-2025 to 30-04-2025</v>
      </c>
      <c r="E990" t="str">
        <f>IF(COUNTIF('Top5'!I:I, D990) &gt; 0, "Yes", "No")</f>
        <v>No</v>
      </c>
    </row>
    <row r="991" spans="1:5">
      <c r="A991" s="1">
        <v>45776</v>
      </c>
      <c r="B991" s="6">
        <v>0.75972222222222219</v>
      </c>
      <c r="C991" s="10" t="s">
        <v>70</v>
      </c>
      <c r="D991" t="str" cm="1">
        <f t="array" ref="D991">INDEX($H$2:$H$35, MATCH(1, (A991 &gt;= $F$2:$F$35) * (A991 &lt;= $G$2:$G$35), 0))</f>
        <v>29-04-2025 to 30-04-2025</v>
      </c>
      <c r="E991" t="str">
        <f>IF(COUNTIF('Top5'!I:I, D991) &gt; 0, "Yes", "No")</f>
        <v>No</v>
      </c>
    </row>
    <row r="992" spans="1:5">
      <c r="A992" s="1">
        <v>45777</v>
      </c>
      <c r="B992" s="6">
        <v>0.41597222222222224</v>
      </c>
      <c r="C992" s="10" t="s">
        <v>22</v>
      </c>
      <c r="D992" t="str" cm="1">
        <f t="array" ref="D992">INDEX($H$2:$H$35, MATCH(1, (A992 &gt;= $F$2:$F$35) * (A992 &lt;= $G$2:$G$35), 0))</f>
        <v>29-04-2025 to 30-04-2025</v>
      </c>
      <c r="E992" t="str">
        <f>IF(COUNTIF('Top5'!I:I, D992) &gt; 0, "Yes", "No")</f>
        <v>No</v>
      </c>
    </row>
    <row r="993" spans="1:5">
      <c r="A993" s="1">
        <v>45777</v>
      </c>
      <c r="B993" s="6">
        <v>0.53125</v>
      </c>
      <c r="C993" s="10" t="s">
        <v>71</v>
      </c>
      <c r="D993" t="str" cm="1">
        <f t="array" ref="D993">INDEX($H$2:$H$35, MATCH(1, (A993 &gt;= $F$2:$F$35) * (A993 &lt;= $G$2:$G$35), 0))</f>
        <v>29-04-2025 to 30-04-2025</v>
      </c>
      <c r="E993" t="str">
        <f>IF(COUNTIF('Top5'!I:I, D993) &gt; 0, "Yes", "No")</f>
        <v>No</v>
      </c>
    </row>
    <row r="994" spans="1:5">
      <c r="A994" s="1">
        <v>45777</v>
      </c>
      <c r="B994" s="6">
        <v>0.57013888888888886</v>
      </c>
      <c r="C994" s="10" t="s">
        <v>71</v>
      </c>
      <c r="D994" t="str" cm="1">
        <f t="array" ref="D994">INDEX($H$2:$H$35, MATCH(1, (A994 &gt;= $F$2:$F$35) * (A994 &lt;= $G$2:$G$35), 0))</f>
        <v>29-04-2025 to 30-04-2025</v>
      </c>
      <c r="E994" t="str">
        <f>IF(COUNTIF('Top5'!I:I, D994) &gt; 0, "Yes", "No")</f>
        <v>No</v>
      </c>
    </row>
    <row r="995" spans="1:5">
      <c r="A995" s="1">
        <v>45777</v>
      </c>
      <c r="B995" s="6">
        <v>0.5708333333333333</v>
      </c>
      <c r="C995" s="10" t="s">
        <v>71</v>
      </c>
      <c r="D995" t="str" cm="1">
        <f t="array" ref="D995">INDEX($H$2:$H$35, MATCH(1, (A995 &gt;= $F$2:$F$35) * (A995 &lt;= $G$2:$G$35), 0))</f>
        <v>29-04-2025 to 30-04-2025</v>
      </c>
      <c r="E995" t="str">
        <f>IF(COUNTIF('Top5'!I:I, D995) &gt; 0, "Yes", "No")</f>
        <v>No</v>
      </c>
    </row>
    <row r="996" spans="1:5">
      <c r="A996" s="1">
        <v>45777</v>
      </c>
      <c r="B996" s="6">
        <v>0.57430555555555551</v>
      </c>
      <c r="C996" s="10" t="s">
        <v>71</v>
      </c>
      <c r="D996" t="str" cm="1">
        <f t="array" ref="D996">INDEX($H$2:$H$35, MATCH(1, (A996 &gt;= $F$2:$F$35) * (A996 &lt;= $G$2:$G$35), 0))</f>
        <v>29-04-2025 to 30-04-2025</v>
      </c>
      <c r="E996" t="str">
        <f>IF(COUNTIF('Top5'!I:I, D996) &gt; 0, "Yes", "No")</f>
        <v>No</v>
      </c>
    </row>
    <row r="997" spans="1:5">
      <c r="A997" s="1">
        <v>45777</v>
      </c>
      <c r="B997" s="6">
        <v>0.59513888888888888</v>
      </c>
      <c r="C997" s="10" t="s">
        <v>71</v>
      </c>
      <c r="D997" t="str" cm="1">
        <f t="array" ref="D997">INDEX($H$2:$H$35, MATCH(1, (A997 &gt;= $F$2:$F$35) * (A997 &lt;= $G$2:$G$35), 0))</f>
        <v>29-04-2025 to 30-04-2025</v>
      </c>
      <c r="E997" t="str">
        <f>IF(COUNTIF('Top5'!I:I, D997) &gt; 0, "Yes", "No")</f>
        <v>No</v>
      </c>
    </row>
    <row r="998" spans="1:5">
      <c r="A998" s="1">
        <v>45777</v>
      </c>
      <c r="B998" s="6">
        <v>0.80694444444444446</v>
      </c>
      <c r="C998" s="10" t="s">
        <v>70</v>
      </c>
      <c r="D998" t="str" cm="1">
        <f t="array" ref="D998">INDEX($H$2:$H$35, MATCH(1, (A998 &gt;= $F$2:$F$35) * (A998 &lt;= $G$2:$G$35), 0))</f>
        <v>29-04-2025 to 30-04-2025</v>
      </c>
      <c r="E998" t="str">
        <f>IF(COUNTIF('Top5'!I:I, D998) &gt; 0, "Yes", "No")</f>
        <v>No</v>
      </c>
    </row>
    <row r="999" spans="1:5">
      <c r="A999" s="1">
        <v>45777</v>
      </c>
      <c r="B999" s="6">
        <v>0.80833333333333335</v>
      </c>
      <c r="C999" s="10" t="s">
        <v>70</v>
      </c>
      <c r="D999" t="str" cm="1">
        <f t="array" ref="D999">INDEX($H$2:$H$35, MATCH(1, (A999 &gt;= $F$2:$F$35) * (A999 &lt;= $G$2:$G$35), 0))</f>
        <v>29-04-2025 to 30-04-2025</v>
      </c>
      <c r="E999" t="str">
        <f>IF(COUNTIF('Top5'!I:I, D999) &gt; 0, "Yes", "No")</f>
        <v>No</v>
      </c>
    </row>
    <row r="1000" spans="1:5">
      <c r="A1000" s="1">
        <v>45777</v>
      </c>
      <c r="B1000" s="6">
        <v>0.80902777777777779</v>
      </c>
      <c r="C1000" s="10" t="s">
        <v>70</v>
      </c>
      <c r="D1000" t="str" cm="1">
        <f t="array" ref="D1000">INDEX($H$2:$H$35, MATCH(1, (A1000 &gt;= $F$2:$F$35) * (A1000 &lt;= $G$2:$G$35), 0))</f>
        <v>29-04-2025 to 30-04-2025</v>
      </c>
      <c r="E1000" t="str">
        <f>IF(COUNTIF('Top5'!I:I, D1000) &gt; 0, "Yes", "No")</f>
        <v>No</v>
      </c>
    </row>
    <row r="1001" spans="1:5">
      <c r="A1001" s="1">
        <v>45777</v>
      </c>
      <c r="B1001" s="6">
        <v>0.81388888888888888</v>
      </c>
      <c r="C1001" s="10" t="s">
        <v>70</v>
      </c>
      <c r="D1001" t="str" cm="1">
        <f t="array" ref="D1001">INDEX($H$2:$H$35, MATCH(1, (A1001 &gt;= $F$2:$F$35) * (A1001 &lt;= $G$2:$G$35), 0))</f>
        <v>29-04-2025 to 30-04-2025</v>
      </c>
      <c r="E1001" t="str">
        <f>IF(COUNTIF('Top5'!I:I, D1001) &gt; 0, "Yes", "No")</f>
        <v>No</v>
      </c>
    </row>
    <row r="1002" spans="1:5">
      <c r="A1002" s="11"/>
      <c r="C1002" s="10"/>
    </row>
    <row r="1003" spans="1:5">
      <c r="A1003" s="11"/>
      <c r="C1003" s="10"/>
    </row>
    <row r="1004" spans="1:5">
      <c r="A1004" s="11"/>
      <c r="C1004" s="10"/>
    </row>
    <row r="1005" spans="1:5">
      <c r="A1005" s="11"/>
      <c r="C1005" s="10"/>
    </row>
    <row r="1006" spans="1:5">
      <c r="A1006" s="11"/>
      <c r="C1006" s="10"/>
    </row>
    <row r="1007" spans="1:5">
      <c r="A1007" s="11"/>
      <c r="C1007" s="10"/>
    </row>
    <row r="1008" spans="1:5">
      <c r="A1008" s="11"/>
      <c r="C1008" s="10"/>
    </row>
    <row r="1009" spans="1:3">
      <c r="A1009" s="11"/>
      <c r="C1009" s="10"/>
    </row>
    <row r="1010" spans="1:3">
      <c r="A1010" s="11"/>
      <c r="C1010" s="10"/>
    </row>
    <row r="1011" spans="1:3">
      <c r="A1011" s="11"/>
      <c r="C1011" s="10"/>
    </row>
    <row r="1012" spans="1:3">
      <c r="A1012" s="11"/>
      <c r="C1012" s="10"/>
    </row>
    <row r="1013" spans="1:3">
      <c r="A1013" s="11"/>
      <c r="C1013" s="10"/>
    </row>
    <row r="1014" spans="1:3">
      <c r="A1014" s="11"/>
      <c r="C1014" s="10"/>
    </row>
    <row r="1015" spans="1:3">
      <c r="A1015" s="11"/>
      <c r="C1015" s="10"/>
    </row>
    <row r="1016" spans="1:3">
      <c r="A1016" s="11"/>
      <c r="C1016" s="10"/>
    </row>
    <row r="1017" spans="1:3">
      <c r="A1017" s="11"/>
      <c r="C1017" s="10"/>
    </row>
    <row r="1018" spans="1:3">
      <c r="A1018" s="11"/>
      <c r="C1018" s="10"/>
    </row>
    <row r="1019" spans="1:3">
      <c r="A1019" s="11"/>
      <c r="C1019" s="10"/>
    </row>
    <row r="1020" spans="1:3">
      <c r="A1020" s="11"/>
      <c r="C1020" s="10"/>
    </row>
    <row r="1021" spans="1:3">
      <c r="A1021" s="11"/>
      <c r="C1021" s="10"/>
    </row>
    <row r="1022" spans="1:3">
      <c r="A1022" s="11"/>
      <c r="C1022" s="10"/>
    </row>
    <row r="1023" spans="1:3">
      <c r="A1023" s="11"/>
      <c r="C1023" s="10"/>
    </row>
    <row r="1024" spans="1:3">
      <c r="A1024" s="11"/>
      <c r="C1024" s="10"/>
    </row>
    <row r="1025" spans="1:3">
      <c r="A1025" s="11"/>
      <c r="C1025" s="10"/>
    </row>
    <row r="1026" spans="1:3">
      <c r="A1026" s="11"/>
      <c r="C1026" s="10"/>
    </row>
    <row r="1027" spans="1:3">
      <c r="A1027" s="11"/>
      <c r="C1027" s="10"/>
    </row>
    <row r="1028" spans="1:3">
      <c r="A1028" s="11"/>
      <c r="C1028" s="10"/>
    </row>
    <row r="1029" spans="1:3">
      <c r="A1029" s="11"/>
      <c r="C1029" s="10"/>
    </row>
    <row r="1030" spans="1:3">
      <c r="A1030" s="11"/>
      <c r="C1030" s="10"/>
    </row>
    <row r="1031" spans="1:3">
      <c r="A1031" s="11"/>
      <c r="C1031" s="10"/>
    </row>
    <row r="1032" spans="1:3">
      <c r="A1032" s="11"/>
      <c r="C1032" s="10"/>
    </row>
    <row r="1033" spans="1:3">
      <c r="A1033" s="11"/>
      <c r="C1033" s="10"/>
    </row>
    <row r="1034" spans="1:3">
      <c r="A1034" s="11"/>
      <c r="C1034" s="10"/>
    </row>
    <row r="1035" spans="1:3">
      <c r="A1035" s="11"/>
      <c r="C1035" s="10"/>
    </row>
    <row r="1036" spans="1:3">
      <c r="A1036" s="11"/>
      <c r="C1036" s="10"/>
    </row>
    <row r="1037" spans="1:3">
      <c r="A1037" s="11"/>
      <c r="C1037" s="10"/>
    </row>
    <row r="1038" spans="1:3">
      <c r="A1038" s="11"/>
      <c r="C1038" s="10"/>
    </row>
    <row r="1039" spans="1:3">
      <c r="A1039" s="11"/>
      <c r="C1039" s="10"/>
    </row>
    <row r="1040" spans="1:3">
      <c r="A1040" s="11"/>
      <c r="C1040" s="10"/>
    </row>
    <row r="1041" spans="1:3">
      <c r="A1041" s="11"/>
      <c r="C1041" s="10"/>
    </row>
    <row r="1042" spans="1:3">
      <c r="A1042" s="11"/>
      <c r="C1042" s="10"/>
    </row>
    <row r="1043" spans="1:3">
      <c r="A1043" s="11"/>
      <c r="C1043" s="10"/>
    </row>
    <row r="1044" spans="1:3">
      <c r="A1044" s="11"/>
      <c r="C1044" s="10"/>
    </row>
    <row r="1045" spans="1:3">
      <c r="A1045" s="11"/>
      <c r="C1045" s="10"/>
    </row>
    <row r="1046" spans="1:3">
      <c r="A1046" s="11"/>
      <c r="C1046" s="10"/>
    </row>
    <row r="1047" spans="1:3">
      <c r="A1047" s="11"/>
      <c r="C1047" s="10"/>
    </row>
    <row r="1048" spans="1:3">
      <c r="A1048" s="11"/>
      <c r="C1048" s="10"/>
    </row>
    <row r="1049" spans="1:3">
      <c r="A1049" s="11"/>
      <c r="C1049" s="10"/>
    </row>
    <row r="1050" spans="1:3">
      <c r="A1050" s="11"/>
      <c r="C1050" s="10"/>
    </row>
    <row r="1051" spans="1:3">
      <c r="A1051" s="11"/>
      <c r="C1051" s="10"/>
    </row>
    <row r="1052" spans="1:3">
      <c r="A1052" s="11"/>
      <c r="C1052" s="10"/>
    </row>
    <row r="1053" spans="1:3">
      <c r="A1053" s="11"/>
      <c r="C1053" s="10"/>
    </row>
    <row r="1054" spans="1:3">
      <c r="A1054" s="11"/>
      <c r="C1054" s="10"/>
    </row>
    <row r="1055" spans="1:3">
      <c r="A1055" s="11"/>
      <c r="C1055" s="10"/>
    </row>
    <row r="1056" spans="1:3">
      <c r="A1056" s="11"/>
      <c r="C1056" s="10"/>
    </row>
    <row r="1057" spans="1:3">
      <c r="A1057" s="11"/>
      <c r="C1057" s="10"/>
    </row>
    <row r="1058" spans="1:3">
      <c r="A1058" s="11"/>
      <c r="C1058" s="10"/>
    </row>
    <row r="1059" spans="1:3">
      <c r="A1059" s="11"/>
      <c r="C1059" s="10"/>
    </row>
    <row r="1060" spans="1:3">
      <c r="A1060" s="11"/>
      <c r="C1060" s="10"/>
    </row>
    <row r="1061" spans="1:3">
      <c r="A1061" s="11"/>
      <c r="C1061" s="10"/>
    </row>
    <row r="1062" spans="1:3">
      <c r="A1062" s="11"/>
      <c r="C1062" s="10"/>
    </row>
    <row r="1063" spans="1:3">
      <c r="A1063" s="11"/>
      <c r="C1063" s="10"/>
    </row>
    <row r="1064" spans="1:3">
      <c r="A1064" s="11"/>
      <c r="C1064" s="10"/>
    </row>
    <row r="1065" spans="1:3">
      <c r="A1065" s="11"/>
      <c r="C1065" s="10"/>
    </row>
    <row r="1066" spans="1:3">
      <c r="A1066" s="11"/>
      <c r="C1066" s="10"/>
    </row>
    <row r="1067" spans="1:3">
      <c r="A1067" s="11"/>
      <c r="C1067" s="10"/>
    </row>
    <row r="1068" spans="1:3">
      <c r="A1068" s="11"/>
      <c r="C1068" s="10"/>
    </row>
    <row r="1069" spans="1:3">
      <c r="A1069" s="11"/>
      <c r="C1069" s="10"/>
    </row>
    <row r="1070" spans="1:3">
      <c r="A1070" s="11"/>
      <c r="C1070" s="10"/>
    </row>
    <row r="1071" spans="1:3">
      <c r="A1071" s="11"/>
      <c r="C1071" s="10"/>
    </row>
    <row r="1072" spans="1:3">
      <c r="A1072" s="11"/>
      <c r="C1072" s="10"/>
    </row>
    <row r="1073" spans="1:3">
      <c r="A1073" s="11"/>
      <c r="C1073" s="10"/>
    </row>
    <row r="1074" spans="1:3">
      <c r="A1074" s="11"/>
      <c r="C1074" s="10"/>
    </row>
    <row r="1075" spans="1:3">
      <c r="A1075" s="11"/>
      <c r="C1075" s="10"/>
    </row>
    <row r="1076" spans="1:3">
      <c r="A1076" s="11"/>
      <c r="C1076" s="10"/>
    </row>
    <row r="1077" spans="1:3">
      <c r="A1077" s="11"/>
      <c r="C1077" s="10"/>
    </row>
    <row r="1078" spans="1:3">
      <c r="A1078" s="11"/>
      <c r="C1078" s="10"/>
    </row>
    <row r="1079" spans="1:3">
      <c r="A1079" s="11"/>
      <c r="C1079" s="10"/>
    </row>
    <row r="1080" spans="1:3">
      <c r="A1080" s="11"/>
      <c r="C1080" s="10"/>
    </row>
    <row r="1081" spans="1:3">
      <c r="A1081" s="11"/>
      <c r="C1081" s="10"/>
    </row>
    <row r="1082" spans="1:3">
      <c r="A1082" s="11"/>
      <c r="C1082" s="10"/>
    </row>
    <row r="1083" spans="1:3">
      <c r="A1083" s="11"/>
      <c r="C1083" s="10"/>
    </row>
    <row r="1084" spans="1:3">
      <c r="A1084" s="11"/>
      <c r="C1084" s="10"/>
    </row>
    <row r="1085" spans="1:3">
      <c r="A1085" s="11"/>
      <c r="C1085" s="10"/>
    </row>
    <row r="1086" spans="1:3">
      <c r="A1086" s="11"/>
      <c r="C1086" s="10"/>
    </row>
    <row r="1087" spans="1:3">
      <c r="A1087" s="11"/>
      <c r="C1087" s="10"/>
    </row>
    <row r="1088" spans="1:3">
      <c r="A1088" s="11"/>
      <c r="C1088" s="10"/>
    </row>
    <row r="1089" spans="1:3">
      <c r="A1089" s="11"/>
      <c r="C1089" s="10"/>
    </row>
    <row r="1090" spans="1:3">
      <c r="A1090" s="11"/>
      <c r="C1090" s="10"/>
    </row>
    <row r="1091" spans="1:3">
      <c r="A1091" s="11"/>
      <c r="C1091" s="10"/>
    </row>
    <row r="1092" spans="1:3">
      <c r="A1092" s="11"/>
      <c r="C1092" s="10"/>
    </row>
    <row r="1093" spans="1:3">
      <c r="A1093" s="11"/>
      <c r="C1093" s="10"/>
    </row>
    <row r="1094" spans="1:3">
      <c r="A1094" s="11"/>
      <c r="C1094" s="10"/>
    </row>
    <row r="1095" spans="1:3">
      <c r="A1095" s="11"/>
      <c r="C1095" s="10"/>
    </row>
    <row r="1096" spans="1:3">
      <c r="A1096" s="11"/>
      <c r="C1096" s="10"/>
    </row>
    <row r="1097" spans="1:3">
      <c r="A1097" s="11"/>
      <c r="C1097" s="10"/>
    </row>
    <row r="1098" spans="1:3">
      <c r="A1098" s="11"/>
      <c r="C1098" s="10"/>
    </row>
    <row r="1099" spans="1:3">
      <c r="A1099" s="11"/>
      <c r="C1099" s="10"/>
    </row>
    <row r="1100" spans="1:3">
      <c r="A1100" s="11"/>
      <c r="C1100" s="10"/>
    </row>
    <row r="1101" spans="1:3">
      <c r="A1101" s="11"/>
      <c r="C1101" s="10"/>
    </row>
    <row r="1102" spans="1:3">
      <c r="A1102" s="11"/>
      <c r="C1102" s="10"/>
    </row>
    <row r="1103" spans="1:3">
      <c r="A1103" s="11"/>
      <c r="C1103" s="10"/>
    </row>
    <row r="1104" spans="1:3">
      <c r="A1104" s="11"/>
      <c r="C1104" s="10"/>
    </row>
    <row r="1105" spans="1:3">
      <c r="A1105" s="11"/>
      <c r="C1105" s="10"/>
    </row>
    <row r="1106" spans="1:3">
      <c r="A1106" s="11"/>
      <c r="C1106" s="10"/>
    </row>
    <row r="1107" spans="1:3">
      <c r="A1107" s="11"/>
      <c r="C1107" s="10"/>
    </row>
    <row r="1108" spans="1:3">
      <c r="A1108" s="11"/>
      <c r="C1108" s="10"/>
    </row>
    <row r="1109" spans="1:3">
      <c r="A1109" s="11"/>
      <c r="C1109" s="10"/>
    </row>
    <row r="1110" spans="1:3">
      <c r="A1110" s="11"/>
      <c r="C1110" s="10"/>
    </row>
    <row r="1111" spans="1:3">
      <c r="A1111" s="11"/>
      <c r="C1111" s="10"/>
    </row>
    <row r="1112" spans="1:3">
      <c r="A1112" s="11"/>
      <c r="C1112" s="10"/>
    </row>
    <row r="1113" spans="1:3">
      <c r="A1113" s="11"/>
      <c r="C1113" s="10"/>
    </row>
    <row r="1114" spans="1:3">
      <c r="A1114" s="11"/>
      <c r="C1114" s="10"/>
    </row>
    <row r="1115" spans="1:3">
      <c r="A1115" s="11"/>
      <c r="C1115" s="10"/>
    </row>
    <row r="1116" spans="1:3">
      <c r="A1116" s="11"/>
      <c r="C1116" s="10"/>
    </row>
    <row r="1117" spans="1:3">
      <c r="A1117" s="11"/>
      <c r="C1117" s="10"/>
    </row>
    <row r="1118" spans="1:3">
      <c r="A1118" s="11"/>
      <c r="C1118" s="10"/>
    </row>
    <row r="1119" spans="1:3">
      <c r="A1119" s="11"/>
      <c r="C1119" s="10"/>
    </row>
    <row r="1120" spans="1:3">
      <c r="A1120" s="11"/>
      <c r="C1120" s="10"/>
    </row>
    <row r="1121" spans="1:3">
      <c r="A1121" s="11"/>
      <c r="C1121" s="10"/>
    </row>
    <row r="1122" spans="1:3">
      <c r="A1122" s="11"/>
      <c r="C1122" s="10"/>
    </row>
    <row r="1123" spans="1:3">
      <c r="A1123" s="11"/>
      <c r="C1123" s="10"/>
    </row>
    <row r="1124" spans="1:3">
      <c r="A1124" s="11"/>
      <c r="C1124" s="10"/>
    </row>
    <row r="1125" spans="1:3">
      <c r="A1125" s="11"/>
      <c r="C1125" s="10"/>
    </row>
    <row r="1126" spans="1:3">
      <c r="A1126" s="11"/>
      <c r="C1126" s="10"/>
    </row>
    <row r="1127" spans="1:3">
      <c r="A1127" s="11"/>
      <c r="C1127" s="10"/>
    </row>
    <row r="1128" spans="1:3">
      <c r="A1128" s="11"/>
      <c r="C1128" s="10"/>
    </row>
    <row r="1129" spans="1:3">
      <c r="A1129" s="11"/>
      <c r="C1129" s="10"/>
    </row>
    <row r="1130" spans="1:3">
      <c r="A1130" s="11"/>
      <c r="C1130" s="10"/>
    </row>
    <row r="1131" spans="1:3">
      <c r="A1131" s="11"/>
      <c r="C1131" s="10"/>
    </row>
    <row r="1132" spans="1:3">
      <c r="A1132" s="11"/>
      <c r="C1132" s="10"/>
    </row>
    <row r="1133" spans="1:3">
      <c r="A1133" s="11"/>
      <c r="C1133" s="10"/>
    </row>
    <row r="1134" spans="1:3">
      <c r="A1134" s="11"/>
      <c r="C1134" s="10"/>
    </row>
    <row r="1135" spans="1:3">
      <c r="A1135" s="11"/>
      <c r="C1135" s="10"/>
    </row>
    <row r="1136" spans="1:3">
      <c r="A1136" s="11"/>
      <c r="C1136" s="10"/>
    </row>
    <row r="1137" spans="1:3">
      <c r="A1137" s="11"/>
      <c r="C1137" s="10"/>
    </row>
    <row r="1138" spans="1:3">
      <c r="A1138" s="11"/>
      <c r="C1138" s="10"/>
    </row>
    <row r="1139" spans="1:3">
      <c r="A1139" s="11"/>
      <c r="C1139" s="10"/>
    </row>
    <row r="1140" spans="1:3">
      <c r="A1140" s="11"/>
      <c r="C1140" s="10"/>
    </row>
    <row r="1141" spans="1:3">
      <c r="A1141" s="11"/>
      <c r="C1141" s="10"/>
    </row>
    <row r="1142" spans="1:3">
      <c r="A1142" s="11"/>
      <c r="C1142" s="10"/>
    </row>
    <row r="1143" spans="1:3">
      <c r="A1143" s="11"/>
      <c r="C1143" s="10"/>
    </row>
    <row r="1144" spans="1:3">
      <c r="A1144" s="11"/>
      <c r="C1144" s="10"/>
    </row>
    <row r="1145" spans="1:3">
      <c r="A1145" s="11"/>
      <c r="C1145" s="10"/>
    </row>
    <row r="1146" spans="1:3">
      <c r="A1146" s="11"/>
      <c r="C1146" s="10"/>
    </row>
    <row r="1147" spans="1:3">
      <c r="A1147" s="11"/>
      <c r="C1147" s="10"/>
    </row>
    <row r="1148" spans="1:3">
      <c r="A1148" s="11"/>
      <c r="C1148" s="10"/>
    </row>
    <row r="1149" spans="1:3">
      <c r="A1149" s="11"/>
      <c r="C1149" s="10"/>
    </row>
    <row r="1150" spans="1:3">
      <c r="A1150" s="11"/>
      <c r="C1150" s="10"/>
    </row>
    <row r="1151" spans="1:3">
      <c r="A1151" s="11"/>
      <c r="C1151" s="10"/>
    </row>
    <row r="1152" spans="1:3">
      <c r="A1152" s="11"/>
      <c r="C1152" s="10"/>
    </row>
    <row r="1153" spans="1:3">
      <c r="A1153" s="11"/>
      <c r="C1153" s="10"/>
    </row>
    <row r="1154" spans="1:3">
      <c r="A1154" s="11"/>
      <c r="C1154" s="10"/>
    </row>
    <row r="1155" spans="1:3">
      <c r="A1155" s="11"/>
      <c r="C1155" s="10"/>
    </row>
    <row r="1156" spans="1:3">
      <c r="A1156" s="11"/>
      <c r="C1156" s="10"/>
    </row>
    <row r="1157" spans="1:3">
      <c r="A1157" s="11"/>
      <c r="C1157" s="10"/>
    </row>
    <row r="1158" spans="1:3">
      <c r="A1158" s="11"/>
      <c r="C1158" s="10"/>
    </row>
    <row r="1159" spans="1:3">
      <c r="A1159" s="11"/>
      <c r="C1159" s="10"/>
    </row>
    <row r="1160" spans="1:3">
      <c r="A1160" s="11"/>
      <c r="C1160" s="10"/>
    </row>
    <row r="1161" spans="1:3">
      <c r="A1161" s="11"/>
      <c r="C1161" s="10"/>
    </row>
    <row r="1162" spans="1:3">
      <c r="A1162" s="11"/>
      <c r="C1162" s="10"/>
    </row>
    <row r="1163" spans="1:3">
      <c r="A1163" s="11"/>
      <c r="C1163" s="10"/>
    </row>
    <row r="1164" spans="1:3">
      <c r="A1164" s="11"/>
      <c r="C1164" s="10"/>
    </row>
    <row r="1165" spans="1:3">
      <c r="A1165" s="11"/>
      <c r="C1165" s="10"/>
    </row>
    <row r="1166" spans="1:3">
      <c r="A1166" s="11"/>
      <c r="C1166" s="10"/>
    </row>
    <row r="1167" spans="1:3">
      <c r="A1167" s="11"/>
      <c r="C1167" s="10"/>
    </row>
    <row r="1168" spans="1:3">
      <c r="A1168" s="11"/>
      <c r="C1168" s="10"/>
    </row>
    <row r="1169" spans="1:3">
      <c r="A1169" s="11"/>
      <c r="C1169" s="10"/>
    </row>
    <row r="1170" spans="1:3">
      <c r="A1170" s="11"/>
      <c r="C1170" s="10"/>
    </row>
    <row r="1171" spans="1:3">
      <c r="A1171" s="11"/>
      <c r="C1171" s="10"/>
    </row>
    <row r="1172" spans="1:3">
      <c r="A1172" s="11"/>
      <c r="C1172" s="10"/>
    </row>
    <row r="1173" spans="1:3">
      <c r="A1173" s="11"/>
      <c r="C1173" s="10"/>
    </row>
    <row r="1174" spans="1:3">
      <c r="A1174" s="11"/>
      <c r="C1174" s="10"/>
    </row>
    <row r="1175" spans="1:3">
      <c r="A1175" s="11"/>
      <c r="C1175" s="10"/>
    </row>
    <row r="1176" spans="1:3">
      <c r="A1176" s="11"/>
      <c r="C1176" s="10"/>
    </row>
    <row r="1177" spans="1:3">
      <c r="A1177" s="11"/>
      <c r="C1177" s="10"/>
    </row>
    <row r="1178" spans="1:3">
      <c r="A1178" s="11"/>
      <c r="C1178" s="10"/>
    </row>
    <row r="1179" spans="1:3">
      <c r="A1179" s="11"/>
      <c r="C1179" s="10"/>
    </row>
    <row r="1180" spans="1:3">
      <c r="A1180" s="11"/>
      <c r="C1180" s="10"/>
    </row>
    <row r="1181" spans="1:3">
      <c r="A1181" s="11"/>
      <c r="C1181" s="10"/>
    </row>
    <row r="1182" spans="1:3">
      <c r="A1182" s="11"/>
      <c r="C1182" s="10"/>
    </row>
    <row r="1183" spans="1:3">
      <c r="A1183" s="11"/>
      <c r="C1183" s="10"/>
    </row>
    <row r="1184" spans="1:3">
      <c r="A1184" s="11"/>
      <c r="C1184" s="10"/>
    </row>
    <row r="1185" spans="1:3">
      <c r="A1185" s="11"/>
      <c r="C1185" s="10"/>
    </row>
    <row r="1186" spans="1:3">
      <c r="A1186" s="11"/>
      <c r="C1186" s="10"/>
    </row>
    <row r="1187" spans="1:3">
      <c r="A1187" s="11"/>
      <c r="C1187" s="10"/>
    </row>
    <row r="1188" spans="1:3">
      <c r="A1188" s="11"/>
      <c r="C1188" s="10"/>
    </row>
    <row r="1189" spans="1:3">
      <c r="A1189" s="11"/>
      <c r="C1189" s="10"/>
    </row>
    <row r="1190" spans="1:3">
      <c r="A1190" s="11"/>
      <c r="C1190" s="10"/>
    </row>
    <row r="1191" spans="1:3">
      <c r="A1191" s="11"/>
      <c r="C1191" s="10"/>
    </row>
    <row r="1192" spans="1:3">
      <c r="A1192" s="11"/>
      <c r="C1192" s="10"/>
    </row>
    <row r="1193" spans="1:3">
      <c r="A1193" s="11"/>
      <c r="C1193" s="10"/>
    </row>
    <row r="1194" spans="1:3">
      <c r="A1194" s="11"/>
      <c r="C1194" s="10"/>
    </row>
    <row r="1195" spans="1:3">
      <c r="A1195" s="11"/>
      <c r="C1195" s="10"/>
    </row>
    <row r="1196" spans="1:3">
      <c r="A1196" s="11"/>
      <c r="C1196" s="10"/>
    </row>
    <row r="1197" spans="1:3">
      <c r="A1197" s="11"/>
      <c r="C1197" s="10"/>
    </row>
    <row r="1198" spans="1:3">
      <c r="A1198" s="11"/>
      <c r="C1198" s="10"/>
    </row>
    <row r="1199" spans="1:3">
      <c r="A1199" s="11"/>
      <c r="C1199" s="10"/>
    </row>
    <row r="1200" spans="1:3">
      <c r="A1200" s="11"/>
      <c r="C1200" s="10"/>
    </row>
    <row r="1201" spans="1:3">
      <c r="A1201" s="11"/>
      <c r="C1201" s="10"/>
    </row>
    <row r="1202" spans="1:3">
      <c r="A1202" s="11"/>
      <c r="C1202" s="10"/>
    </row>
    <row r="1203" spans="1:3">
      <c r="A1203" s="11"/>
      <c r="C1203" s="10"/>
    </row>
    <row r="1204" spans="1:3">
      <c r="A1204" s="11"/>
      <c r="C1204" s="10"/>
    </row>
    <row r="1205" spans="1:3">
      <c r="A1205" s="11"/>
      <c r="C1205" s="10"/>
    </row>
    <row r="1206" spans="1:3">
      <c r="A1206" s="11"/>
      <c r="C1206" s="10"/>
    </row>
    <row r="1207" spans="1:3">
      <c r="A1207" s="11"/>
      <c r="C1207" s="10"/>
    </row>
    <row r="1208" spans="1:3">
      <c r="A1208" s="11"/>
      <c r="C1208" s="10"/>
    </row>
    <row r="1209" spans="1:3">
      <c r="A1209" s="11"/>
      <c r="C1209" s="10"/>
    </row>
    <row r="1210" spans="1:3">
      <c r="A1210" s="11"/>
      <c r="C1210" s="10"/>
    </row>
    <row r="1211" spans="1:3">
      <c r="A1211" s="11"/>
      <c r="C1211" s="10"/>
    </row>
    <row r="1212" spans="1:3">
      <c r="A1212" s="11"/>
      <c r="C1212" s="10"/>
    </row>
    <row r="1213" spans="1:3">
      <c r="A1213" s="11"/>
      <c r="C1213" s="10"/>
    </row>
    <row r="1214" spans="1:3">
      <c r="A1214" s="11"/>
      <c r="C1214" s="10"/>
    </row>
    <row r="1215" spans="1:3">
      <c r="A1215" s="11"/>
      <c r="C1215" s="10"/>
    </row>
    <row r="1216" spans="1:3">
      <c r="A1216" s="11"/>
      <c r="C1216" s="10"/>
    </row>
    <row r="1217" spans="1:3">
      <c r="A1217" s="11"/>
      <c r="C1217" s="10"/>
    </row>
    <row r="1218" spans="1:3">
      <c r="A1218" s="11"/>
      <c r="C1218" s="10"/>
    </row>
    <row r="1219" spans="1:3">
      <c r="A1219" s="11"/>
      <c r="C1219" s="10"/>
    </row>
    <row r="1220" spans="1:3">
      <c r="A1220" s="11"/>
      <c r="C1220" s="10"/>
    </row>
    <row r="1221" spans="1:3">
      <c r="A1221" s="11"/>
      <c r="C1221" s="10"/>
    </row>
    <row r="1222" spans="1:3">
      <c r="A1222" s="11"/>
      <c r="C1222" s="10"/>
    </row>
    <row r="1223" spans="1:3">
      <c r="A1223" s="11"/>
      <c r="C1223" s="10"/>
    </row>
    <row r="1224" spans="1:3">
      <c r="A1224" s="11"/>
      <c r="C1224" s="10"/>
    </row>
    <row r="1225" spans="1:3">
      <c r="A1225" s="11"/>
      <c r="C1225" s="10"/>
    </row>
    <row r="1226" spans="1:3">
      <c r="A1226" s="11"/>
      <c r="C1226" s="10"/>
    </row>
    <row r="1227" spans="1:3">
      <c r="A1227" s="11"/>
      <c r="C1227" s="10"/>
    </row>
    <row r="1228" spans="1:3">
      <c r="A1228" s="11"/>
      <c r="C1228" s="10"/>
    </row>
    <row r="1229" spans="1:3">
      <c r="A1229" s="11"/>
      <c r="C1229" s="10"/>
    </row>
    <row r="1230" spans="1:3">
      <c r="A1230" s="11"/>
      <c r="C1230" s="10"/>
    </row>
    <row r="1231" spans="1:3">
      <c r="A1231" s="11"/>
      <c r="C1231" s="10"/>
    </row>
    <row r="1232" spans="1:3">
      <c r="A1232" s="11"/>
      <c r="C1232" s="10"/>
    </row>
    <row r="1233" spans="1:3">
      <c r="A1233" s="11"/>
      <c r="C1233" s="10"/>
    </row>
    <row r="1234" spans="1:3">
      <c r="A1234" s="11"/>
      <c r="C1234" s="10"/>
    </row>
    <row r="1235" spans="1:3">
      <c r="A1235" s="11"/>
      <c r="C1235" s="10"/>
    </row>
    <row r="1236" spans="1:3">
      <c r="A1236" s="11"/>
      <c r="C1236" s="10"/>
    </row>
    <row r="1237" spans="1:3">
      <c r="A1237" s="11"/>
      <c r="C1237" s="10"/>
    </row>
    <row r="1238" spans="1:3">
      <c r="A1238" s="11"/>
      <c r="C1238" s="10"/>
    </row>
    <row r="1239" spans="1:3">
      <c r="A1239" s="11"/>
      <c r="C1239" s="10"/>
    </row>
    <row r="1240" spans="1:3">
      <c r="A1240" s="11"/>
      <c r="C1240" s="10"/>
    </row>
    <row r="1241" spans="1:3">
      <c r="A1241" s="11"/>
      <c r="C1241" s="10"/>
    </row>
    <row r="1242" spans="1:3">
      <c r="A1242" s="11"/>
      <c r="C1242" s="10"/>
    </row>
    <row r="1243" spans="1:3">
      <c r="A1243" s="11"/>
      <c r="C1243" s="10"/>
    </row>
    <row r="1244" spans="1:3">
      <c r="A1244" s="11"/>
      <c r="C1244" s="10"/>
    </row>
    <row r="1245" spans="1:3">
      <c r="A1245" s="11"/>
      <c r="C1245" s="10"/>
    </row>
    <row r="1246" spans="1:3">
      <c r="A1246" s="11"/>
      <c r="C1246" s="10"/>
    </row>
    <row r="1247" spans="1:3">
      <c r="A1247" s="11"/>
      <c r="C1247" s="10"/>
    </row>
    <row r="1248" spans="1:3">
      <c r="A1248" s="11"/>
      <c r="C1248" s="10"/>
    </row>
    <row r="1249" spans="1:3">
      <c r="A1249" s="11"/>
      <c r="C1249" s="10"/>
    </row>
    <row r="1250" spans="1:3">
      <c r="A1250" s="11"/>
      <c r="C1250" s="10"/>
    </row>
    <row r="1251" spans="1:3">
      <c r="A1251" s="11"/>
      <c r="C1251" s="10"/>
    </row>
    <row r="1252" spans="1:3">
      <c r="A1252" s="11"/>
      <c r="C1252" s="10"/>
    </row>
    <row r="1253" spans="1:3">
      <c r="A1253" s="11"/>
      <c r="C1253" s="10"/>
    </row>
    <row r="1254" spans="1:3">
      <c r="A1254" s="11"/>
      <c r="C1254" s="10"/>
    </row>
    <row r="1255" spans="1:3">
      <c r="A1255" s="11"/>
      <c r="C1255" s="10"/>
    </row>
    <row r="1256" spans="1:3">
      <c r="A1256" s="11"/>
      <c r="C1256" s="10"/>
    </row>
    <row r="1257" spans="1:3">
      <c r="A1257" s="11"/>
      <c r="C1257" s="10"/>
    </row>
    <row r="1258" spans="1:3">
      <c r="A1258" s="11"/>
      <c r="C1258" s="10"/>
    </row>
    <row r="1259" spans="1:3">
      <c r="A1259" s="11"/>
      <c r="C1259" s="10"/>
    </row>
    <row r="1260" spans="1:3">
      <c r="A1260" s="11"/>
      <c r="C1260" s="10"/>
    </row>
    <row r="1261" spans="1:3">
      <c r="A1261" s="11"/>
      <c r="C1261" s="10"/>
    </row>
    <row r="1262" spans="1:3">
      <c r="A1262" s="11"/>
      <c r="C1262" s="10"/>
    </row>
    <row r="1263" spans="1:3">
      <c r="A1263" s="11"/>
      <c r="C1263" s="10"/>
    </row>
    <row r="1264" spans="1:3">
      <c r="A1264" s="11"/>
      <c r="C1264" s="10"/>
    </row>
    <row r="1265" spans="1:3">
      <c r="A1265" s="11"/>
      <c r="C1265" s="10"/>
    </row>
    <row r="1266" spans="1:3">
      <c r="A1266" s="11"/>
      <c r="C1266" s="10"/>
    </row>
    <row r="1267" spans="1:3">
      <c r="A1267" s="11"/>
      <c r="C1267" s="10"/>
    </row>
    <row r="1268" spans="1:3">
      <c r="A1268" s="11"/>
      <c r="C1268" s="10"/>
    </row>
    <row r="1269" spans="1:3">
      <c r="A1269" s="11"/>
      <c r="C1269" s="10"/>
    </row>
    <row r="1270" spans="1:3">
      <c r="A1270" s="11"/>
      <c r="C1270" s="10"/>
    </row>
    <row r="1271" spans="1:3">
      <c r="A1271" s="11"/>
      <c r="C1271" s="10"/>
    </row>
    <row r="1272" spans="1:3">
      <c r="A1272" s="11"/>
      <c r="C1272" s="10"/>
    </row>
    <row r="1273" spans="1:3">
      <c r="A1273" s="11"/>
      <c r="C1273" s="10"/>
    </row>
    <row r="1274" spans="1:3">
      <c r="A1274" s="11"/>
      <c r="C1274" s="10"/>
    </row>
    <row r="1275" spans="1:3">
      <c r="A1275" s="11"/>
      <c r="C1275" s="10"/>
    </row>
    <row r="1276" spans="1:3">
      <c r="A1276" s="11"/>
      <c r="C1276" s="10"/>
    </row>
    <row r="1277" spans="1:3">
      <c r="A1277" s="11"/>
      <c r="C1277" s="10"/>
    </row>
    <row r="1278" spans="1:3">
      <c r="A1278" s="11"/>
      <c r="C1278" s="10"/>
    </row>
    <row r="1279" spans="1:3">
      <c r="A1279" s="11"/>
      <c r="C1279" s="10"/>
    </row>
    <row r="1280" spans="1:3">
      <c r="A1280" s="11"/>
      <c r="C1280" s="10"/>
    </row>
    <row r="1281" spans="1:3">
      <c r="A1281" s="11"/>
      <c r="C1281" s="10"/>
    </row>
    <row r="1282" spans="1:3">
      <c r="A1282" s="11"/>
      <c r="C1282" s="10"/>
    </row>
    <row r="1283" spans="1:3">
      <c r="A1283" s="11"/>
      <c r="C1283" s="10"/>
    </row>
    <row r="1284" spans="1:3">
      <c r="A1284" s="11"/>
      <c r="C1284" s="10"/>
    </row>
    <row r="1285" spans="1:3">
      <c r="A1285" s="11"/>
      <c r="C1285" s="10"/>
    </row>
    <row r="1286" spans="1:3">
      <c r="A1286" s="11"/>
      <c r="C1286" s="10"/>
    </row>
    <row r="1287" spans="1:3">
      <c r="A1287" s="11"/>
      <c r="C1287" s="10"/>
    </row>
    <row r="1288" spans="1:3">
      <c r="A1288" s="11"/>
      <c r="C1288" s="10"/>
    </row>
    <row r="1289" spans="1:3">
      <c r="A1289" s="11"/>
      <c r="C1289" s="10"/>
    </row>
    <row r="1290" spans="1:3">
      <c r="A1290" s="11"/>
      <c r="C1290" s="10"/>
    </row>
    <row r="1291" spans="1:3">
      <c r="A1291" s="11"/>
      <c r="C1291" s="10"/>
    </row>
    <row r="1292" spans="1:3">
      <c r="A1292" s="11"/>
      <c r="C1292" s="10"/>
    </row>
    <row r="1293" spans="1:3">
      <c r="A1293" s="11"/>
      <c r="C1293" s="10"/>
    </row>
    <row r="1294" spans="1:3">
      <c r="A1294" s="11"/>
      <c r="C1294" s="10"/>
    </row>
    <row r="1295" spans="1:3">
      <c r="A1295" s="11"/>
      <c r="C1295" s="10"/>
    </row>
    <row r="1296" spans="1:3">
      <c r="A1296" s="11"/>
      <c r="C1296" s="10"/>
    </row>
    <row r="1297" spans="1:3">
      <c r="A1297" s="11"/>
      <c r="C1297" s="10"/>
    </row>
    <row r="1298" spans="1:3">
      <c r="A1298" s="11"/>
      <c r="C1298" s="10"/>
    </row>
    <row r="1299" spans="1:3">
      <c r="A1299" s="11"/>
      <c r="C1299" s="10"/>
    </row>
    <row r="1300" spans="1:3">
      <c r="A1300" s="11"/>
      <c r="C1300" s="10"/>
    </row>
    <row r="1301" spans="1:3">
      <c r="A1301" s="11"/>
      <c r="C1301" s="10"/>
    </row>
    <row r="1302" spans="1:3">
      <c r="A1302" s="11"/>
      <c r="C1302" s="10"/>
    </row>
    <row r="1303" spans="1:3">
      <c r="A1303" s="11"/>
      <c r="C1303" s="10"/>
    </row>
    <row r="1304" spans="1:3">
      <c r="A1304" s="11"/>
      <c r="C1304" s="10"/>
    </row>
    <row r="1305" spans="1:3">
      <c r="A1305" s="11"/>
      <c r="C1305" s="10"/>
    </row>
    <row r="1306" spans="1:3">
      <c r="A1306" s="11"/>
      <c r="C1306" s="10"/>
    </row>
    <row r="1307" spans="1:3">
      <c r="A1307" s="11"/>
      <c r="C1307" s="10"/>
    </row>
    <row r="1308" spans="1:3">
      <c r="A1308" s="11"/>
      <c r="C1308" s="10"/>
    </row>
    <row r="1309" spans="1:3">
      <c r="A1309" s="11"/>
      <c r="C1309" s="10"/>
    </row>
    <row r="1310" spans="1:3">
      <c r="A1310" s="11"/>
      <c r="C1310" s="10"/>
    </row>
    <row r="1311" spans="1:3">
      <c r="A1311" s="11"/>
      <c r="C1311" s="10"/>
    </row>
    <row r="1312" spans="1:3">
      <c r="A1312" s="11"/>
      <c r="C1312" s="10"/>
    </row>
    <row r="1313" spans="1:3">
      <c r="A1313" s="11"/>
      <c r="C1313" s="10"/>
    </row>
    <row r="1314" spans="1:3">
      <c r="A1314" s="11"/>
      <c r="C1314" s="10"/>
    </row>
    <row r="1315" spans="1:3">
      <c r="C1315" s="10"/>
    </row>
    <row r="1316" spans="1:3">
      <c r="C1316" s="10"/>
    </row>
    <row r="1317" spans="1:3">
      <c r="C1317" s="10"/>
    </row>
    <row r="1318" spans="1:3">
      <c r="C1318" s="10"/>
    </row>
    <row r="1319" spans="1:3">
      <c r="C1319" s="10"/>
    </row>
    <row r="1320" spans="1:3">
      <c r="C1320" s="10"/>
    </row>
    <row r="1321" spans="1:3">
      <c r="C1321" s="10"/>
    </row>
    <row r="1322" spans="1:3">
      <c r="C1322" s="10"/>
    </row>
    <row r="1323" spans="1:3">
      <c r="C1323" s="10"/>
    </row>
    <row r="1324" spans="1:3">
      <c r="C1324" s="10"/>
    </row>
    <row r="1325" spans="1:3">
      <c r="C1325" s="10"/>
    </row>
    <row r="1326" spans="1:3">
      <c r="C1326" s="10"/>
    </row>
    <row r="1327" spans="1:3">
      <c r="C1327" s="10"/>
    </row>
    <row r="1328" spans="1:3">
      <c r="C1328" s="10"/>
    </row>
    <row r="1329" spans="3:3">
      <c r="C1329" s="10"/>
    </row>
    <row r="1330" spans="3:3">
      <c r="C1330" s="10"/>
    </row>
    <row r="1331" spans="3:3">
      <c r="C1331" s="10"/>
    </row>
    <row r="1332" spans="3:3">
      <c r="C1332" s="10"/>
    </row>
  </sheetData>
  <phoneticPr fontId="20"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B88A9-317C-4086-8401-58B1C4645595}">
  <dimension ref="A1:L1001"/>
  <sheetViews>
    <sheetView topLeftCell="A162" workbookViewId="0">
      <selection activeCell="I194" sqref="I194"/>
    </sheetView>
  </sheetViews>
  <sheetFormatPr defaultRowHeight="14.4"/>
  <cols>
    <col min="1" max="1" width="10.33203125" bestFit="1" customWidth="1"/>
    <col min="2" max="2" width="5.5546875" bestFit="1" customWidth="1"/>
    <col min="3" max="3" width="13.44140625" bestFit="1" customWidth="1"/>
    <col min="4" max="4" width="10.44140625" bestFit="1" customWidth="1"/>
    <col min="5" max="5" width="16.33203125" bestFit="1" customWidth="1"/>
    <col min="6" max="6" width="10.33203125" bestFit="1" customWidth="1"/>
  </cols>
  <sheetData>
    <row r="1" spans="1:12">
      <c r="A1" s="10" t="s">
        <v>25</v>
      </c>
      <c r="B1" s="10" t="s">
        <v>26</v>
      </c>
      <c r="C1" s="10" t="s">
        <v>27</v>
      </c>
      <c r="D1" s="10" t="s">
        <v>66</v>
      </c>
      <c r="E1" s="10" t="s">
        <v>67</v>
      </c>
      <c r="F1" s="10" t="s">
        <v>0</v>
      </c>
      <c r="G1" t="s">
        <v>25</v>
      </c>
      <c r="H1" t="s">
        <v>26</v>
      </c>
      <c r="I1" t="s">
        <v>27</v>
      </c>
      <c r="J1" t="s">
        <v>66</v>
      </c>
      <c r="K1" t="s">
        <v>67</v>
      </c>
      <c r="L1" t="s">
        <v>0</v>
      </c>
    </row>
    <row r="2" spans="1:12">
      <c r="A2" s="11">
        <v>45597</v>
      </c>
      <c r="B2" s="14">
        <v>0.4548611111111111</v>
      </c>
      <c r="C2" s="10" t="s">
        <v>22</v>
      </c>
      <c r="D2" s="10" cm="1">
        <f t="array" ref="D2">INDEX($H$2:$H$35, MATCH(1, (A2 &gt;= $F$2:$F$35) * (A2 &lt;= $G$2:$G$35), 0))</f>
        <v>0.4548611111111111</v>
      </c>
      <c r="E2" s="10" t="str">
        <f>IF(COUNTIF('Top5'!I:I, D2) &gt; 0, "Yes", "No")</f>
        <v>No</v>
      </c>
      <c r="F2" s="11">
        <v>45597</v>
      </c>
      <c r="G2">
        <v>45597</v>
      </c>
      <c r="H2">
        <v>0.4548611111111111</v>
      </c>
      <c r="I2" t="s">
        <v>22</v>
      </c>
      <c r="J2" t="s">
        <v>39</v>
      </c>
      <c r="K2" t="s">
        <v>68</v>
      </c>
      <c r="L2">
        <v>45597</v>
      </c>
    </row>
    <row r="3" spans="1:12">
      <c r="A3" s="11">
        <v>45597</v>
      </c>
      <c r="B3" s="14">
        <v>0.88749999999999996</v>
      </c>
      <c r="C3" s="10" t="s">
        <v>23</v>
      </c>
      <c r="D3" s="10" cm="1">
        <f t="array" ref="D3">INDEX($H$2:$H$35, MATCH(1, (A3 &gt;= $F$2:$F$35) * (A3 &lt;= $G$2:$G$35), 0))</f>
        <v>0.4548611111111111</v>
      </c>
      <c r="E3" s="10" t="str">
        <f>IF(COUNTIF('Top5'!I:I, D3) &gt; 0, "Yes", "No")</f>
        <v>No</v>
      </c>
      <c r="F3" s="11">
        <v>45604</v>
      </c>
      <c r="G3">
        <v>45597</v>
      </c>
      <c r="H3">
        <v>0.88749999999999996</v>
      </c>
      <c r="I3" t="s">
        <v>23</v>
      </c>
      <c r="J3" t="s">
        <v>39</v>
      </c>
      <c r="K3" t="s">
        <v>68</v>
      </c>
      <c r="L3">
        <v>45604</v>
      </c>
    </row>
    <row r="4" spans="1:12">
      <c r="A4" s="11">
        <v>45597</v>
      </c>
      <c r="B4" s="14">
        <v>0.90972222222222221</v>
      </c>
      <c r="C4" s="10" t="s">
        <v>23</v>
      </c>
      <c r="D4" s="10" cm="1">
        <f t="array" ref="D4">INDEX($H$2:$H$35, MATCH(1, (A4 &gt;= $F$2:$F$35) * (A4 &lt;= $G$2:$G$35), 0))</f>
        <v>0.4548611111111111</v>
      </c>
      <c r="E4" s="10" t="str">
        <f>IF(COUNTIF('Top5'!I:I, D4) &gt; 0, "Yes", "No")</f>
        <v>No</v>
      </c>
      <c r="F4" s="11">
        <v>45611</v>
      </c>
      <c r="G4">
        <v>45597</v>
      </c>
      <c r="H4">
        <v>0.90972222222222221</v>
      </c>
      <c r="I4" t="s">
        <v>23</v>
      </c>
      <c r="J4" t="s">
        <v>39</v>
      </c>
      <c r="K4" t="s">
        <v>68</v>
      </c>
      <c r="L4">
        <v>45611</v>
      </c>
    </row>
    <row r="5" spans="1:12">
      <c r="A5" s="11">
        <v>45598</v>
      </c>
      <c r="B5" s="14">
        <v>0.33611111111111114</v>
      </c>
      <c r="C5" s="10" t="s">
        <v>22</v>
      </c>
      <c r="D5" s="10" cm="1">
        <f t="array" ref="D5">INDEX($H$2:$H$35, MATCH(1, (A5 &gt;= $F$2:$F$35) * (A5 &lt;= $G$2:$G$35), 0))</f>
        <v>0.42152777777777778</v>
      </c>
      <c r="E5" s="10" t="str">
        <f>IF(COUNTIF('Top5'!I:I, D5) &gt; 0, "Yes", "No")</f>
        <v>No</v>
      </c>
      <c r="F5" s="11">
        <v>45618</v>
      </c>
      <c r="G5">
        <v>45598</v>
      </c>
      <c r="H5">
        <v>0.33611111111111114</v>
      </c>
      <c r="I5" t="s">
        <v>22</v>
      </c>
      <c r="J5" t="s">
        <v>39</v>
      </c>
      <c r="K5" t="s">
        <v>68</v>
      </c>
      <c r="L5">
        <v>45618</v>
      </c>
    </row>
    <row r="6" spans="1:12">
      <c r="A6" s="11">
        <v>45598</v>
      </c>
      <c r="B6" s="14">
        <v>0.56180555555555556</v>
      </c>
      <c r="C6" s="10" t="s">
        <v>22</v>
      </c>
      <c r="D6" s="10" cm="1">
        <f t="array" ref="D6">INDEX($H$2:$H$35, MATCH(1, (A6 &gt;= $F$2:$F$35) * (A6 &lt;= $G$2:$G$35), 0))</f>
        <v>0.42152777777777778</v>
      </c>
      <c r="E6" s="10" t="str">
        <f>IF(COUNTIF('Top5'!I:I, D6) &gt; 0, "Yes", "No")</f>
        <v>No</v>
      </c>
      <c r="F6" s="11">
        <v>45625</v>
      </c>
      <c r="G6">
        <v>45598</v>
      </c>
      <c r="H6">
        <v>0.56180555555555556</v>
      </c>
      <c r="I6" t="s">
        <v>22</v>
      </c>
      <c r="J6" t="s">
        <v>39</v>
      </c>
      <c r="K6" t="s">
        <v>68</v>
      </c>
      <c r="L6">
        <v>45625</v>
      </c>
    </row>
    <row r="7" spans="1:12">
      <c r="A7" s="11">
        <v>45598</v>
      </c>
      <c r="B7" s="14">
        <v>0.66874999999999996</v>
      </c>
      <c r="C7" s="10" t="s">
        <v>22</v>
      </c>
      <c r="D7" s="10" cm="1">
        <f t="array" ref="D7">INDEX($H$2:$H$35, MATCH(1, (A7 &gt;= $F$2:$F$35) * (A7 &lt;= $G$2:$G$35), 0))</f>
        <v>0.42152777777777778</v>
      </c>
      <c r="E7" s="10" t="str">
        <f>IF(COUNTIF('Top5'!I:I, D7) &gt; 0, "Yes", "No")</f>
        <v>No</v>
      </c>
      <c r="F7" s="11">
        <v>45627</v>
      </c>
      <c r="G7">
        <v>45598</v>
      </c>
      <c r="H7">
        <v>0.66874999999999996</v>
      </c>
      <c r="I7" t="s">
        <v>22</v>
      </c>
      <c r="J7" t="s">
        <v>39</v>
      </c>
      <c r="K7" t="s">
        <v>68</v>
      </c>
      <c r="L7">
        <v>45627</v>
      </c>
    </row>
    <row r="8" spans="1:12">
      <c r="A8" s="11">
        <v>45599</v>
      </c>
      <c r="B8" s="14">
        <v>0.40138888888888891</v>
      </c>
      <c r="C8" s="10" t="s">
        <v>22</v>
      </c>
      <c r="D8" s="10" cm="1">
        <f t="array" ref="D8">INDEX($H$2:$H$35, MATCH(1, (A8 &gt;= $F$2:$F$35) * (A8 &lt;= $G$2:$G$35), 0))</f>
        <v>0.42152777777777778</v>
      </c>
      <c r="E8" s="10" t="str">
        <f>IF(COUNTIF('Top5'!I:I, D8) &gt; 0, "Yes", "No")</f>
        <v>No</v>
      </c>
      <c r="F8" s="11">
        <v>45634</v>
      </c>
      <c r="G8">
        <v>45599</v>
      </c>
      <c r="H8">
        <v>0.40138888888888891</v>
      </c>
      <c r="I8" t="s">
        <v>22</v>
      </c>
      <c r="J8" t="s">
        <v>39</v>
      </c>
      <c r="K8" t="s">
        <v>68</v>
      </c>
      <c r="L8">
        <v>45634</v>
      </c>
    </row>
    <row r="9" spans="1:12">
      <c r="A9" s="11">
        <v>45599</v>
      </c>
      <c r="B9" s="14">
        <v>0.40208333333333335</v>
      </c>
      <c r="C9" s="10" t="s">
        <v>22</v>
      </c>
      <c r="D9" s="10" cm="1">
        <f t="array" ref="D9">INDEX($H$2:$H$35, MATCH(1, (A9 &gt;= $F$2:$F$35) * (A9 &lt;= $G$2:$G$35), 0))</f>
        <v>0.42152777777777778</v>
      </c>
      <c r="E9" s="10" t="str">
        <f>IF(COUNTIF('Top5'!I:I, D9) &gt; 0, "Yes", "No")</f>
        <v>No</v>
      </c>
      <c r="F9" s="11">
        <v>45641</v>
      </c>
      <c r="G9">
        <v>45599</v>
      </c>
      <c r="H9">
        <v>0.40208333333333335</v>
      </c>
      <c r="I9" t="s">
        <v>22</v>
      </c>
      <c r="J9" t="s">
        <v>39</v>
      </c>
      <c r="K9" t="s">
        <v>68</v>
      </c>
      <c r="L9">
        <v>45641</v>
      </c>
    </row>
    <row r="10" spans="1:12">
      <c r="A10" s="11">
        <v>45599</v>
      </c>
      <c r="B10" s="14">
        <v>0.41597222222222224</v>
      </c>
      <c r="C10" s="10" t="s">
        <v>22</v>
      </c>
      <c r="D10" s="10" cm="1">
        <f t="array" ref="D10">INDEX($H$2:$H$35, MATCH(1, (A10 &gt;= $F$2:$F$35) * (A10 &lt;= $G$2:$G$35), 0))</f>
        <v>0.42152777777777778</v>
      </c>
      <c r="E10" s="10" t="str">
        <f>IF(COUNTIF('Top5'!I:I, D10) &gt; 0, "Yes", "No")</f>
        <v>No</v>
      </c>
      <c r="F10" s="11">
        <v>45648</v>
      </c>
      <c r="G10">
        <v>45599</v>
      </c>
      <c r="H10">
        <v>0.41597222222222224</v>
      </c>
      <c r="I10" t="s">
        <v>22</v>
      </c>
      <c r="J10" t="s">
        <v>39</v>
      </c>
      <c r="K10" t="s">
        <v>68</v>
      </c>
      <c r="L10">
        <v>45648</v>
      </c>
    </row>
    <row r="11" spans="1:12">
      <c r="A11" s="11">
        <v>45599</v>
      </c>
      <c r="B11" s="14">
        <v>0.50694444444444442</v>
      </c>
      <c r="C11" s="10" t="s">
        <v>22</v>
      </c>
      <c r="D11" s="10" cm="1">
        <f t="array" ref="D11">INDEX($H$2:$H$35, MATCH(1, (A11 &gt;= $F$2:$F$35) * (A11 &lt;= $G$2:$G$35), 0))</f>
        <v>0.42152777777777778</v>
      </c>
      <c r="E11" s="10" t="str">
        <f>IF(COUNTIF('Top5'!I:I, D11) &gt; 0, "Yes", "No")</f>
        <v>No</v>
      </c>
      <c r="F11" s="11">
        <v>45655</v>
      </c>
      <c r="G11">
        <v>45599</v>
      </c>
      <c r="H11">
        <v>0.50694444444444442</v>
      </c>
      <c r="I11" t="s">
        <v>22</v>
      </c>
      <c r="J11" t="s">
        <v>39</v>
      </c>
      <c r="K11" t="s">
        <v>68</v>
      </c>
      <c r="L11">
        <v>45655</v>
      </c>
    </row>
    <row r="12" spans="1:12">
      <c r="A12" s="11">
        <v>45599</v>
      </c>
      <c r="B12" s="14">
        <v>0.5756944444444444</v>
      </c>
      <c r="C12" s="10" t="s">
        <v>22</v>
      </c>
      <c r="D12" s="10" cm="1">
        <f t="array" ref="D12">INDEX($H$2:$H$35, MATCH(1, (A12 &gt;= $F$2:$F$35) * (A12 &lt;= $G$2:$G$35), 0))</f>
        <v>0.42152777777777778</v>
      </c>
      <c r="E12" s="10" t="str">
        <f>IF(COUNTIF('Top5'!I:I, D12) &gt; 0, "Yes", "No")</f>
        <v>No</v>
      </c>
      <c r="F12" s="11">
        <v>45658</v>
      </c>
      <c r="G12">
        <v>45599</v>
      </c>
      <c r="H12">
        <v>0.5756944444444444</v>
      </c>
      <c r="I12" t="s">
        <v>22</v>
      </c>
      <c r="J12" t="s">
        <v>39</v>
      </c>
      <c r="K12" t="s">
        <v>68</v>
      </c>
      <c r="L12">
        <v>45658</v>
      </c>
    </row>
    <row r="13" spans="1:12">
      <c r="A13" s="11">
        <v>45599</v>
      </c>
      <c r="B13" s="14">
        <v>0.59097222222222223</v>
      </c>
      <c r="C13" s="10" t="s">
        <v>22</v>
      </c>
      <c r="D13" s="10" cm="1">
        <f t="array" ref="D13">INDEX($H$2:$H$35, MATCH(1, (A13 &gt;= $F$2:$F$35) * (A13 &lt;= $G$2:$G$35), 0))</f>
        <v>0.42152777777777778</v>
      </c>
      <c r="E13" s="10" t="str">
        <f>IF(COUNTIF('Top5'!I:I, D13) &gt; 0, "Yes", "No")</f>
        <v>No</v>
      </c>
      <c r="F13" s="11">
        <v>45665</v>
      </c>
      <c r="G13">
        <v>45599</v>
      </c>
      <c r="H13">
        <v>0.59097222222222223</v>
      </c>
      <c r="I13" t="s">
        <v>22</v>
      </c>
      <c r="J13" t="s">
        <v>39</v>
      </c>
      <c r="K13" t="s">
        <v>68</v>
      </c>
      <c r="L13">
        <v>45665</v>
      </c>
    </row>
    <row r="14" spans="1:12">
      <c r="A14" s="11">
        <v>45599</v>
      </c>
      <c r="B14" s="14">
        <v>0.72291666666666665</v>
      </c>
      <c r="C14" s="10" t="s">
        <v>23</v>
      </c>
      <c r="D14" s="10" cm="1">
        <f t="array" ref="D14">INDEX($H$2:$H$35, MATCH(1, (A14 &gt;= $F$2:$F$35) * (A14 &lt;= $G$2:$G$35), 0))</f>
        <v>0.42152777777777778</v>
      </c>
      <c r="E14" s="10" t="str">
        <f>IF(COUNTIF('Top5'!I:I, D14) &gt; 0, "Yes", "No")</f>
        <v>No</v>
      </c>
      <c r="F14" s="11">
        <v>45672</v>
      </c>
      <c r="G14">
        <v>45599</v>
      </c>
      <c r="H14">
        <v>0.72291666666666665</v>
      </c>
      <c r="I14" t="s">
        <v>23</v>
      </c>
      <c r="J14" t="s">
        <v>39</v>
      </c>
      <c r="K14" t="s">
        <v>68</v>
      </c>
      <c r="L14">
        <v>45672</v>
      </c>
    </row>
    <row r="15" spans="1:12">
      <c r="A15" s="11">
        <v>45599</v>
      </c>
      <c r="B15" s="14">
        <v>0.73402777777777772</v>
      </c>
      <c r="C15" s="10" t="s">
        <v>23</v>
      </c>
      <c r="D15" s="10" cm="1">
        <f t="array" ref="D15">INDEX($H$2:$H$35, MATCH(1, (A15 &gt;= $F$2:$F$35) * (A15 &lt;= $G$2:$G$35), 0))</f>
        <v>0.42152777777777778</v>
      </c>
      <c r="E15" s="10" t="str">
        <f>IF(COUNTIF('Top5'!I:I, D15) &gt; 0, "Yes", "No")</f>
        <v>No</v>
      </c>
      <c r="F15" s="11">
        <v>45679</v>
      </c>
      <c r="G15">
        <v>45599</v>
      </c>
      <c r="H15">
        <v>0.73402777777777772</v>
      </c>
      <c r="I15" t="s">
        <v>23</v>
      </c>
      <c r="J15" t="s">
        <v>39</v>
      </c>
      <c r="K15" t="s">
        <v>68</v>
      </c>
      <c r="L15">
        <v>45679</v>
      </c>
    </row>
    <row r="16" spans="1:12">
      <c r="A16" s="11">
        <v>45600</v>
      </c>
      <c r="B16" s="14">
        <v>0.39513888888888887</v>
      </c>
      <c r="C16" s="10" t="s">
        <v>22</v>
      </c>
      <c r="D16" s="10" cm="1">
        <f t="array" ref="D16">INDEX($H$2:$H$35, MATCH(1, (A16 &gt;= $F$2:$F$35) * (A16 &lt;= $G$2:$G$35), 0))</f>
        <v>0.42152777777777778</v>
      </c>
      <c r="E16" s="10" t="str">
        <f>IF(COUNTIF('Top5'!I:I, D16) &gt; 0, "Yes", "No")</f>
        <v>No</v>
      </c>
      <c r="F16" s="11">
        <v>45686</v>
      </c>
      <c r="G16">
        <v>45600</v>
      </c>
      <c r="H16">
        <v>0.39513888888888887</v>
      </c>
      <c r="I16" t="s">
        <v>22</v>
      </c>
      <c r="J16" t="s">
        <v>39</v>
      </c>
      <c r="K16" t="s">
        <v>68</v>
      </c>
      <c r="L16">
        <v>45686</v>
      </c>
    </row>
    <row r="17" spans="1:12">
      <c r="A17" s="11">
        <v>45600</v>
      </c>
      <c r="B17" s="14">
        <v>0.81527777777777777</v>
      </c>
      <c r="C17" s="10" t="s">
        <v>23</v>
      </c>
      <c r="D17" s="10" cm="1">
        <f t="array" ref="D17">INDEX($H$2:$H$35, MATCH(1, (A17 &gt;= $F$2:$F$35) * (A17 &lt;= $G$2:$G$35), 0))</f>
        <v>0.42152777777777778</v>
      </c>
      <c r="E17" s="10" t="str">
        <f>IF(COUNTIF('Top5'!I:I, D17) &gt; 0, "Yes", "No")</f>
        <v>No</v>
      </c>
      <c r="F17" s="11">
        <v>45689</v>
      </c>
      <c r="G17">
        <v>45600</v>
      </c>
      <c r="H17">
        <v>0.81527777777777777</v>
      </c>
      <c r="I17" t="s">
        <v>23</v>
      </c>
      <c r="J17" t="s">
        <v>39</v>
      </c>
      <c r="K17" t="s">
        <v>68</v>
      </c>
      <c r="L17">
        <v>45689</v>
      </c>
    </row>
    <row r="18" spans="1:12">
      <c r="A18" s="11">
        <v>45600</v>
      </c>
      <c r="B18" s="14">
        <v>0.84930555555555554</v>
      </c>
      <c r="C18" s="10" t="s">
        <v>23</v>
      </c>
      <c r="D18" s="10" cm="1">
        <f t="array" ref="D18">INDEX($H$2:$H$35, MATCH(1, (A18 &gt;= $F$2:$F$35) * (A18 &lt;= $G$2:$G$35), 0))</f>
        <v>0.42152777777777778</v>
      </c>
      <c r="E18" s="10" t="str">
        <f>IF(COUNTIF('Top5'!I:I, D18) &gt; 0, "Yes", "No")</f>
        <v>No</v>
      </c>
      <c r="F18" s="11">
        <v>45696</v>
      </c>
      <c r="G18">
        <v>45600</v>
      </c>
      <c r="H18">
        <v>0.84930555555555554</v>
      </c>
      <c r="I18" t="s">
        <v>23</v>
      </c>
      <c r="J18" t="s">
        <v>39</v>
      </c>
      <c r="K18" t="s">
        <v>68</v>
      </c>
      <c r="L18">
        <v>45696</v>
      </c>
    </row>
    <row r="19" spans="1:12">
      <c r="A19" s="11">
        <v>45600</v>
      </c>
      <c r="B19" s="14">
        <v>0.85347222222222219</v>
      </c>
      <c r="C19" s="10" t="s">
        <v>23</v>
      </c>
      <c r="D19" s="10" cm="1">
        <f t="array" ref="D19">INDEX($H$2:$H$35, MATCH(1, (A19 &gt;= $F$2:$F$35) * (A19 &lt;= $G$2:$G$35), 0))</f>
        <v>0.42152777777777778</v>
      </c>
      <c r="E19" s="10" t="str">
        <f>IF(COUNTIF('Top5'!I:I, D19) &gt; 0, "Yes", "No")</f>
        <v>No</v>
      </c>
      <c r="F19" s="11">
        <v>45703</v>
      </c>
      <c r="G19">
        <v>45600</v>
      </c>
      <c r="H19">
        <v>0.85347222222222219</v>
      </c>
      <c r="I19" t="s">
        <v>23</v>
      </c>
      <c r="J19" t="s">
        <v>39</v>
      </c>
      <c r="K19" t="s">
        <v>68</v>
      </c>
      <c r="L19">
        <v>45703</v>
      </c>
    </row>
    <row r="20" spans="1:12">
      <c r="A20" s="11">
        <v>45601</v>
      </c>
      <c r="B20" s="14">
        <v>0.47013888888888888</v>
      </c>
      <c r="C20" s="10" t="s">
        <v>22</v>
      </c>
      <c r="D20" s="10" cm="1">
        <f t="array" ref="D20">INDEX($H$2:$H$35, MATCH(1, (A20 &gt;= $F$2:$F$35) * (A20 &lt;= $G$2:$G$35), 0))</f>
        <v>0.42152777777777778</v>
      </c>
      <c r="E20" s="10" t="str">
        <f>IF(COUNTIF('Top5'!I:I, D20) &gt; 0, "Yes", "No")</f>
        <v>No</v>
      </c>
      <c r="F20" s="11">
        <v>45710</v>
      </c>
      <c r="G20">
        <v>45601</v>
      </c>
      <c r="H20">
        <v>0.47013888888888888</v>
      </c>
      <c r="I20" t="s">
        <v>22</v>
      </c>
      <c r="J20" t="s">
        <v>39</v>
      </c>
      <c r="K20" t="s">
        <v>68</v>
      </c>
      <c r="L20">
        <v>45710</v>
      </c>
    </row>
    <row r="21" spans="1:12">
      <c r="A21" s="11">
        <v>45601</v>
      </c>
      <c r="B21" s="14">
        <v>0.6166666666666667</v>
      </c>
      <c r="C21" s="10" t="s">
        <v>22</v>
      </c>
      <c r="D21" s="10" cm="1">
        <f t="array" ref="D21">INDEX($H$2:$H$35, MATCH(1, (A21 &gt;= $F$2:$F$35) * (A21 &lt;= $G$2:$G$35), 0))</f>
        <v>0.42152777777777778</v>
      </c>
      <c r="E21" s="10" t="str">
        <f>IF(COUNTIF('Top5'!I:I, D21) &gt; 0, "Yes", "No")</f>
        <v>No</v>
      </c>
      <c r="F21" s="11">
        <v>45717</v>
      </c>
      <c r="G21">
        <v>45601</v>
      </c>
      <c r="H21">
        <v>0.6166666666666667</v>
      </c>
      <c r="I21" t="s">
        <v>22</v>
      </c>
      <c r="J21" t="s">
        <v>39</v>
      </c>
      <c r="K21" t="s">
        <v>68</v>
      </c>
      <c r="L21">
        <v>45717</v>
      </c>
    </row>
    <row r="22" spans="1:12">
      <c r="A22" s="11">
        <v>45603</v>
      </c>
      <c r="B22" s="14">
        <v>0.37361111111111112</v>
      </c>
      <c r="C22" s="10" t="s">
        <v>22</v>
      </c>
      <c r="D22" s="10" cm="1">
        <f t="array" ref="D22">INDEX($H$2:$H$35, MATCH(1, (A22 &gt;= $F$2:$F$35) * (A22 &lt;= $G$2:$G$35), 0))</f>
        <v>0.42152777777777778</v>
      </c>
      <c r="E22" s="10" t="str">
        <f>IF(COUNTIF('Top5'!I:I, D22) &gt; 0, "Yes", "No")</f>
        <v>No</v>
      </c>
      <c r="F22" s="11">
        <v>45724</v>
      </c>
      <c r="G22">
        <v>45603</v>
      </c>
      <c r="H22">
        <v>0.37361111111111112</v>
      </c>
      <c r="I22" t="s">
        <v>22</v>
      </c>
      <c r="J22" t="s">
        <v>39</v>
      </c>
      <c r="K22" t="s">
        <v>68</v>
      </c>
      <c r="L22">
        <v>45724</v>
      </c>
    </row>
    <row r="23" spans="1:12">
      <c r="A23" s="11">
        <v>45604</v>
      </c>
      <c r="B23" s="14">
        <v>0.76527777777777772</v>
      </c>
      <c r="C23" s="10" t="s">
        <v>23</v>
      </c>
      <c r="D23" s="10" cm="1">
        <f t="array" ref="D23">INDEX($H$2:$H$35, MATCH(1, (A23 &gt;= $F$2:$F$35) * (A23 &lt;= $G$2:$G$35), 0))</f>
        <v>0.42152777777777778</v>
      </c>
      <c r="E23" s="10" t="str">
        <f>IF(COUNTIF('Top5'!I:I, D23) &gt; 0, "Yes", "No")</f>
        <v>No</v>
      </c>
      <c r="F23" s="11">
        <v>45731</v>
      </c>
      <c r="G23">
        <v>45604</v>
      </c>
      <c r="H23">
        <v>0.76527777777777772</v>
      </c>
      <c r="I23" t="s">
        <v>23</v>
      </c>
      <c r="J23" t="s">
        <v>43</v>
      </c>
      <c r="K23" t="s">
        <v>68</v>
      </c>
      <c r="L23">
        <v>45731</v>
      </c>
    </row>
    <row r="24" spans="1:12">
      <c r="A24" s="11">
        <v>45604</v>
      </c>
      <c r="B24" s="14">
        <v>0.78402777777777777</v>
      </c>
      <c r="C24" s="10" t="s">
        <v>23</v>
      </c>
      <c r="D24" s="10" cm="1">
        <f t="array" ref="D24">INDEX($H$2:$H$35, MATCH(1, (A24 &gt;= $F$2:$F$35) * (A24 &lt;= $G$2:$G$35), 0))</f>
        <v>0.42152777777777778</v>
      </c>
      <c r="E24" s="10" t="str">
        <f>IF(COUNTIF('Top5'!I:I, D24) &gt; 0, "Yes", "No")</f>
        <v>No</v>
      </c>
      <c r="F24" s="11">
        <v>45738</v>
      </c>
      <c r="G24">
        <v>45604</v>
      </c>
      <c r="H24">
        <v>0.78402777777777777</v>
      </c>
      <c r="I24" t="s">
        <v>23</v>
      </c>
      <c r="J24" t="s">
        <v>43</v>
      </c>
      <c r="K24" t="s">
        <v>68</v>
      </c>
      <c r="L24">
        <v>45738</v>
      </c>
    </row>
    <row r="25" spans="1:12">
      <c r="A25" s="11">
        <v>45605</v>
      </c>
      <c r="B25" s="14">
        <v>0.6333333333333333</v>
      </c>
      <c r="C25" s="10" t="s">
        <v>22</v>
      </c>
      <c r="D25" s="10" cm="1">
        <f t="array" ref="D25">INDEX($H$2:$H$35, MATCH(1, (A25 &gt;= $F$2:$F$35) * (A25 &lt;= $G$2:$G$35), 0))</f>
        <v>0.42152777777777778</v>
      </c>
      <c r="E25" s="10" t="str">
        <f>IF(COUNTIF('Top5'!I:I, D25) &gt; 0, "Yes", "No")</f>
        <v>No</v>
      </c>
      <c r="F25" s="11">
        <v>45745</v>
      </c>
      <c r="G25">
        <v>45605</v>
      </c>
      <c r="H25">
        <v>0.6333333333333333</v>
      </c>
      <c r="I25" t="s">
        <v>22</v>
      </c>
      <c r="J25" t="s">
        <v>43</v>
      </c>
      <c r="K25" t="s">
        <v>68</v>
      </c>
      <c r="L25">
        <v>45745</v>
      </c>
    </row>
    <row r="26" spans="1:12">
      <c r="A26" s="11">
        <v>45606</v>
      </c>
      <c r="B26" s="14">
        <v>0.52986111111111112</v>
      </c>
      <c r="C26" s="10" t="s">
        <v>22</v>
      </c>
      <c r="D26" s="10" cm="1">
        <f t="array" ref="D26">INDEX($H$2:$H$35, MATCH(1, (A26 &gt;= $F$2:$F$35) * (A26 &lt;= $G$2:$G$35), 0))</f>
        <v>0.42152777777777778</v>
      </c>
      <c r="E26" s="10" t="str">
        <f>IF(COUNTIF('Top5'!I:I, D26) &gt; 0, "Yes", "No")</f>
        <v>No</v>
      </c>
      <c r="F26" s="11">
        <v>45748</v>
      </c>
      <c r="G26">
        <v>45606</v>
      </c>
      <c r="H26">
        <v>0.52986111111111112</v>
      </c>
      <c r="I26" t="s">
        <v>22</v>
      </c>
      <c r="J26" t="s">
        <v>43</v>
      </c>
      <c r="K26" t="s">
        <v>68</v>
      </c>
      <c r="L26">
        <v>45748</v>
      </c>
    </row>
    <row r="27" spans="1:12">
      <c r="A27" s="11">
        <v>45606</v>
      </c>
      <c r="B27" s="14">
        <v>0.54722222222222228</v>
      </c>
      <c r="C27" s="10" t="s">
        <v>22</v>
      </c>
      <c r="D27" s="10" cm="1">
        <f t="array" ref="D27">INDEX($H$2:$H$35, MATCH(1, (A27 &gt;= $F$2:$F$35) * (A27 &lt;= $G$2:$G$35), 0))</f>
        <v>0.42152777777777778</v>
      </c>
      <c r="E27" s="10" t="str">
        <f>IF(COUNTIF('Top5'!I:I, D27) &gt; 0, "Yes", "No")</f>
        <v>No</v>
      </c>
      <c r="F27" s="11">
        <v>45755</v>
      </c>
      <c r="G27">
        <v>45606</v>
      </c>
      <c r="H27">
        <v>0.54722222222222228</v>
      </c>
      <c r="I27" t="s">
        <v>22</v>
      </c>
      <c r="J27" t="s">
        <v>43</v>
      </c>
      <c r="K27" t="s">
        <v>68</v>
      </c>
      <c r="L27">
        <v>45755</v>
      </c>
    </row>
    <row r="28" spans="1:12">
      <c r="A28" s="11">
        <v>45606</v>
      </c>
      <c r="B28" s="14">
        <v>0.61319444444444449</v>
      </c>
      <c r="C28" s="10" t="s">
        <v>22</v>
      </c>
      <c r="D28" s="10" cm="1">
        <f t="array" ref="D28">INDEX($H$2:$H$35, MATCH(1, (A28 &gt;= $F$2:$F$35) * (A28 &lt;= $G$2:$G$35), 0))</f>
        <v>0.42152777777777778</v>
      </c>
      <c r="E28" s="10" t="str">
        <f>IF(COUNTIF('Top5'!I:I, D28) &gt; 0, "Yes", "No")</f>
        <v>No</v>
      </c>
      <c r="F28" s="11">
        <v>45762</v>
      </c>
      <c r="G28">
        <v>45606</v>
      </c>
      <c r="H28">
        <v>0.61319444444444449</v>
      </c>
      <c r="I28" t="s">
        <v>22</v>
      </c>
      <c r="J28" t="s">
        <v>43</v>
      </c>
      <c r="K28" t="s">
        <v>68</v>
      </c>
      <c r="L28">
        <v>45762</v>
      </c>
    </row>
    <row r="29" spans="1:12">
      <c r="A29" s="11">
        <v>45606</v>
      </c>
      <c r="B29" s="14">
        <v>0.61805555555555558</v>
      </c>
      <c r="C29" s="10" t="s">
        <v>22</v>
      </c>
      <c r="D29" s="10" cm="1">
        <f t="array" ref="D29">INDEX($H$2:$H$35, MATCH(1, (A29 &gt;= $F$2:$F$35) * (A29 &lt;= $G$2:$G$35), 0))</f>
        <v>0.42152777777777778</v>
      </c>
      <c r="E29" s="10" t="str">
        <f>IF(COUNTIF('Top5'!I:I, D29) &gt; 0, "Yes", "No")</f>
        <v>No</v>
      </c>
      <c r="F29" s="11">
        <v>45769</v>
      </c>
      <c r="G29">
        <v>45606</v>
      </c>
      <c r="H29">
        <v>0.61805555555555558</v>
      </c>
      <c r="I29" t="s">
        <v>22</v>
      </c>
      <c r="J29" t="s">
        <v>43</v>
      </c>
      <c r="K29" t="s">
        <v>68</v>
      </c>
      <c r="L29">
        <v>45769</v>
      </c>
    </row>
    <row r="30" spans="1:12">
      <c r="A30" s="11">
        <v>45606</v>
      </c>
      <c r="B30" s="14">
        <v>0.65347222222222223</v>
      </c>
      <c r="C30" s="10" t="s">
        <v>22</v>
      </c>
      <c r="D30" s="10" cm="1">
        <f t="array" ref="D30">INDEX($H$2:$H$35, MATCH(1, (A30 &gt;= $F$2:$F$35) * (A30 &lt;= $G$2:$G$35), 0))</f>
        <v>0.42152777777777778</v>
      </c>
      <c r="E30" s="10" t="str">
        <f>IF(COUNTIF('Top5'!I:I, D30) &gt; 0, "Yes", "No")</f>
        <v>No</v>
      </c>
      <c r="F30" s="11">
        <v>45776</v>
      </c>
      <c r="G30">
        <v>45606</v>
      </c>
      <c r="H30">
        <v>0.65347222222222223</v>
      </c>
      <c r="I30" t="s">
        <v>22</v>
      </c>
      <c r="J30" t="s">
        <v>43</v>
      </c>
      <c r="K30" t="s">
        <v>68</v>
      </c>
      <c r="L30">
        <v>45776</v>
      </c>
    </row>
    <row r="31" spans="1:12">
      <c r="A31" s="11">
        <v>45606</v>
      </c>
      <c r="B31" s="14">
        <v>0.72430555555555554</v>
      </c>
      <c r="C31" s="10" t="s">
        <v>23</v>
      </c>
      <c r="D31" s="10" cm="1">
        <f t="array" ref="D31">INDEX($H$2:$H$35, MATCH(1, (A31 &gt;= $F$2:$F$35) * (A31 &lt;= $G$2:$G$35), 0))</f>
        <v>0.42152777777777778</v>
      </c>
      <c r="E31" s="10" t="str">
        <f>IF(COUNTIF('Top5'!I:I, D31) &gt; 0, "Yes", "No")</f>
        <v>No</v>
      </c>
      <c r="F31" s="11">
        <v>45778</v>
      </c>
      <c r="G31">
        <v>45606</v>
      </c>
      <c r="H31">
        <v>0.72430555555555554</v>
      </c>
      <c r="I31" t="s">
        <v>23</v>
      </c>
      <c r="J31" t="s">
        <v>43</v>
      </c>
      <c r="K31" t="s">
        <v>68</v>
      </c>
      <c r="L31">
        <v>45778</v>
      </c>
    </row>
    <row r="32" spans="1:12">
      <c r="A32" s="11">
        <v>45606</v>
      </c>
      <c r="B32" s="14">
        <v>0.73333333333333328</v>
      </c>
      <c r="C32" s="10" t="s">
        <v>23</v>
      </c>
      <c r="D32" s="10" cm="1">
        <f t="array" ref="D32">INDEX($H$2:$H$35, MATCH(1, (A32 &gt;= $F$2:$F$35) * (A32 &lt;= $G$2:$G$35), 0))</f>
        <v>0.42152777777777778</v>
      </c>
      <c r="E32" s="10" t="str">
        <f>IF(COUNTIF('Top5'!I:I, D32) &gt; 0, "Yes", "No")</f>
        <v>No</v>
      </c>
      <c r="F32" s="11">
        <v>45785</v>
      </c>
      <c r="G32">
        <v>45606</v>
      </c>
      <c r="H32">
        <v>0.73333333333333328</v>
      </c>
      <c r="I32" t="s">
        <v>23</v>
      </c>
      <c r="J32" t="s">
        <v>43</v>
      </c>
      <c r="K32" t="s">
        <v>68</v>
      </c>
      <c r="L32">
        <v>45785</v>
      </c>
    </row>
    <row r="33" spans="1:12">
      <c r="A33" s="11">
        <v>45606</v>
      </c>
      <c r="B33" s="14">
        <v>0.93402777777777779</v>
      </c>
      <c r="C33" s="10" t="s">
        <v>23</v>
      </c>
      <c r="D33" s="10" cm="1">
        <f t="array" ref="D33">INDEX($H$2:$H$35, MATCH(1, (A33 &gt;= $F$2:$F$35) * (A33 &lt;= $G$2:$G$35), 0))</f>
        <v>0.42152777777777778</v>
      </c>
      <c r="E33" s="10" t="str">
        <f>IF(COUNTIF('Top5'!I:I, D33) &gt; 0, "Yes", "No")</f>
        <v>No</v>
      </c>
      <c r="F33" s="11">
        <v>45792</v>
      </c>
      <c r="G33">
        <v>45606</v>
      </c>
      <c r="H33">
        <v>0.93402777777777779</v>
      </c>
      <c r="I33" t="s">
        <v>23</v>
      </c>
      <c r="J33" t="s">
        <v>43</v>
      </c>
      <c r="K33" t="s">
        <v>68</v>
      </c>
      <c r="L33">
        <v>45792</v>
      </c>
    </row>
    <row r="34" spans="1:12">
      <c r="A34" s="11">
        <v>45607</v>
      </c>
      <c r="B34" s="14">
        <v>0.42152777777777778</v>
      </c>
      <c r="C34" s="10" t="s">
        <v>22</v>
      </c>
      <c r="D34" s="10" cm="1">
        <f t="array" ref="D34">INDEX($H$2:$H$35, MATCH(1, (A34 &gt;= $F$2:$F$35) * (A34 &lt;= $G$2:$G$35), 0))</f>
        <v>0.42152777777777778</v>
      </c>
      <c r="E34" s="10" t="str">
        <f>IF(COUNTIF('Top5'!I:I, D34) &gt; 0, "Yes", "No")</f>
        <v>No</v>
      </c>
      <c r="F34" s="10"/>
      <c r="G34">
        <v>45607</v>
      </c>
      <c r="H34">
        <v>0.42152777777777778</v>
      </c>
      <c r="I34" t="s">
        <v>22</v>
      </c>
      <c r="J34" t="s">
        <v>43</v>
      </c>
      <c r="K34" t="s">
        <v>68</v>
      </c>
    </row>
    <row r="35" spans="1:12">
      <c r="A35" s="11">
        <v>45607</v>
      </c>
      <c r="B35" s="14">
        <v>0.42152777777777778</v>
      </c>
      <c r="C35" s="10" t="s">
        <v>22</v>
      </c>
      <c r="D35" s="10" cm="1">
        <f t="array" ref="D35">INDEX($H$2:$H$35, MATCH(1, (A35 &gt;= $F$2:$F$35) * (A35 &lt;= $G$2:$G$35), 0))</f>
        <v>0.42152777777777778</v>
      </c>
      <c r="E35" s="10" t="str">
        <f>IF(COUNTIF('Top5'!I:I, D35) &gt; 0, "Yes", "No")</f>
        <v>No</v>
      </c>
      <c r="F35" s="10"/>
      <c r="G35">
        <v>45607</v>
      </c>
      <c r="H35">
        <v>0.42152777777777778</v>
      </c>
      <c r="I35" t="s">
        <v>22</v>
      </c>
      <c r="J35" t="s">
        <v>43</v>
      </c>
      <c r="K35" t="s">
        <v>68</v>
      </c>
    </row>
    <row r="36" spans="1:12">
      <c r="A36" s="11">
        <v>45607</v>
      </c>
      <c r="B36" s="14">
        <v>0.53263888888888888</v>
      </c>
      <c r="C36" s="10" t="s">
        <v>22</v>
      </c>
      <c r="D36" s="10" cm="1">
        <f t="array" ref="D36">INDEX($H$2:$H$35, MATCH(1, (A36 &gt;= $F$2:$F$35) * (A36 &lt;= $G$2:$G$35), 0))</f>
        <v>0.42152777777777778</v>
      </c>
      <c r="E36" s="10" t="str">
        <f>IF(COUNTIF('Top5'!I:I, D36) &gt; 0, "Yes", "No")</f>
        <v>No</v>
      </c>
      <c r="F36" s="10"/>
      <c r="G36">
        <v>45607</v>
      </c>
      <c r="H36">
        <v>0.53263888888888888</v>
      </c>
      <c r="I36" t="s">
        <v>22</v>
      </c>
      <c r="J36" t="s">
        <v>43</v>
      </c>
      <c r="K36" t="s">
        <v>68</v>
      </c>
    </row>
    <row r="37" spans="1:12">
      <c r="A37" s="11">
        <v>45608</v>
      </c>
      <c r="B37" s="14">
        <v>0.42638888888888887</v>
      </c>
      <c r="C37" s="10" t="s">
        <v>22</v>
      </c>
      <c r="D37" s="10" t="e" cm="1">
        <f t="array" ref="D37">INDEX($H$2:$H$35, MATCH(1, (A37 &gt;= $F$2:$F$35) * (A37 &lt;= $G$2:$G$35), 0))</f>
        <v>#N/A</v>
      </c>
      <c r="E37" s="10" t="str">
        <f>IF(COUNTIF('Top5'!I:I, D37) &gt; 0, "Yes", "No")</f>
        <v>No</v>
      </c>
      <c r="F37" s="10"/>
      <c r="G37">
        <v>45608</v>
      </c>
      <c r="H37">
        <v>0.42638888888888887</v>
      </c>
      <c r="I37" t="s">
        <v>22</v>
      </c>
      <c r="J37" t="s">
        <v>43</v>
      </c>
      <c r="K37" t="s">
        <v>68</v>
      </c>
    </row>
    <row r="38" spans="1:12">
      <c r="A38" s="11">
        <v>45608</v>
      </c>
      <c r="B38" s="14">
        <v>0.42638888888888887</v>
      </c>
      <c r="C38" s="10" t="s">
        <v>22</v>
      </c>
      <c r="D38" s="10" t="e" cm="1">
        <f t="array" ref="D38">INDEX($H$2:$H$35, MATCH(1, (A38 &gt;= $F$2:$F$35) * (A38 &lt;= $G$2:$G$35), 0))</f>
        <v>#N/A</v>
      </c>
      <c r="E38" s="10" t="str">
        <f>IF(COUNTIF('Top5'!I:I, D38) &gt; 0, "Yes", "No")</f>
        <v>No</v>
      </c>
      <c r="F38" s="10"/>
      <c r="G38">
        <v>45608</v>
      </c>
      <c r="H38">
        <v>0.42638888888888887</v>
      </c>
      <c r="I38" t="s">
        <v>22</v>
      </c>
      <c r="J38" t="s">
        <v>43</v>
      </c>
      <c r="K38" t="s">
        <v>68</v>
      </c>
    </row>
    <row r="39" spans="1:12">
      <c r="A39" s="11">
        <v>45608</v>
      </c>
      <c r="B39" s="14">
        <v>0.43611111111111112</v>
      </c>
      <c r="C39" s="10" t="s">
        <v>22</v>
      </c>
      <c r="D39" s="10" t="e" cm="1">
        <f t="array" ref="D39">INDEX($H$2:$H$35, MATCH(1, (A39 &gt;= $F$2:$F$35) * (A39 &lt;= $G$2:$G$35), 0))</f>
        <v>#N/A</v>
      </c>
      <c r="E39" s="10" t="str">
        <f>IF(COUNTIF('Top5'!I:I, D39) &gt; 0, "Yes", "No")</f>
        <v>No</v>
      </c>
      <c r="F39" s="10"/>
      <c r="G39">
        <v>45608</v>
      </c>
      <c r="H39">
        <v>0.43611111111111112</v>
      </c>
      <c r="I39" t="s">
        <v>22</v>
      </c>
      <c r="J39" t="s">
        <v>43</v>
      </c>
      <c r="K39" t="s">
        <v>68</v>
      </c>
    </row>
    <row r="40" spans="1:12">
      <c r="A40" s="11">
        <v>45608</v>
      </c>
      <c r="B40" s="14">
        <v>0.4375</v>
      </c>
      <c r="C40" s="10" t="s">
        <v>22</v>
      </c>
      <c r="D40" s="10" t="e" cm="1">
        <f t="array" ref="D40">INDEX($H$2:$H$35, MATCH(1, (A40 &gt;= $F$2:$F$35) * (A40 &lt;= $G$2:$G$35), 0))</f>
        <v>#N/A</v>
      </c>
      <c r="E40" s="10" t="str">
        <f>IF(COUNTIF('Top5'!I:I, D40) &gt; 0, "Yes", "No")</f>
        <v>No</v>
      </c>
      <c r="F40" s="10"/>
      <c r="G40">
        <v>45608</v>
      </c>
      <c r="H40">
        <v>0.4375</v>
      </c>
      <c r="I40" t="s">
        <v>22</v>
      </c>
      <c r="J40" t="s">
        <v>43</v>
      </c>
      <c r="K40" t="s">
        <v>68</v>
      </c>
    </row>
    <row r="41" spans="1:12">
      <c r="A41" s="11">
        <v>45608</v>
      </c>
      <c r="B41" s="14">
        <v>0.69097222222222221</v>
      </c>
      <c r="C41" s="10" t="s">
        <v>22</v>
      </c>
      <c r="D41" s="10" t="e" cm="1">
        <f t="array" ref="D41">INDEX($H$2:$H$35, MATCH(1, (A41 &gt;= $F$2:$F$35) * (A41 &lt;= $G$2:$G$35), 0))</f>
        <v>#N/A</v>
      </c>
      <c r="E41" s="10" t="str">
        <f>IF(COUNTIF('Top5'!I:I, D41) &gt; 0, "Yes", "No")</f>
        <v>No</v>
      </c>
      <c r="F41" s="10"/>
      <c r="G41">
        <v>45608</v>
      </c>
      <c r="H41">
        <v>0.69097222222222221</v>
      </c>
      <c r="I41" t="s">
        <v>22</v>
      </c>
      <c r="J41" t="s">
        <v>43</v>
      </c>
      <c r="K41" t="s">
        <v>68</v>
      </c>
    </row>
    <row r="42" spans="1:12">
      <c r="A42" s="11">
        <v>45608</v>
      </c>
      <c r="B42" s="14">
        <v>0.70902777777777781</v>
      </c>
      <c r="C42" s="10" t="s">
        <v>23</v>
      </c>
      <c r="D42" s="10" t="e" cm="1">
        <f t="array" ref="D42">INDEX($H$2:$H$35, MATCH(1, (A42 &gt;= $F$2:$F$35) * (A42 &lt;= $G$2:$G$35), 0))</f>
        <v>#N/A</v>
      </c>
      <c r="E42" s="10" t="str">
        <f>IF(COUNTIF('Top5'!I:I, D42) &gt; 0, "Yes", "No")</f>
        <v>No</v>
      </c>
      <c r="F42" s="10"/>
      <c r="G42">
        <v>45608</v>
      </c>
      <c r="H42">
        <v>0.70902777777777781</v>
      </c>
      <c r="I42" t="s">
        <v>23</v>
      </c>
      <c r="J42" t="s">
        <v>43</v>
      </c>
      <c r="K42" t="s">
        <v>68</v>
      </c>
    </row>
    <row r="43" spans="1:12">
      <c r="A43" s="11">
        <v>45608</v>
      </c>
      <c r="B43" s="14">
        <v>0.82291666666666663</v>
      </c>
      <c r="C43" s="10" t="s">
        <v>23</v>
      </c>
      <c r="D43" s="10" t="e" cm="1">
        <f t="array" ref="D43">INDEX($H$2:$H$35, MATCH(1, (A43 &gt;= $F$2:$F$35) * (A43 &lt;= $G$2:$G$35), 0))</f>
        <v>#N/A</v>
      </c>
      <c r="E43" s="10" t="str">
        <f>IF(COUNTIF('Top5'!I:I, D43) &gt; 0, "Yes", "No")</f>
        <v>No</v>
      </c>
      <c r="F43" s="10"/>
      <c r="G43">
        <v>45608</v>
      </c>
      <c r="H43">
        <v>0.82291666666666663</v>
      </c>
      <c r="I43" t="s">
        <v>23</v>
      </c>
      <c r="J43" t="s">
        <v>43</v>
      </c>
      <c r="K43" t="s">
        <v>68</v>
      </c>
    </row>
    <row r="44" spans="1:12">
      <c r="A44" s="11">
        <v>45609</v>
      </c>
      <c r="B44" s="14">
        <v>0.39305555555555555</v>
      </c>
      <c r="C44" s="10" t="s">
        <v>22</v>
      </c>
      <c r="D44" s="10" t="e" cm="1">
        <f t="array" ref="D44">INDEX($H$2:$H$35, MATCH(1, (A44 &gt;= $F$2:$F$35) * (A44 &lt;= $G$2:$G$35), 0))</f>
        <v>#N/A</v>
      </c>
      <c r="E44" s="10" t="str">
        <f>IF(COUNTIF('Top5'!I:I, D44) &gt; 0, "Yes", "No")</f>
        <v>No</v>
      </c>
      <c r="F44" s="10"/>
      <c r="G44">
        <v>45609</v>
      </c>
      <c r="H44">
        <v>0.39305555555555555</v>
      </c>
      <c r="I44" t="s">
        <v>22</v>
      </c>
      <c r="J44" t="s">
        <v>43</v>
      </c>
      <c r="K44" t="s">
        <v>68</v>
      </c>
    </row>
    <row r="45" spans="1:12">
      <c r="A45" s="11">
        <v>45609</v>
      </c>
      <c r="B45" s="14">
        <v>0.40763888888888888</v>
      </c>
      <c r="C45" s="10" t="s">
        <v>22</v>
      </c>
      <c r="D45" s="10" t="e" cm="1">
        <f t="array" ref="D45">INDEX($H$2:$H$35, MATCH(1, (A45 &gt;= $F$2:$F$35) * (A45 &lt;= $G$2:$G$35), 0))</f>
        <v>#N/A</v>
      </c>
      <c r="E45" s="10" t="str">
        <f>IF(COUNTIF('Top5'!I:I, D45) &gt; 0, "Yes", "No")</f>
        <v>No</v>
      </c>
      <c r="F45" s="10"/>
      <c r="G45">
        <v>45609</v>
      </c>
      <c r="H45">
        <v>0.40763888888888888</v>
      </c>
      <c r="I45" t="s">
        <v>22</v>
      </c>
      <c r="J45" t="s">
        <v>43</v>
      </c>
      <c r="K45" t="s">
        <v>68</v>
      </c>
    </row>
    <row r="46" spans="1:12">
      <c r="A46" s="11">
        <v>45609</v>
      </c>
      <c r="B46" s="14">
        <v>0.4548611111111111</v>
      </c>
      <c r="C46" s="10" t="s">
        <v>22</v>
      </c>
      <c r="D46" s="10" t="e" cm="1">
        <f t="array" ref="D46">INDEX($H$2:$H$35, MATCH(1, (A46 &gt;= $F$2:$F$35) * (A46 &lt;= $G$2:$G$35), 0))</f>
        <v>#N/A</v>
      </c>
      <c r="E46" s="10" t="str">
        <f>IF(COUNTIF('Top5'!I:I, D46) &gt; 0, "Yes", "No")</f>
        <v>No</v>
      </c>
      <c r="F46" s="10"/>
      <c r="G46">
        <v>45609</v>
      </c>
      <c r="H46">
        <v>0.4548611111111111</v>
      </c>
      <c r="I46" t="s">
        <v>22</v>
      </c>
      <c r="J46" t="s">
        <v>43</v>
      </c>
      <c r="K46" t="s">
        <v>68</v>
      </c>
    </row>
    <row r="47" spans="1:12">
      <c r="A47" s="11">
        <v>45609</v>
      </c>
      <c r="B47" s="14">
        <v>0.45624999999999999</v>
      </c>
      <c r="C47" s="10" t="s">
        <v>22</v>
      </c>
      <c r="D47" s="10" t="e" cm="1">
        <f t="array" ref="D47">INDEX($H$2:$H$35, MATCH(1, (A47 &gt;= $F$2:$F$35) * (A47 &lt;= $G$2:$G$35), 0))</f>
        <v>#N/A</v>
      </c>
      <c r="E47" s="10" t="str">
        <f>IF(COUNTIF('Top5'!I:I, D47) &gt; 0, "Yes", "No")</f>
        <v>No</v>
      </c>
      <c r="F47" s="10"/>
      <c r="G47">
        <v>45609</v>
      </c>
      <c r="H47">
        <v>0.45624999999999999</v>
      </c>
      <c r="I47" t="s">
        <v>22</v>
      </c>
      <c r="J47" t="s">
        <v>43</v>
      </c>
      <c r="K47" t="s">
        <v>68</v>
      </c>
    </row>
    <row r="48" spans="1:12">
      <c r="A48" s="11">
        <v>45609</v>
      </c>
      <c r="B48" s="14">
        <v>0.72430555555555554</v>
      </c>
      <c r="C48" s="10" t="s">
        <v>23</v>
      </c>
      <c r="D48" s="10" t="e" cm="1">
        <f t="array" ref="D48">INDEX($H$2:$H$35, MATCH(1, (A48 &gt;= $F$2:$F$35) * (A48 &lt;= $G$2:$G$35), 0))</f>
        <v>#N/A</v>
      </c>
      <c r="E48" s="10" t="str">
        <f>IF(COUNTIF('Top5'!I:I, D48) &gt; 0, "Yes", "No")</f>
        <v>No</v>
      </c>
      <c r="F48" s="10"/>
      <c r="G48">
        <v>45609</v>
      </c>
      <c r="H48">
        <v>0.72430555555555554</v>
      </c>
      <c r="I48" t="s">
        <v>23</v>
      </c>
      <c r="J48" t="s">
        <v>43</v>
      </c>
      <c r="K48" t="s">
        <v>68</v>
      </c>
    </row>
    <row r="49" spans="1:11">
      <c r="A49" s="11">
        <v>45610</v>
      </c>
      <c r="B49" s="14">
        <v>0.38819444444444445</v>
      </c>
      <c r="C49" s="10" t="s">
        <v>22</v>
      </c>
      <c r="D49" s="10" t="e" cm="1">
        <f t="array" ref="D49">INDEX($H$2:$H$35, MATCH(1, (A49 &gt;= $F$2:$F$35) * (A49 &lt;= $G$2:$G$35), 0))</f>
        <v>#N/A</v>
      </c>
      <c r="E49" s="10" t="str">
        <f>IF(COUNTIF('Top5'!I:I, D49) &gt; 0, "Yes", "No")</f>
        <v>No</v>
      </c>
      <c r="F49" s="10"/>
      <c r="G49">
        <v>45610</v>
      </c>
      <c r="H49">
        <v>0.38819444444444445</v>
      </c>
      <c r="I49" t="s">
        <v>22</v>
      </c>
      <c r="J49" t="s">
        <v>43</v>
      </c>
      <c r="K49" t="s">
        <v>68</v>
      </c>
    </row>
    <row r="50" spans="1:11">
      <c r="A50" s="11">
        <v>45610</v>
      </c>
      <c r="B50" s="14">
        <v>0.51736111111111116</v>
      </c>
      <c r="C50" s="10" t="s">
        <v>22</v>
      </c>
      <c r="D50" s="10" t="e" cm="1">
        <f t="array" ref="D50">INDEX($H$2:$H$35, MATCH(1, (A50 &gt;= $F$2:$F$35) * (A50 &lt;= $G$2:$G$35), 0))</f>
        <v>#N/A</v>
      </c>
      <c r="E50" s="10" t="str">
        <f>IF(COUNTIF('Top5'!I:I, D50) &gt; 0, "Yes", "No")</f>
        <v>No</v>
      </c>
      <c r="F50" s="10"/>
      <c r="G50">
        <v>45610</v>
      </c>
      <c r="H50">
        <v>0.51736111111111116</v>
      </c>
      <c r="I50" t="s">
        <v>22</v>
      </c>
      <c r="J50" t="s">
        <v>43</v>
      </c>
      <c r="K50" t="s">
        <v>68</v>
      </c>
    </row>
    <row r="51" spans="1:11">
      <c r="A51" s="11">
        <v>45610</v>
      </c>
      <c r="B51" s="14">
        <v>0.53611111111111109</v>
      </c>
      <c r="C51" s="10" t="s">
        <v>22</v>
      </c>
      <c r="D51" s="10" t="e" cm="1">
        <f t="array" ref="D51">INDEX($H$2:$H$35, MATCH(1, (A51 &gt;= $F$2:$F$35) * (A51 &lt;= $G$2:$G$35), 0))</f>
        <v>#N/A</v>
      </c>
      <c r="E51" s="10" t="str">
        <f>IF(COUNTIF('Top5'!I:I, D51) &gt; 0, "Yes", "No")</f>
        <v>No</v>
      </c>
      <c r="F51" s="10"/>
      <c r="G51">
        <v>45610</v>
      </c>
      <c r="H51">
        <v>0.53611111111111109</v>
      </c>
      <c r="I51" t="s">
        <v>22</v>
      </c>
      <c r="J51" t="s">
        <v>43</v>
      </c>
      <c r="K51" t="s">
        <v>68</v>
      </c>
    </row>
    <row r="52" spans="1:11">
      <c r="A52" s="11">
        <v>45610</v>
      </c>
      <c r="B52" s="14">
        <v>0.56319444444444444</v>
      </c>
      <c r="C52" s="10" t="s">
        <v>22</v>
      </c>
      <c r="D52" s="10" t="e" cm="1">
        <f t="array" ref="D52">INDEX($H$2:$H$35, MATCH(1, (A52 &gt;= $F$2:$F$35) * (A52 &lt;= $G$2:$G$35), 0))</f>
        <v>#N/A</v>
      </c>
      <c r="E52" s="10" t="str">
        <f>IF(COUNTIF('Top5'!I:I, D52) &gt; 0, "Yes", "No")</f>
        <v>No</v>
      </c>
      <c r="F52" s="10"/>
      <c r="G52">
        <v>45610</v>
      </c>
      <c r="H52">
        <v>0.56319444444444444</v>
      </c>
      <c r="I52" t="s">
        <v>22</v>
      </c>
      <c r="J52" t="s">
        <v>43</v>
      </c>
      <c r="K52" t="s">
        <v>68</v>
      </c>
    </row>
    <row r="53" spans="1:11">
      <c r="A53" s="11">
        <v>45610</v>
      </c>
      <c r="B53" s="14">
        <v>0.59097222222222223</v>
      </c>
      <c r="C53" s="10" t="s">
        <v>22</v>
      </c>
      <c r="D53" s="10" t="e" cm="1">
        <f t="array" ref="D53">INDEX($H$2:$H$35, MATCH(1, (A53 &gt;= $F$2:$F$35) * (A53 &lt;= $G$2:$G$35), 0))</f>
        <v>#N/A</v>
      </c>
      <c r="E53" s="10" t="str">
        <f>IF(COUNTIF('Top5'!I:I, D53) &gt; 0, "Yes", "No")</f>
        <v>No</v>
      </c>
      <c r="F53" s="10"/>
      <c r="G53">
        <v>45610</v>
      </c>
      <c r="H53">
        <v>0.59097222222222223</v>
      </c>
      <c r="I53" t="s">
        <v>22</v>
      </c>
      <c r="J53" t="s">
        <v>43</v>
      </c>
      <c r="K53" t="s">
        <v>68</v>
      </c>
    </row>
    <row r="54" spans="1:11">
      <c r="A54" s="11">
        <v>45612</v>
      </c>
      <c r="B54" s="14">
        <v>0.50138888888888888</v>
      </c>
      <c r="C54" s="10" t="s">
        <v>22</v>
      </c>
      <c r="D54" s="10" t="e" cm="1">
        <f t="array" ref="D54">INDEX($H$2:$H$35, MATCH(1, (A54 &gt;= $F$2:$F$35) * (A54 &lt;= $G$2:$G$35), 0))</f>
        <v>#N/A</v>
      </c>
      <c r="E54" s="10" t="str">
        <f>IF(COUNTIF('Top5'!I:I, D54) &gt; 0, "Yes", "No")</f>
        <v>No</v>
      </c>
      <c r="F54" s="10"/>
      <c r="G54">
        <v>45612</v>
      </c>
      <c r="H54">
        <v>0.50138888888888888</v>
      </c>
      <c r="I54" t="s">
        <v>22</v>
      </c>
      <c r="J54" t="s">
        <v>57</v>
      </c>
      <c r="K54" t="s">
        <v>68</v>
      </c>
    </row>
    <row r="55" spans="1:11">
      <c r="A55" s="11">
        <v>45612</v>
      </c>
      <c r="B55" s="14">
        <v>0.94652777777777775</v>
      </c>
      <c r="C55" s="10" t="s">
        <v>23</v>
      </c>
      <c r="D55" s="10" t="e" cm="1">
        <f t="array" ref="D55">INDEX($H$2:$H$35, MATCH(1, (A55 &gt;= $F$2:$F$35) * (A55 &lt;= $G$2:$G$35), 0))</f>
        <v>#N/A</v>
      </c>
      <c r="E55" s="10" t="str">
        <f>IF(COUNTIF('Top5'!I:I, D55) &gt; 0, "Yes", "No")</f>
        <v>No</v>
      </c>
      <c r="F55" s="10"/>
      <c r="G55">
        <v>45612</v>
      </c>
      <c r="H55">
        <v>0.94652777777777775</v>
      </c>
      <c r="I55" t="s">
        <v>23</v>
      </c>
      <c r="J55" t="s">
        <v>57</v>
      </c>
      <c r="K55" t="s">
        <v>68</v>
      </c>
    </row>
    <row r="56" spans="1:11">
      <c r="A56" s="11">
        <v>45614</v>
      </c>
      <c r="B56" s="14">
        <v>0.88055555555555554</v>
      </c>
      <c r="C56" s="10" t="s">
        <v>23</v>
      </c>
      <c r="D56" s="10" t="e" cm="1">
        <f t="array" ref="D56">INDEX($H$2:$H$35, MATCH(1, (A56 &gt;= $F$2:$F$35) * (A56 &lt;= $G$2:$G$35), 0))</f>
        <v>#N/A</v>
      </c>
      <c r="E56" s="10" t="str">
        <f>IF(COUNTIF('Top5'!I:I, D56) &gt; 0, "Yes", "No")</f>
        <v>No</v>
      </c>
      <c r="F56" s="10"/>
      <c r="G56">
        <v>45614</v>
      </c>
      <c r="H56">
        <v>0.88055555555555554</v>
      </c>
      <c r="I56" t="s">
        <v>23</v>
      </c>
      <c r="J56" t="s">
        <v>57</v>
      </c>
      <c r="K56" t="s">
        <v>68</v>
      </c>
    </row>
    <row r="57" spans="1:11">
      <c r="A57" s="11">
        <v>45615</v>
      </c>
      <c r="B57" s="14">
        <v>0.3923611111111111</v>
      </c>
      <c r="C57" s="10" t="s">
        <v>22</v>
      </c>
      <c r="D57" s="10" t="e" cm="1">
        <f t="array" ref="D57">INDEX($H$2:$H$35, MATCH(1, (A57 &gt;= $F$2:$F$35) * (A57 &lt;= $G$2:$G$35), 0))</f>
        <v>#N/A</v>
      </c>
      <c r="E57" s="10" t="str">
        <f>IF(COUNTIF('Top5'!I:I, D57) &gt; 0, "Yes", "No")</f>
        <v>No</v>
      </c>
      <c r="F57" s="10"/>
      <c r="G57">
        <v>45615</v>
      </c>
      <c r="H57">
        <v>0.3923611111111111</v>
      </c>
      <c r="I57" t="s">
        <v>22</v>
      </c>
      <c r="J57" t="s">
        <v>57</v>
      </c>
      <c r="K57" t="s">
        <v>68</v>
      </c>
    </row>
    <row r="58" spans="1:11">
      <c r="A58" s="11">
        <v>45615</v>
      </c>
      <c r="B58" s="14">
        <v>0.4152777777777778</v>
      </c>
      <c r="C58" s="10" t="s">
        <v>22</v>
      </c>
      <c r="D58" s="10" t="e" cm="1">
        <f t="array" ref="D58">INDEX($H$2:$H$35, MATCH(1, (A58 &gt;= $F$2:$F$35) * (A58 &lt;= $G$2:$G$35), 0))</f>
        <v>#N/A</v>
      </c>
      <c r="E58" s="10" t="str">
        <f>IF(COUNTIF('Top5'!I:I, D58) &gt; 0, "Yes", "No")</f>
        <v>No</v>
      </c>
      <c r="F58" s="10"/>
      <c r="G58">
        <v>45615</v>
      </c>
      <c r="H58">
        <v>0.4152777777777778</v>
      </c>
      <c r="I58" t="s">
        <v>22</v>
      </c>
      <c r="J58" t="s">
        <v>57</v>
      </c>
      <c r="K58" t="s">
        <v>68</v>
      </c>
    </row>
    <row r="59" spans="1:11">
      <c r="A59" s="11">
        <v>45615</v>
      </c>
      <c r="B59" s="14">
        <v>0.72916666666666663</v>
      </c>
      <c r="C59" s="10" t="s">
        <v>23</v>
      </c>
      <c r="D59" s="10" t="e" cm="1">
        <f t="array" ref="D59">INDEX($H$2:$H$35, MATCH(1, (A59 &gt;= $F$2:$F$35) * (A59 &lt;= $G$2:$G$35), 0))</f>
        <v>#N/A</v>
      </c>
      <c r="E59" s="10" t="str">
        <f>IF(COUNTIF('Top5'!I:I, D59) &gt; 0, "Yes", "No")</f>
        <v>No</v>
      </c>
      <c r="F59" s="10"/>
      <c r="G59">
        <v>45615</v>
      </c>
      <c r="H59">
        <v>0.72916666666666663</v>
      </c>
      <c r="I59" t="s">
        <v>23</v>
      </c>
      <c r="J59" t="s">
        <v>57</v>
      </c>
      <c r="K59" t="s">
        <v>68</v>
      </c>
    </row>
    <row r="60" spans="1:11">
      <c r="A60" s="11">
        <v>45615</v>
      </c>
      <c r="B60" s="14">
        <v>0.75486111111111109</v>
      </c>
      <c r="C60" s="10" t="s">
        <v>23</v>
      </c>
      <c r="D60" s="10" t="e" cm="1">
        <f t="array" ref="D60">INDEX($H$2:$H$35, MATCH(1, (A60 &gt;= $F$2:$F$35) * (A60 &lt;= $G$2:$G$35), 0))</f>
        <v>#N/A</v>
      </c>
      <c r="E60" s="10" t="str">
        <f>IF(COUNTIF('Top5'!I:I, D60) &gt; 0, "Yes", "No")</f>
        <v>No</v>
      </c>
      <c r="F60" s="10"/>
      <c r="G60">
        <v>45615</v>
      </c>
      <c r="H60">
        <v>0.75486111111111109</v>
      </c>
      <c r="I60" t="s">
        <v>23</v>
      </c>
      <c r="J60" t="s">
        <v>57</v>
      </c>
      <c r="K60" t="s">
        <v>68</v>
      </c>
    </row>
    <row r="61" spans="1:11">
      <c r="A61" s="11">
        <v>45615</v>
      </c>
      <c r="B61" s="14">
        <v>0.91597222222222219</v>
      </c>
      <c r="C61" s="10" t="s">
        <v>23</v>
      </c>
      <c r="D61" s="10" t="e" cm="1">
        <f t="array" ref="D61">INDEX($H$2:$H$35, MATCH(1, (A61 &gt;= $F$2:$F$35) * (A61 &lt;= $G$2:$G$35), 0))</f>
        <v>#N/A</v>
      </c>
      <c r="E61" s="10" t="str">
        <f>IF(COUNTIF('Top5'!I:I, D61) &gt; 0, "Yes", "No")</f>
        <v>No</v>
      </c>
      <c r="F61" s="10"/>
      <c r="G61">
        <v>45615</v>
      </c>
      <c r="H61">
        <v>0.91597222222222219</v>
      </c>
      <c r="I61" t="s">
        <v>23</v>
      </c>
      <c r="J61" t="s">
        <v>57</v>
      </c>
      <c r="K61" t="s">
        <v>68</v>
      </c>
    </row>
    <row r="62" spans="1:11">
      <c r="A62" s="11">
        <v>45616</v>
      </c>
      <c r="B62" s="14">
        <v>0.60555555555555551</v>
      </c>
      <c r="C62" s="10" t="s">
        <v>22</v>
      </c>
      <c r="D62" s="10" t="e" cm="1">
        <f t="array" ref="D62">INDEX($H$2:$H$35, MATCH(1, (A62 &gt;= $F$2:$F$35) * (A62 &lt;= $G$2:$G$35), 0))</f>
        <v>#N/A</v>
      </c>
      <c r="E62" s="10" t="str">
        <f>IF(COUNTIF('Top5'!I:I, D62) &gt; 0, "Yes", "No")</f>
        <v>No</v>
      </c>
      <c r="F62" s="10"/>
      <c r="G62">
        <v>45616</v>
      </c>
      <c r="H62">
        <v>0.60555555555555551</v>
      </c>
      <c r="I62" t="s">
        <v>22</v>
      </c>
      <c r="J62" t="s">
        <v>57</v>
      </c>
      <c r="K62" t="s">
        <v>68</v>
      </c>
    </row>
    <row r="63" spans="1:11">
      <c r="A63" s="11">
        <v>45617</v>
      </c>
      <c r="B63" s="14">
        <v>1.3888888888888889E-3</v>
      </c>
      <c r="C63" s="10" t="s">
        <v>23</v>
      </c>
      <c r="D63" s="10" t="e" cm="1">
        <f t="array" ref="D63">INDEX($H$2:$H$35, MATCH(1, (A63 &gt;= $F$2:$F$35) * (A63 &lt;= $G$2:$G$35), 0))</f>
        <v>#N/A</v>
      </c>
      <c r="E63" s="10" t="str">
        <f>IF(COUNTIF('Top5'!I:I, D63) &gt; 0, "Yes", "No")</f>
        <v>No</v>
      </c>
      <c r="F63" s="10"/>
      <c r="G63">
        <v>45617</v>
      </c>
      <c r="H63">
        <v>1.3888888888888889E-3</v>
      </c>
      <c r="I63" t="s">
        <v>23</v>
      </c>
      <c r="J63" t="s">
        <v>57</v>
      </c>
      <c r="K63" t="s">
        <v>68</v>
      </c>
    </row>
    <row r="64" spans="1:11">
      <c r="A64" s="11">
        <v>45617</v>
      </c>
      <c r="B64" s="14">
        <v>0.42291666666666666</v>
      </c>
      <c r="C64" s="10" t="s">
        <v>22</v>
      </c>
      <c r="D64" s="10" t="e" cm="1">
        <f t="array" ref="D64">INDEX($H$2:$H$35, MATCH(1, (A64 &gt;= $F$2:$F$35) * (A64 &lt;= $G$2:$G$35), 0))</f>
        <v>#N/A</v>
      </c>
      <c r="E64" s="10" t="str">
        <f>IF(COUNTIF('Top5'!I:I, D64) &gt; 0, "Yes", "No")</f>
        <v>No</v>
      </c>
      <c r="F64" s="10"/>
      <c r="G64">
        <v>45617</v>
      </c>
      <c r="H64">
        <v>0.42291666666666666</v>
      </c>
      <c r="I64" t="s">
        <v>22</v>
      </c>
      <c r="J64" t="s">
        <v>57</v>
      </c>
      <c r="K64" t="s">
        <v>68</v>
      </c>
    </row>
    <row r="65" spans="1:11">
      <c r="A65" s="11">
        <v>45617</v>
      </c>
      <c r="B65" s="14">
        <v>0.44583333333333336</v>
      </c>
      <c r="C65" s="10" t="s">
        <v>22</v>
      </c>
      <c r="D65" s="10" t="e" cm="1">
        <f t="array" ref="D65">INDEX($H$2:$H$35, MATCH(1, (A65 &gt;= $F$2:$F$35) * (A65 &lt;= $G$2:$G$35), 0))</f>
        <v>#N/A</v>
      </c>
      <c r="E65" s="10" t="str">
        <f>IF(COUNTIF('Top5'!I:I, D65) &gt; 0, "Yes", "No")</f>
        <v>No</v>
      </c>
      <c r="F65" s="10"/>
      <c r="G65">
        <v>45617</v>
      </c>
      <c r="H65">
        <v>0.44583333333333336</v>
      </c>
      <c r="I65" t="s">
        <v>22</v>
      </c>
      <c r="J65" t="s">
        <v>57</v>
      </c>
      <c r="K65" t="s">
        <v>68</v>
      </c>
    </row>
    <row r="66" spans="1:11">
      <c r="A66" s="11">
        <v>45617</v>
      </c>
      <c r="B66" s="14">
        <v>0.4513888888888889</v>
      </c>
      <c r="C66" s="10" t="s">
        <v>22</v>
      </c>
      <c r="D66" s="10" t="e" cm="1">
        <f t="array" ref="D66">INDEX($H$2:$H$35, MATCH(1, (A66 &gt;= $F$2:$F$35) * (A66 &lt;= $G$2:$G$35), 0))</f>
        <v>#N/A</v>
      </c>
      <c r="E66" s="10" t="str">
        <f>IF(COUNTIF('Top5'!I:I, D66) &gt; 0, "Yes", "No")</f>
        <v>No</v>
      </c>
      <c r="F66" s="10"/>
      <c r="G66">
        <v>45617</v>
      </c>
      <c r="H66">
        <v>0.4513888888888889</v>
      </c>
      <c r="I66" t="s">
        <v>22</v>
      </c>
      <c r="J66" t="s">
        <v>57</v>
      </c>
      <c r="K66" t="s">
        <v>68</v>
      </c>
    </row>
    <row r="67" spans="1:11">
      <c r="A67" s="11">
        <v>45617</v>
      </c>
      <c r="B67" s="14">
        <v>0.46527777777777779</v>
      </c>
      <c r="C67" s="10" t="s">
        <v>22</v>
      </c>
      <c r="D67" s="10" t="e" cm="1">
        <f t="array" ref="D67">INDEX($H$2:$H$35, MATCH(1, (A67 &gt;= $F$2:$F$35) * (A67 &lt;= $G$2:$G$35), 0))</f>
        <v>#N/A</v>
      </c>
      <c r="E67" s="10" t="str">
        <f>IF(COUNTIF('Top5'!I:I, D67) &gt; 0, "Yes", "No")</f>
        <v>No</v>
      </c>
      <c r="F67" s="10"/>
      <c r="G67">
        <v>45617</v>
      </c>
      <c r="H67">
        <v>0.46527777777777779</v>
      </c>
      <c r="I67" t="s">
        <v>22</v>
      </c>
      <c r="J67" t="s">
        <v>57</v>
      </c>
      <c r="K67" t="s">
        <v>68</v>
      </c>
    </row>
    <row r="68" spans="1:11">
      <c r="A68" s="11">
        <v>45617</v>
      </c>
      <c r="B68" s="14">
        <v>0.48749999999999999</v>
      </c>
      <c r="C68" s="10" t="s">
        <v>22</v>
      </c>
      <c r="D68" s="10" t="e" cm="1">
        <f t="array" ref="D68">INDEX($H$2:$H$35, MATCH(1, (A68 &gt;= $F$2:$F$35) * (A68 &lt;= $G$2:$G$35), 0))</f>
        <v>#N/A</v>
      </c>
      <c r="E68" s="10" t="str">
        <f>IF(COUNTIF('Top5'!I:I, D68) &gt; 0, "Yes", "No")</f>
        <v>No</v>
      </c>
      <c r="F68" s="10"/>
      <c r="G68">
        <v>45617</v>
      </c>
      <c r="H68">
        <v>0.48749999999999999</v>
      </c>
      <c r="I68" t="s">
        <v>22</v>
      </c>
      <c r="J68" t="s">
        <v>57</v>
      </c>
      <c r="K68" t="s">
        <v>68</v>
      </c>
    </row>
    <row r="69" spans="1:11">
      <c r="A69" s="11">
        <v>45617</v>
      </c>
      <c r="B69" s="14">
        <v>0.78055555555555556</v>
      </c>
      <c r="C69" s="10" t="s">
        <v>23</v>
      </c>
      <c r="D69" s="10" t="e" cm="1">
        <f t="array" ref="D69">INDEX($H$2:$H$35, MATCH(1, (A69 &gt;= $F$2:$F$35) * (A69 &lt;= $G$2:$G$35), 0))</f>
        <v>#N/A</v>
      </c>
      <c r="E69" s="10" t="str">
        <f>IF(COUNTIF('Top5'!I:I, D69) &gt; 0, "Yes", "No")</f>
        <v>No</v>
      </c>
      <c r="F69" s="10"/>
      <c r="G69">
        <v>45617</v>
      </c>
      <c r="H69">
        <v>0.78055555555555556</v>
      </c>
      <c r="I69" t="s">
        <v>23</v>
      </c>
      <c r="J69" t="s">
        <v>57</v>
      </c>
      <c r="K69" t="s">
        <v>68</v>
      </c>
    </row>
    <row r="70" spans="1:11">
      <c r="A70" s="11">
        <v>45617</v>
      </c>
      <c r="B70" s="14">
        <v>0.95763888888888893</v>
      </c>
      <c r="C70" s="10" t="s">
        <v>23</v>
      </c>
      <c r="D70" s="10" t="e" cm="1">
        <f t="array" ref="D70">INDEX($H$2:$H$35, MATCH(1, (A70 &gt;= $F$2:$F$35) * (A70 &lt;= $G$2:$G$35), 0))</f>
        <v>#N/A</v>
      </c>
      <c r="E70" s="10" t="str">
        <f>IF(COUNTIF('Top5'!I:I, D70) &gt; 0, "Yes", "No")</f>
        <v>No</v>
      </c>
      <c r="F70" s="10"/>
      <c r="G70">
        <v>45617</v>
      </c>
      <c r="H70">
        <v>0.95763888888888893</v>
      </c>
      <c r="I70" t="s">
        <v>23</v>
      </c>
      <c r="J70" t="s">
        <v>57</v>
      </c>
      <c r="K70" t="s">
        <v>68</v>
      </c>
    </row>
    <row r="71" spans="1:11">
      <c r="A71" s="11">
        <v>45617</v>
      </c>
      <c r="B71" s="14">
        <v>0.95833333333333337</v>
      </c>
      <c r="C71" s="10" t="s">
        <v>23</v>
      </c>
      <c r="D71" s="10" t="e" cm="1">
        <f t="array" ref="D71">INDEX($H$2:$H$35, MATCH(1, (A71 &gt;= $F$2:$F$35) * (A71 &lt;= $G$2:$G$35), 0))</f>
        <v>#N/A</v>
      </c>
      <c r="E71" s="10" t="str">
        <f>IF(COUNTIF('Top5'!I:I, D71) &gt; 0, "Yes", "No")</f>
        <v>No</v>
      </c>
      <c r="F71" s="10"/>
      <c r="G71">
        <v>45617</v>
      </c>
      <c r="H71">
        <v>0.95833333333333337</v>
      </c>
      <c r="I71" t="s">
        <v>23</v>
      </c>
      <c r="J71" t="s">
        <v>57</v>
      </c>
      <c r="K71" t="s">
        <v>68</v>
      </c>
    </row>
    <row r="72" spans="1:11">
      <c r="A72" s="11">
        <v>45618</v>
      </c>
      <c r="B72" s="14">
        <v>0.36180555555555555</v>
      </c>
      <c r="C72" s="10" t="s">
        <v>22</v>
      </c>
      <c r="D72" s="10" t="e" cm="1">
        <f t="array" ref="D72">INDEX($H$2:$H$35, MATCH(1, (A72 &gt;= $F$2:$F$35) * (A72 &lt;= $G$2:$G$35), 0))</f>
        <v>#N/A</v>
      </c>
      <c r="E72" s="10" t="str">
        <f>IF(COUNTIF('Top5'!I:I, D72) &gt; 0, "Yes", "No")</f>
        <v>No</v>
      </c>
      <c r="F72" s="10"/>
      <c r="G72">
        <v>45618</v>
      </c>
      <c r="H72">
        <v>0.36180555555555555</v>
      </c>
      <c r="I72" t="s">
        <v>22</v>
      </c>
      <c r="J72" t="s">
        <v>52</v>
      </c>
      <c r="K72" t="s">
        <v>68</v>
      </c>
    </row>
    <row r="73" spans="1:11">
      <c r="A73" s="11">
        <v>45618</v>
      </c>
      <c r="B73" s="14">
        <v>0.36249999999999999</v>
      </c>
      <c r="C73" s="10" t="s">
        <v>22</v>
      </c>
      <c r="D73" s="10" t="e" cm="1">
        <f t="array" ref="D73">INDEX($H$2:$H$35, MATCH(1, (A73 &gt;= $F$2:$F$35) * (A73 &lt;= $G$2:$G$35), 0))</f>
        <v>#N/A</v>
      </c>
      <c r="E73" s="10" t="str">
        <f>IF(COUNTIF('Top5'!I:I, D73) &gt; 0, "Yes", "No")</f>
        <v>No</v>
      </c>
      <c r="F73" s="10"/>
      <c r="G73">
        <v>45618</v>
      </c>
      <c r="H73">
        <v>0.36249999999999999</v>
      </c>
      <c r="I73" t="s">
        <v>22</v>
      </c>
      <c r="J73" t="s">
        <v>52</v>
      </c>
      <c r="K73" t="s">
        <v>68</v>
      </c>
    </row>
    <row r="74" spans="1:11">
      <c r="A74" s="11">
        <v>45618</v>
      </c>
      <c r="B74" s="14">
        <v>0.46805555555555556</v>
      </c>
      <c r="C74" s="10" t="s">
        <v>22</v>
      </c>
      <c r="D74" s="10" t="e" cm="1">
        <f t="array" ref="D74">INDEX($H$2:$H$35, MATCH(1, (A74 &gt;= $F$2:$F$35) * (A74 &lt;= $G$2:$G$35), 0))</f>
        <v>#N/A</v>
      </c>
      <c r="E74" s="10" t="str">
        <f>IF(COUNTIF('Top5'!I:I, D74) &gt; 0, "Yes", "No")</f>
        <v>No</v>
      </c>
      <c r="F74" s="10"/>
      <c r="G74">
        <v>45618</v>
      </c>
      <c r="H74">
        <v>0.46805555555555556</v>
      </c>
      <c r="I74" t="s">
        <v>22</v>
      </c>
      <c r="J74" t="s">
        <v>52</v>
      </c>
      <c r="K74" t="s">
        <v>68</v>
      </c>
    </row>
    <row r="75" spans="1:11">
      <c r="A75" s="11">
        <v>45619</v>
      </c>
      <c r="B75" s="14">
        <v>0.72569444444444442</v>
      </c>
      <c r="C75" s="10" t="s">
        <v>23</v>
      </c>
      <c r="D75" s="10" t="e" cm="1">
        <f t="array" ref="D75">INDEX($H$2:$H$35, MATCH(1, (A75 &gt;= $F$2:$F$35) * (A75 &lt;= $G$2:$G$35), 0))</f>
        <v>#N/A</v>
      </c>
      <c r="E75" s="10" t="str">
        <f>IF(COUNTIF('Top5'!I:I, D75) &gt; 0, "Yes", "No")</f>
        <v>No</v>
      </c>
      <c r="F75" s="10"/>
      <c r="G75">
        <v>45619</v>
      </c>
      <c r="H75">
        <v>0.72569444444444442</v>
      </c>
      <c r="I75" t="s">
        <v>23</v>
      </c>
      <c r="J75" t="s">
        <v>52</v>
      </c>
      <c r="K75" t="s">
        <v>68</v>
      </c>
    </row>
    <row r="76" spans="1:11">
      <c r="A76" s="11">
        <v>45619</v>
      </c>
      <c r="B76" s="14">
        <v>0.75069444444444444</v>
      </c>
      <c r="C76" s="10" t="s">
        <v>23</v>
      </c>
      <c r="D76" s="10" t="e" cm="1">
        <f t="array" ref="D76">INDEX($H$2:$H$35, MATCH(1, (A76 &gt;= $F$2:$F$35) * (A76 &lt;= $G$2:$G$35), 0))</f>
        <v>#N/A</v>
      </c>
      <c r="E76" s="10" t="str">
        <f>IF(COUNTIF('Top5'!I:I, D76) &gt; 0, "Yes", "No")</f>
        <v>No</v>
      </c>
      <c r="F76" s="10"/>
      <c r="G76">
        <v>45619</v>
      </c>
      <c r="H76">
        <v>0.75069444444444444</v>
      </c>
      <c r="I76" t="s">
        <v>23</v>
      </c>
      <c r="J76" t="s">
        <v>52</v>
      </c>
      <c r="K76" t="s">
        <v>68</v>
      </c>
    </row>
    <row r="77" spans="1:11">
      <c r="A77" s="11">
        <v>45619</v>
      </c>
      <c r="B77" s="14">
        <v>0.79861111111111116</v>
      </c>
      <c r="C77" s="10" t="s">
        <v>23</v>
      </c>
      <c r="D77" s="10" t="e" cm="1">
        <f t="array" ref="D77">INDEX($H$2:$H$35, MATCH(1, (A77 &gt;= $F$2:$F$35) * (A77 &lt;= $G$2:$G$35), 0))</f>
        <v>#N/A</v>
      </c>
      <c r="E77" s="10" t="str">
        <f>IF(COUNTIF('Top5'!I:I, D77) &gt; 0, "Yes", "No")</f>
        <v>No</v>
      </c>
      <c r="F77" s="10"/>
      <c r="G77">
        <v>45619</v>
      </c>
      <c r="H77">
        <v>0.79861111111111116</v>
      </c>
      <c r="I77" t="s">
        <v>23</v>
      </c>
      <c r="J77" t="s">
        <v>52</v>
      </c>
      <c r="K77" t="s">
        <v>68</v>
      </c>
    </row>
    <row r="78" spans="1:11">
      <c r="A78" s="11">
        <v>45620</v>
      </c>
      <c r="B78" s="14">
        <v>1.3888888888888889E-3</v>
      </c>
      <c r="C78" s="10" t="s">
        <v>23</v>
      </c>
      <c r="D78" s="10" t="e" cm="1">
        <f t="array" ref="D78">INDEX($H$2:$H$35, MATCH(1, (A78 &gt;= $F$2:$F$35) * (A78 &lt;= $G$2:$G$35), 0))</f>
        <v>#N/A</v>
      </c>
      <c r="E78" s="10" t="str">
        <f>IF(COUNTIF('Top5'!I:I, D78) &gt; 0, "Yes", "No")</f>
        <v>No</v>
      </c>
      <c r="F78" s="10"/>
      <c r="G78">
        <v>45620</v>
      </c>
      <c r="H78">
        <v>1.3888888888888889E-3</v>
      </c>
      <c r="I78" t="s">
        <v>23</v>
      </c>
      <c r="J78" t="s">
        <v>52</v>
      </c>
      <c r="K78" t="s">
        <v>68</v>
      </c>
    </row>
    <row r="79" spans="1:11">
      <c r="A79" s="11">
        <v>45620</v>
      </c>
      <c r="B79" s="14">
        <v>2.0833333333333333E-3</v>
      </c>
      <c r="C79" s="10" t="s">
        <v>23</v>
      </c>
      <c r="D79" s="10" t="e" cm="1">
        <f t="array" ref="D79">INDEX($H$2:$H$35, MATCH(1, (A79 &gt;= $F$2:$F$35) * (A79 &lt;= $G$2:$G$35), 0))</f>
        <v>#N/A</v>
      </c>
      <c r="E79" s="10" t="str">
        <f>IF(COUNTIF('Top5'!I:I, D79) &gt; 0, "Yes", "No")</f>
        <v>No</v>
      </c>
      <c r="F79" s="10"/>
      <c r="G79">
        <v>45620</v>
      </c>
      <c r="H79">
        <v>2.0833333333333333E-3</v>
      </c>
      <c r="I79" t="s">
        <v>23</v>
      </c>
      <c r="J79" t="s">
        <v>52</v>
      </c>
      <c r="K79" t="s">
        <v>68</v>
      </c>
    </row>
    <row r="80" spans="1:11">
      <c r="A80" s="11">
        <v>45620</v>
      </c>
      <c r="B80" s="14">
        <v>2.0833333333333333E-3</v>
      </c>
      <c r="C80" s="10" t="s">
        <v>23</v>
      </c>
      <c r="D80" s="10" t="e" cm="1">
        <f t="array" ref="D80">INDEX($H$2:$H$35, MATCH(1, (A80 &gt;= $F$2:$F$35) * (A80 &lt;= $G$2:$G$35), 0))</f>
        <v>#N/A</v>
      </c>
      <c r="E80" s="10" t="str">
        <f>IF(COUNTIF('Top5'!I:I, D80) &gt; 0, "Yes", "No")</f>
        <v>No</v>
      </c>
      <c r="F80" s="10"/>
      <c r="G80">
        <v>45620</v>
      </c>
      <c r="H80">
        <v>2.0833333333333333E-3</v>
      </c>
      <c r="I80" t="s">
        <v>23</v>
      </c>
      <c r="J80" t="s">
        <v>52</v>
      </c>
      <c r="K80" t="s">
        <v>68</v>
      </c>
    </row>
    <row r="81" spans="1:11">
      <c r="A81" s="11">
        <v>45620</v>
      </c>
      <c r="B81" s="14">
        <v>0.70694444444444449</v>
      </c>
      <c r="C81" s="10" t="s">
        <v>22</v>
      </c>
      <c r="D81" s="10" t="e" cm="1">
        <f t="array" ref="D81">INDEX($H$2:$H$35, MATCH(1, (A81 &gt;= $F$2:$F$35) * (A81 &lt;= $G$2:$G$35), 0))</f>
        <v>#N/A</v>
      </c>
      <c r="E81" s="10" t="str">
        <f>IF(COUNTIF('Top5'!I:I, D81) &gt; 0, "Yes", "No")</f>
        <v>No</v>
      </c>
      <c r="F81" s="10"/>
      <c r="G81">
        <v>45620</v>
      </c>
      <c r="H81">
        <v>0.70694444444444449</v>
      </c>
      <c r="I81" t="s">
        <v>22</v>
      </c>
      <c r="J81" t="s">
        <v>52</v>
      </c>
      <c r="K81" t="s">
        <v>68</v>
      </c>
    </row>
    <row r="82" spans="1:11">
      <c r="A82" s="11">
        <v>45621</v>
      </c>
      <c r="B82" s="14">
        <v>0.82638888888888884</v>
      </c>
      <c r="C82" s="10" t="s">
        <v>23</v>
      </c>
      <c r="D82" s="10" t="e" cm="1">
        <f t="array" ref="D82">INDEX($H$2:$H$35, MATCH(1, (A82 &gt;= $F$2:$F$35) * (A82 &lt;= $G$2:$G$35), 0))</f>
        <v>#N/A</v>
      </c>
      <c r="E82" s="10" t="str">
        <f>IF(COUNTIF('Top5'!I:I, D82) &gt; 0, "Yes", "No")</f>
        <v>No</v>
      </c>
      <c r="F82" s="10"/>
      <c r="G82">
        <v>45621</v>
      </c>
      <c r="H82">
        <v>0.82638888888888884</v>
      </c>
      <c r="I82" t="s">
        <v>23</v>
      </c>
      <c r="J82" t="s">
        <v>52</v>
      </c>
      <c r="K82" t="s">
        <v>68</v>
      </c>
    </row>
    <row r="83" spans="1:11">
      <c r="A83" s="11">
        <v>45622</v>
      </c>
      <c r="B83" s="14">
        <v>0.52500000000000002</v>
      </c>
      <c r="C83" s="10" t="s">
        <v>22</v>
      </c>
      <c r="D83" s="10" t="e" cm="1">
        <f t="array" ref="D83">INDEX($H$2:$H$35, MATCH(1, (A83 &gt;= $F$2:$F$35) * (A83 &lt;= $G$2:$G$35), 0))</f>
        <v>#N/A</v>
      </c>
      <c r="E83" s="10" t="str">
        <f>IF(COUNTIF('Top5'!I:I, D83) &gt; 0, "Yes", "No")</f>
        <v>No</v>
      </c>
      <c r="F83" s="10"/>
      <c r="G83">
        <v>45622</v>
      </c>
      <c r="H83">
        <v>0.52500000000000002</v>
      </c>
      <c r="I83" t="s">
        <v>22</v>
      </c>
      <c r="J83" t="s">
        <v>52</v>
      </c>
      <c r="K83" t="s">
        <v>68</v>
      </c>
    </row>
    <row r="84" spans="1:11">
      <c r="A84" s="11">
        <v>45622</v>
      </c>
      <c r="B84" s="14">
        <v>0.56736111111111109</v>
      </c>
      <c r="C84" s="10" t="s">
        <v>22</v>
      </c>
      <c r="D84" s="10" t="e" cm="1">
        <f t="array" ref="D84">INDEX($H$2:$H$35, MATCH(1, (A84 &gt;= $F$2:$F$35) * (A84 &lt;= $G$2:$G$35), 0))</f>
        <v>#N/A</v>
      </c>
      <c r="E84" s="10" t="str">
        <f>IF(COUNTIF('Top5'!I:I, D84) &gt; 0, "Yes", "No")</f>
        <v>No</v>
      </c>
      <c r="F84" s="10"/>
      <c r="G84">
        <v>45622</v>
      </c>
      <c r="H84">
        <v>0.56736111111111109</v>
      </c>
      <c r="I84" t="s">
        <v>22</v>
      </c>
      <c r="J84" t="s">
        <v>52</v>
      </c>
      <c r="K84" t="s">
        <v>68</v>
      </c>
    </row>
    <row r="85" spans="1:11">
      <c r="A85" s="11">
        <v>45622</v>
      </c>
      <c r="B85" s="14">
        <v>0.61041666666666672</v>
      </c>
      <c r="C85" s="10" t="s">
        <v>22</v>
      </c>
      <c r="D85" s="10" t="e" cm="1">
        <f t="array" ref="D85">INDEX($H$2:$H$35, MATCH(1, (A85 &gt;= $F$2:$F$35) * (A85 &lt;= $G$2:$G$35), 0))</f>
        <v>#N/A</v>
      </c>
      <c r="E85" s="10" t="str">
        <f>IF(COUNTIF('Top5'!I:I, D85) &gt; 0, "Yes", "No")</f>
        <v>No</v>
      </c>
      <c r="F85" s="10"/>
      <c r="G85">
        <v>45622</v>
      </c>
      <c r="H85">
        <v>0.61041666666666672</v>
      </c>
      <c r="I85" t="s">
        <v>22</v>
      </c>
      <c r="J85" t="s">
        <v>52</v>
      </c>
      <c r="K85" t="s">
        <v>68</v>
      </c>
    </row>
    <row r="86" spans="1:11">
      <c r="A86" s="11">
        <v>45622</v>
      </c>
      <c r="B86" s="14">
        <v>0.79305555555555551</v>
      </c>
      <c r="C86" s="10" t="s">
        <v>23</v>
      </c>
      <c r="D86" s="10" t="e" cm="1">
        <f t="array" ref="D86">INDEX($H$2:$H$35, MATCH(1, (A86 &gt;= $F$2:$F$35) * (A86 &lt;= $G$2:$G$35), 0))</f>
        <v>#N/A</v>
      </c>
      <c r="E86" s="10" t="str">
        <f>IF(COUNTIF('Top5'!I:I, D86) &gt; 0, "Yes", "No")</f>
        <v>No</v>
      </c>
      <c r="F86" s="10"/>
      <c r="G86">
        <v>45622</v>
      </c>
      <c r="H86">
        <v>0.79305555555555551</v>
      </c>
      <c r="I86" t="s">
        <v>23</v>
      </c>
      <c r="J86" t="s">
        <v>52</v>
      </c>
      <c r="K86" t="s">
        <v>68</v>
      </c>
    </row>
    <row r="87" spans="1:11">
      <c r="A87" s="11">
        <v>45622</v>
      </c>
      <c r="B87" s="14">
        <v>0.7993055555555556</v>
      </c>
      <c r="C87" s="10" t="s">
        <v>23</v>
      </c>
      <c r="D87" s="10" t="e" cm="1">
        <f t="array" ref="D87">INDEX($H$2:$H$35, MATCH(1, (A87 &gt;= $F$2:$F$35) * (A87 &lt;= $G$2:$G$35), 0))</f>
        <v>#N/A</v>
      </c>
      <c r="E87" s="10" t="str">
        <f>IF(COUNTIF('Top5'!I:I, D87) &gt; 0, "Yes", "No")</f>
        <v>No</v>
      </c>
      <c r="F87" s="10"/>
      <c r="G87">
        <v>45622</v>
      </c>
      <c r="H87">
        <v>0.7993055555555556</v>
      </c>
      <c r="I87" t="s">
        <v>23</v>
      </c>
      <c r="J87" t="s">
        <v>52</v>
      </c>
      <c r="K87" t="s">
        <v>68</v>
      </c>
    </row>
    <row r="88" spans="1:11">
      <c r="A88" s="11">
        <v>45625</v>
      </c>
      <c r="B88" s="14">
        <v>0.55555555555555558</v>
      </c>
      <c r="C88" s="10" t="s">
        <v>22</v>
      </c>
      <c r="D88" s="10" t="e" cm="1">
        <f t="array" ref="D88">INDEX($H$2:$H$35, MATCH(1, (A88 &gt;= $F$2:$F$35) * (A88 &lt;= $G$2:$G$35), 0))</f>
        <v>#N/A</v>
      </c>
      <c r="E88" s="10" t="str">
        <f>IF(COUNTIF('Top5'!I:I, D88) &gt; 0, "Yes", "No")</f>
        <v>No</v>
      </c>
      <c r="F88" s="10"/>
      <c r="G88">
        <v>45625</v>
      </c>
      <c r="H88">
        <v>0.55555555555555558</v>
      </c>
      <c r="I88" t="s">
        <v>22</v>
      </c>
      <c r="J88" t="s">
        <v>58</v>
      </c>
      <c r="K88" t="s">
        <v>68</v>
      </c>
    </row>
    <row r="89" spans="1:11">
      <c r="A89" s="11">
        <v>45625</v>
      </c>
      <c r="B89" s="14">
        <v>0.62430555555555556</v>
      </c>
      <c r="C89" s="10" t="s">
        <v>22</v>
      </c>
      <c r="D89" s="10" t="e" cm="1">
        <f t="array" ref="D89">INDEX($H$2:$H$35, MATCH(1, (A89 &gt;= $F$2:$F$35) * (A89 &lt;= $G$2:$G$35), 0))</f>
        <v>#N/A</v>
      </c>
      <c r="E89" s="10" t="str">
        <f>IF(COUNTIF('Top5'!I:I, D89) &gt; 0, "Yes", "No")</f>
        <v>No</v>
      </c>
      <c r="F89" s="10"/>
      <c r="G89">
        <v>45625</v>
      </c>
      <c r="H89">
        <v>0.62430555555555556</v>
      </c>
      <c r="I89" t="s">
        <v>22</v>
      </c>
      <c r="J89" t="s">
        <v>58</v>
      </c>
      <c r="K89" t="s">
        <v>68</v>
      </c>
    </row>
    <row r="90" spans="1:11">
      <c r="A90" s="11">
        <v>45625</v>
      </c>
      <c r="B90" s="14">
        <v>0.6875</v>
      </c>
      <c r="C90" s="10" t="s">
        <v>22</v>
      </c>
      <c r="D90" s="10" t="e" cm="1">
        <f t="array" ref="D90">INDEX($H$2:$H$35, MATCH(1, (A90 &gt;= $F$2:$F$35) * (A90 &lt;= $G$2:$G$35), 0))</f>
        <v>#N/A</v>
      </c>
      <c r="E90" s="10" t="str">
        <f>IF(COUNTIF('Top5'!I:I, D90) &gt; 0, "Yes", "No")</f>
        <v>No</v>
      </c>
      <c r="F90" s="10"/>
      <c r="G90">
        <v>45625</v>
      </c>
      <c r="H90">
        <v>0.6875</v>
      </c>
      <c r="I90" t="s">
        <v>22</v>
      </c>
      <c r="J90" t="s">
        <v>58</v>
      </c>
      <c r="K90" t="s">
        <v>68</v>
      </c>
    </row>
    <row r="91" spans="1:11">
      <c r="A91" s="11">
        <v>45625</v>
      </c>
      <c r="B91" s="14">
        <v>0.99583333333333335</v>
      </c>
      <c r="C91" s="10" t="s">
        <v>23</v>
      </c>
      <c r="D91" s="10" t="e" cm="1">
        <f t="array" ref="D91">INDEX($H$2:$H$35, MATCH(1, (A91 &gt;= $F$2:$F$35) * (A91 &lt;= $G$2:$G$35), 0))</f>
        <v>#N/A</v>
      </c>
      <c r="E91" s="10" t="str">
        <f>IF(COUNTIF('Top5'!I:I, D91) &gt; 0, "Yes", "No")</f>
        <v>No</v>
      </c>
      <c r="F91" s="10"/>
      <c r="G91">
        <v>45625</v>
      </c>
      <c r="H91">
        <v>0.99583333333333335</v>
      </c>
      <c r="I91" t="s">
        <v>23</v>
      </c>
      <c r="J91" t="s">
        <v>58</v>
      </c>
      <c r="K91" t="s">
        <v>68</v>
      </c>
    </row>
    <row r="92" spans="1:11">
      <c r="A92" s="11">
        <v>45626</v>
      </c>
      <c r="B92" s="14">
        <v>1.5277777777777777E-2</v>
      </c>
      <c r="C92" s="10" t="s">
        <v>23</v>
      </c>
      <c r="D92" s="10" t="e" cm="1">
        <f t="array" ref="D92">INDEX($H$2:$H$35, MATCH(1, (A92 &gt;= $F$2:$F$35) * (A92 &lt;= $G$2:$G$35), 0))</f>
        <v>#N/A</v>
      </c>
      <c r="E92" s="10" t="str">
        <f>IF(COUNTIF('Top5'!I:I, D92) &gt; 0, "Yes", "No")</f>
        <v>No</v>
      </c>
      <c r="F92" s="10"/>
      <c r="G92">
        <v>45626</v>
      </c>
      <c r="H92">
        <v>1.5277777777777777E-2</v>
      </c>
      <c r="I92" t="s">
        <v>23</v>
      </c>
      <c r="J92" t="s">
        <v>58</v>
      </c>
      <c r="K92" t="s">
        <v>68</v>
      </c>
    </row>
    <row r="93" spans="1:11">
      <c r="A93" s="11">
        <v>45626</v>
      </c>
      <c r="B93" s="14">
        <v>1.5972222222222221E-2</v>
      </c>
      <c r="C93" s="10" t="s">
        <v>23</v>
      </c>
      <c r="D93" s="10" t="e" cm="1">
        <f t="array" ref="D93">INDEX($H$2:$H$35, MATCH(1, (A93 &gt;= $F$2:$F$35) * (A93 &lt;= $G$2:$G$35), 0))</f>
        <v>#N/A</v>
      </c>
      <c r="E93" s="10" t="str">
        <f>IF(COUNTIF('Top5'!I:I, D93) &gt; 0, "Yes", "No")</f>
        <v>No</v>
      </c>
      <c r="F93" s="10"/>
      <c r="G93">
        <v>45626</v>
      </c>
      <c r="H93">
        <v>1.5972222222222221E-2</v>
      </c>
      <c r="I93" t="s">
        <v>23</v>
      </c>
      <c r="J93" t="s">
        <v>58</v>
      </c>
      <c r="K93" t="s">
        <v>68</v>
      </c>
    </row>
    <row r="94" spans="1:11">
      <c r="A94" s="11">
        <v>45626</v>
      </c>
      <c r="B94" s="14">
        <v>1.6666666666666666E-2</v>
      </c>
      <c r="C94" s="10" t="s">
        <v>23</v>
      </c>
      <c r="D94" s="10" t="e" cm="1">
        <f t="array" ref="D94">INDEX($H$2:$H$35, MATCH(1, (A94 &gt;= $F$2:$F$35) * (A94 &lt;= $G$2:$G$35), 0))</f>
        <v>#N/A</v>
      </c>
      <c r="E94" s="10" t="str">
        <f>IF(COUNTIF('Top5'!I:I, D94) &gt; 0, "Yes", "No")</f>
        <v>No</v>
      </c>
      <c r="F94" s="10"/>
      <c r="G94">
        <v>45626</v>
      </c>
      <c r="H94">
        <v>1.6666666666666666E-2</v>
      </c>
      <c r="I94" t="s">
        <v>23</v>
      </c>
      <c r="J94" t="s">
        <v>58</v>
      </c>
      <c r="K94" t="s">
        <v>68</v>
      </c>
    </row>
    <row r="95" spans="1:11">
      <c r="A95" s="11">
        <v>45626</v>
      </c>
      <c r="B95" s="14">
        <v>0.50416666666666665</v>
      </c>
      <c r="C95" s="10" t="s">
        <v>22</v>
      </c>
      <c r="D95" s="10" t="e" cm="1">
        <f t="array" ref="D95">INDEX($H$2:$H$35, MATCH(1, (A95 &gt;= $F$2:$F$35) * (A95 &lt;= $G$2:$G$35), 0))</f>
        <v>#N/A</v>
      </c>
      <c r="E95" s="10" t="str">
        <f>IF(COUNTIF('Top5'!I:I, D95) &gt; 0, "Yes", "No")</f>
        <v>No</v>
      </c>
      <c r="F95" s="10"/>
      <c r="G95">
        <v>45626</v>
      </c>
      <c r="H95">
        <v>0.50416666666666665</v>
      </c>
      <c r="I95" t="s">
        <v>22</v>
      </c>
      <c r="J95" t="s">
        <v>58</v>
      </c>
      <c r="K95" t="s">
        <v>68</v>
      </c>
    </row>
    <row r="96" spans="1:11">
      <c r="A96" s="11">
        <v>45626</v>
      </c>
      <c r="B96" s="14">
        <v>0.53333333333333333</v>
      </c>
      <c r="C96" s="10" t="s">
        <v>22</v>
      </c>
      <c r="D96" s="10" t="e" cm="1">
        <f t="array" ref="D96">INDEX($H$2:$H$35, MATCH(1, (A96 &gt;= $F$2:$F$35) * (A96 &lt;= $G$2:$G$35), 0))</f>
        <v>#N/A</v>
      </c>
      <c r="E96" s="10" t="str">
        <f>IF(COUNTIF('Top5'!I:I, D96) &gt; 0, "Yes", "No")</f>
        <v>No</v>
      </c>
      <c r="F96" s="10"/>
      <c r="G96">
        <v>45626</v>
      </c>
      <c r="H96">
        <v>0.53333333333333333</v>
      </c>
      <c r="I96" t="s">
        <v>22</v>
      </c>
      <c r="J96" t="s">
        <v>58</v>
      </c>
      <c r="K96" t="s">
        <v>68</v>
      </c>
    </row>
    <row r="97" spans="1:11">
      <c r="A97" s="11">
        <v>45626</v>
      </c>
      <c r="B97" s="14">
        <v>0.54027777777777775</v>
      </c>
      <c r="C97" s="10" t="s">
        <v>22</v>
      </c>
      <c r="D97" s="10" t="e" cm="1">
        <f t="array" ref="D97">INDEX($H$2:$H$35, MATCH(1, (A97 &gt;= $F$2:$F$35) * (A97 &lt;= $G$2:$G$35), 0))</f>
        <v>#N/A</v>
      </c>
      <c r="E97" s="10" t="str">
        <f>IF(COUNTIF('Top5'!I:I, D97) &gt; 0, "Yes", "No")</f>
        <v>No</v>
      </c>
      <c r="F97" s="10"/>
      <c r="G97">
        <v>45626</v>
      </c>
      <c r="H97">
        <v>0.54027777777777775</v>
      </c>
      <c r="I97" t="s">
        <v>22</v>
      </c>
      <c r="J97" t="s">
        <v>58</v>
      </c>
      <c r="K97" t="s">
        <v>68</v>
      </c>
    </row>
    <row r="98" spans="1:11">
      <c r="A98" s="11">
        <v>45626</v>
      </c>
      <c r="B98" s="14">
        <v>0.73819444444444449</v>
      </c>
      <c r="C98" s="10" t="s">
        <v>23</v>
      </c>
      <c r="D98" s="10" t="e" cm="1">
        <f t="array" ref="D98">INDEX($H$2:$H$35, MATCH(1, (A98 &gt;= $F$2:$F$35) * (A98 &lt;= $G$2:$G$35), 0))</f>
        <v>#N/A</v>
      </c>
      <c r="E98" s="10" t="str">
        <f>IF(COUNTIF('Top5'!I:I, D98) &gt; 0, "Yes", "No")</f>
        <v>No</v>
      </c>
      <c r="F98" s="10"/>
      <c r="G98">
        <v>45626</v>
      </c>
      <c r="H98">
        <v>0.73819444444444449</v>
      </c>
      <c r="I98" t="s">
        <v>23</v>
      </c>
      <c r="J98" t="s">
        <v>58</v>
      </c>
      <c r="K98" t="s">
        <v>68</v>
      </c>
    </row>
    <row r="99" spans="1:11">
      <c r="A99" s="11">
        <v>45626</v>
      </c>
      <c r="B99" s="14">
        <v>0.81944444444444442</v>
      </c>
      <c r="C99" s="10" t="s">
        <v>23</v>
      </c>
      <c r="D99" s="10" t="e" cm="1">
        <f t="array" ref="D99">INDEX($H$2:$H$35, MATCH(1, (A99 &gt;= $F$2:$F$35) * (A99 &lt;= $G$2:$G$35), 0))</f>
        <v>#N/A</v>
      </c>
      <c r="E99" s="10" t="str">
        <f>IF(COUNTIF('Top5'!I:I, D99) &gt; 0, "Yes", "No")</f>
        <v>No</v>
      </c>
      <c r="F99" s="10"/>
      <c r="G99">
        <v>45626</v>
      </c>
      <c r="H99">
        <v>0.81944444444444442</v>
      </c>
      <c r="I99" t="s">
        <v>23</v>
      </c>
      <c r="J99" t="s">
        <v>58</v>
      </c>
      <c r="K99" t="s">
        <v>68</v>
      </c>
    </row>
    <row r="100" spans="1:11">
      <c r="A100" s="11">
        <v>45627</v>
      </c>
      <c r="B100" s="14">
        <v>0.33611111111111114</v>
      </c>
      <c r="C100" s="10" t="s">
        <v>22</v>
      </c>
      <c r="D100" s="10" t="e" cm="1">
        <f t="array" ref="D100">INDEX($H$2:$H$35, MATCH(1, (A100 &gt;= $F$2:$F$35) * (A100 &lt;= $G$2:$G$35), 0))</f>
        <v>#N/A</v>
      </c>
      <c r="E100" s="10" t="str">
        <f>IF(COUNTIF('Top5'!I:I, D100) &gt; 0, "Yes", "No")</f>
        <v>No</v>
      </c>
      <c r="F100" s="10"/>
      <c r="G100">
        <v>45627</v>
      </c>
      <c r="H100">
        <v>0.33611111111111114</v>
      </c>
      <c r="I100" t="s">
        <v>22</v>
      </c>
      <c r="J100" t="s">
        <v>40</v>
      </c>
      <c r="K100" t="s">
        <v>68</v>
      </c>
    </row>
    <row r="101" spans="1:11">
      <c r="A101" s="11">
        <v>45627</v>
      </c>
      <c r="B101" s="14">
        <v>0.55972222222222223</v>
      </c>
      <c r="C101" s="10" t="s">
        <v>22</v>
      </c>
      <c r="D101" s="10" t="e" cm="1">
        <f t="array" ref="D101">INDEX($H$2:$H$35, MATCH(1, (A101 &gt;= $F$2:$F$35) * (A101 &lt;= $G$2:$G$35), 0))</f>
        <v>#N/A</v>
      </c>
      <c r="E101" s="10" t="str">
        <f>IF(COUNTIF('Top5'!I:I, D101) &gt; 0, "Yes", "No")</f>
        <v>No</v>
      </c>
      <c r="F101" s="10"/>
      <c r="G101">
        <v>45627</v>
      </c>
      <c r="H101">
        <v>0.55972222222222223</v>
      </c>
      <c r="I101" t="s">
        <v>22</v>
      </c>
      <c r="J101" t="s">
        <v>40</v>
      </c>
      <c r="K101" t="s">
        <v>68</v>
      </c>
    </row>
    <row r="102" spans="1:11">
      <c r="A102" s="11">
        <v>45628</v>
      </c>
      <c r="B102" s="14">
        <v>0.54305555555555551</v>
      </c>
      <c r="C102" s="10" t="s">
        <v>22</v>
      </c>
      <c r="D102" s="10" t="e" cm="1">
        <f t="array" ref="D102">INDEX($H$2:$H$35, MATCH(1, (A102 &gt;= $F$2:$F$35) * (A102 &lt;= $G$2:$G$35), 0))</f>
        <v>#N/A</v>
      </c>
      <c r="E102" s="10" t="str">
        <f>IF(COUNTIF('Top5'!I:I, D102) &gt; 0, "Yes", "No")</f>
        <v>No</v>
      </c>
      <c r="F102" s="10"/>
      <c r="G102">
        <v>45628</v>
      </c>
      <c r="H102">
        <v>0.54305555555555551</v>
      </c>
      <c r="I102" t="s">
        <v>22</v>
      </c>
      <c r="J102" t="s">
        <v>40</v>
      </c>
      <c r="K102" t="s">
        <v>68</v>
      </c>
    </row>
    <row r="103" spans="1:11">
      <c r="A103" s="11">
        <v>45628</v>
      </c>
      <c r="B103" s="14">
        <v>0.55000000000000004</v>
      </c>
      <c r="C103" s="10" t="s">
        <v>22</v>
      </c>
      <c r="D103" s="10" t="e" cm="1">
        <f t="array" ref="D103">INDEX($H$2:$H$35, MATCH(1, (A103 &gt;= $F$2:$F$35) * (A103 &lt;= $G$2:$G$35), 0))</f>
        <v>#N/A</v>
      </c>
      <c r="E103" s="10" t="str">
        <f>IF(COUNTIF('Top5'!I:I, D103) &gt; 0, "Yes", "No")</f>
        <v>No</v>
      </c>
      <c r="F103" s="10"/>
      <c r="G103">
        <v>45628</v>
      </c>
      <c r="H103">
        <v>0.55000000000000004</v>
      </c>
      <c r="I103" t="s">
        <v>22</v>
      </c>
      <c r="J103" t="s">
        <v>40</v>
      </c>
      <c r="K103" t="s">
        <v>68</v>
      </c>
    </row>
    <row r="104" spans="1:11">
      <c r="A104" s="11">
        <v>45628</v>
      </c>
      <c r="B104" s="14">
        <v>0.55000000000000004</v>
      </c>
      <c r="C104" s="10" t="s">
        <v>22</v>
      </c>
      <c r="D104" s="10" t="e" cm="1">
        <f t="array" ref="D104">INDEX($H$2:$H$35, MATCH(1, (A104 &gt;= $F$2:$F$35) * (A104 &lt;= $G$2:$G$35), 0))</f>
        <v>#N/A</v>
      </c>
      <c r="E104" s="10" t="str">
        <f>IF(COUNTIF('Top5'!I:I, D104) &gt; 0, "Yes", "No")</f>
        <v>No</v>
      </c>
      <c r="F104" s="10"/>
      <c r="G104">
        <v>45628</v>
      </c>
      <c r="H104">
        <v>0.55000000000000004</v>
      </c>
      <c r="I104" t="s">
        <v>22</v>
      </c>
      <c r="J104" t="s">
        <v>40</v>
      </c>
      <c r="K104" t="s">
        <v>68</v>
      </c>
    </row>
    <row r="105" spans="1:11">
      <c r="A105" s="11">
        <v>45628</v>
      </c>
      <c r="B105" s="14">
        <v>0.55277777777777781</v>
      </c>
      <c r="C105" s="10" t="s">
        <v>22</v>
      </c>
      <c r="D105" s="10" t="e" cm="1">
        <f t="array" ref="D105">INDEX($H$2:$H$35, MATCH(1, (A105 &gt;= $F$2:$F$35) * (A105 &lt;= $G$2:$G$35), 0))</f>
        <v>#N/A</v>
      </c>
      <c r="E105" s="10" t="str">
        <f>IF(COUNTIF('Top5'!I:I, D105) &gt; 0, "Yes", "No")</f>
        <v>No</v>
      </c>
      <c r="F105" s="10"/>
      <c r="G105">
        <v>45628</v>
      </c>
      <c r="H105">
        <v>0.55277777777777781</v>
      </c>
      <c r="I105" t="s">
        <v>22</v>
      </c>
      <c r="J105" t="s">
        <v>40</v>
      </c>
      <c r="K105" t="s">
        <v>68</v>
      </c>
    </row>
    <row r="106" spans="1:11">
      <c r="A106" s="11">
        <v>45629</v>
      </c>
      <c r="B106" s="14">
        <v>0.47986111111111113</v>
      </c>
      <c r="C106" s="10" t="s">
        <v>22</v>
      </c>
      <c r="D106" s="10" t="e" cm="1">
        <f t="array" ref="D106">INDEX($H$2:$H$35, MATCH(1, (A106 &gt;= $F$2:$F$35) * (A106 &lt;= $G$2:$G$35), 0))</f>
        <v>#N/A</v>
      </c>
      <c r="E106" s="10" t="str">
        <f>IF(COUNTIF('Top5'!I:I, D106) &gt; 0, "Yes", "No")</f>
        <v>No</v>
      </c>
      <c r="F106" s="10"/>
      <c r="G106">
        <v>45629</v>
      </c>
      <c r="H106">
        <v>0.47986111111111113</v>
      </c>
      <c r="I106" t="s">
        <v>22</v>
      </c>
      <c r="J106" t="s">
        <v>40</v>
      </c>
      <c r="K106" t="s">
        <v>68</v>
      </c>
    </row>
    <row r="107" spans="1:11">
      <c r="A107" s="11">
        <v>45629</v>
      </c>
      <c r="B107" s="14">
        <v>0.65694444444444444</v>
      </c>
      <c r="C107" s="10" t="s">
        <v>22</v>
      </c>
      <c r="D107" s="10" t="e" cm="1">
        <f t="array" ref="D107">INDEX($H$2:$H$35, MATCH(1, (A107 &gt;= $F$2:$F$35) * (A107 &lt;= $G$2:$G$35), 0))</f>
        <v>#N/A</v>
      </c>
      <c r="E107" s="10" t="str">
        <f>IF(COUNTIF('Top5'!I:I, D107) &gt; 0, "Yes", "No")</f>
        <v>No</v>
      </c>
      <c r="F107" s="10"/>
      <c r="G107">
        <v>45629</v>
      </c>
      <c r="H107">
        <v>0.65694444444444444</v>
      </c>
      <c r="I107" t="s">
        <v>22</v>
      </c>
      <c r="J107" t="s">
        <v>40</v>
      </c>
      <c r="K107" t="s">
        <v>68</v>
      </c>
    </row>
    <row r="108" spans="1:11">
      <c r="A108" s="11">
        <v>45631</v>
      </c>
      <c r="B108" s="14">
        <v>0.66319444444444442</v>
      </c>
      <c r="C108" s="10" t="s">
        <v>22</v>
      </c>
      <c r="D108" s="10" t="e" cm="1">
        <f t="array" ref="D108">INDEX($H$2:$H$35, MATCH(1, (A108 &gt;= $F$2:$F$35) * (A108 &lt;= $G$2:$G$35), 0))</f>
        <v>#N/A</v>
      </c>
      <c r="E108" s="10" t="str">
        <f>IF(COUNTIF('Top5'!I:I, D108) &gt; 0, "Yes", "No")</f>
        <v>No</v>
      </c>
      <c r="F108" s="10"/>
      <c r="G108">
        <v>45631</v>
      </c>
      <c r="H108">
        <v>0.66319444444444442</v>
      </c>
      <c r="I108" t="s">
        <v>22</v>
      </c>
      <c r="J108" t="s">
        <v>40</v>
      </c>
      <c r="K108" t="s">
        <v>68</v>
      </c>
    </row>
    <row r="109" spans="1:11">
      <c r="A109" s="11">
        <v>45632</v>
      </c>
      <c r="B109" s="14">
        <v>0.31666666666666665</v>
      </c>
      <c r="C109" s="10" t="s">
        <v>22</v>
      </c>
      <c r="D109" s="10" t="e" cm="1">
        <f t="array" ref="D109">INDEX($H$2:$H$35, MATCH(1, (A109 &gt;= $F$2:$F$35) * (A109 &lt;= $G$2:$G$35), 0))</f>
        <v>#N/A</v>
      </c>
      <c r="E109" s="10" t="str">
        <f>IF(COUNTIF('Top5'!I:I, D109) &gt; 0, "Yes", "No")</f>
        <v>No</v>
      </c>
      <c r="F109" s="10"/>
      <c r="G109">
        <v>45632</v>
      </c>
      <c r="H109">
        <v>0.31666666666666665</v>
      </c>
      <c r="I109" t="s">
        <v>22</v>
      </c>
      <c r="J109" t="s">
        <v>40</v>
      </c>
      <c r="K109" t="s">
        <v>68</v>
      </c>
    </row>
    <row r="110" spans="1:11">
      <c r="A110" s="11">
        <v>45632</v>
      </c>
      <c r="B110" s="14">
        <v>0.42291666666666666</v>
      </c>
      <c r="C110" s="10" t="s">
        <v>22</v>
      </c>
      <c r="D110" s="10" t="e" cm="1">
        <f t="array" ref="D110">INDEX($H$2:$H$35, MATCH(1, (A110 &gt;= $F$2:$F$35) * (A110 &lt;= $G$2:$G$35), 0))</f>
        <v>#N/A</v>
      </c>
      <c r="E110" s="10" t="str">
        <f>IF(COUNTIF('Top5'!I:I, D110) &gt; 0, "Yes", "No")</f>
        <v>No</v>
      </c>
      <c r="F110" s="10"/>
      <c r="G110">
        <v>45632</v>
      </c>
      <c r="H110">
        <v>0.42291666666666666</v>
      </c>
      <c r="I110" t="s">
        <v>22</v>
      </c>
      <c r="J110" t="s">
        <v>40</v>
      </c>
      <c r="K110" t="s">
        <v>68</v>
      </c>
    </row>
    <row r="111" spans="1:11">
      <c r="A111" s="11">
        <v>45632</v>
      </c>
      <c r="B111" s="14">
        <v>0.42430555555555555</v>
      </c>
      <c r="C111" s="10" t="s">
        <v>22</v>
      </c>
      <c r="D111" s="10" t="e" cm="1">
        <f t="array" ref="D111">INDEX($H$2:$H$35, MATCH(1, (A111 &gt;= $F$2:$F$35) * (A111 &lt;= $G$2:$G$35), 0))</f>
        <v>#N/A</v>
      </c>
      <c r="E111" s="10" t="str">
        <f>IF(COUNTIF('Top5'!I:I, D111) &gt; 0, "Yes", "No")</f>
        <v>No</v>
      </c>
      <c r="F111" s="10"/>
      <c r="G111">
        <v>45632</v>
      </c>
      <c r="H111">
        <v>0.42430555555555555</v>
      </c>
      <c r="I111" t="s">
        <v>22</v>
      </c>
      <c r="J111" t="s">
        <v>40</v>
      </c>
      <c r="K111" t="s">
        <v>68</v>
      </c>
    </row>
    <row r="112" spans="1:11">
      <c r="A112" s="11">
        <v>45632</v>
      </c>
      <c r="B112" s="14">
        <v>0.42430555555555555</v>
      </c>
      <c r="C112" s="10" t="s">
        <v>22</v>
      </c>
      <c r="D112" s="10" t="e" cm="1">
        <f t="array" ref="D112">INDEX($H$2:$H$35, MATCH(1, (A112 &gt;= $F$2:$F$35) * (A112 &lt;= $G$2:$G$35), 0))</f>
        <v>#N/A</v>
      </c>
      <c r="E112" s="10" t="str">
        <f>IF(COUNTIF('Top5'!I:I, D112) &gt; 0, "Yes", "No")</f>
        <v>No</v>
      </c>
      <c r="F112" s="10"/>
      <c r="G112">
        <v>45632</v>
      </c>
      <c r="H112">
        <v>0.42430555555555555</v>
      </c>
      <c r="I112" t="s">
        <v>22</v>
      </c>
      <c r="J112" t="s">
        <v>40</v>
      </c>
      <c r="K112" t="s">
        <v>68</v>
      </c>
    </row>
    <row r="113" spans="1:11">
      <c r="A113" s="11">
        <v>45632</v>
      </c>
      <c r="B113" s="14">
        <v>0.42499999999999999</v>
      </c>
      <c r="C113" s="10" t="s">
        <v>22</v>
      </c>
      <c r="D113" s="10" t="e" cm="1">
        <f t="array" ref="D113">INDEX($H$2:$H$35, MATCH(1, (A113 &gt;= $F$2:$F$35) * (A113 &lt;= $G$2:$G$35), 0))</f>
        <v>#N/A</v>
      </c>
      <c r="E113" s="10" t="str">
        <f>IF(COUNTIF('Top5'!I:I, D113) &gt; 0, "Yes", "No")</f>
        <v>No</v>
      </c>
      <c r="F113" s="10"/>
      <c r="G113">
        <v>45632</v>
      </c>
      <c r="H113">
        <v>0.42499999999999999</v>
      </c>
      <c r="I113" t="s">
        <v>22</v>
      </c>
      <c r="J113" t="s">
        <v>40</v>
      </c>
      <c r="K113" t="s">
        <v>68</v>
      </c>
    </row>
    <row r="114" spans="1:11">
      <c r="A114" s="11">
        <v>45632</v>
      </c>
      <c r="B114" s="14">
        <v>0.42499999999999999</v>
      </c>
      <c r="C114" s="10" t="s">
        <v>22</v>
      </c>
      <c r="D114" s="10" t="e" cm="1">
        <f t="array" ref="D114">INDEX($H$2:$H$35, MATCH(1, (A114 &gt;= $F$2:$F$35) * (A114 &lt;= $G$2:$G$35), 0))</f>
        <v>#N/A</v>
      </c>
      <c r="E114" s="10" t="str">
        <f>IF(COUNTIF('Top5'!I:I, D114) &gt; 0, "Yes", "No")</f>
        <v>No</v>
      </c>
      <c r="F114" s="10"/>
      <c r="G114">
        <v>45632</v>
      </c>
      <c r="H114">
        <v>0.42499999999999999</v>
      </c>
      <c r="I114" t="s">
        <v>22</v>
      </c>
      <c r="J114" t="s">
        <v>40</v>
      </c>
      <c r="K114" t="s">
        <v>68</v>
      </c>
    </row>
    <row r="115" spans="1:11">
      <c r="A115" s="11">
        <v>45632</v>
      </c>
      <c r="B115" s="14">
        <v>0.42777777777777776</v>
      </c>
      <c r="C115" s="10" t="s">
        <v>22</v>
      </c>
      <c r="D115" s="10" t="e" cm="1">
        <f t="array" ref="D115">INDEX($H$2:$H$35, MATCH(1, (A115 &gt;= $F$2:$F$35) * (A115 &lt;= $G$2:$G$35), 0))</f>
        <v>#N/A</v>
      </c>
      <c r="E115" s="10" t="str">
        <f>IF(COUNTIF('Top5'!I:I, D115) &gt; 0, "Yes", "No")</f>
        <v>No</v>
      </c>
      <c r="F115" s="10"/>
      <c r="G115">
        <v>45632</v>
      </c>
      <c r="H115">
        <v>0.42777777777777776</v>
      </c>
      <c r="I115" t="s">
        <v>22</v>
      </c>
      <c r="J115" t="s">
        <v>40</v>
      </c>
      <c r="K115" t="s">
        <v>68</v>
      </c>
    </row>
    <row r="116" spans="1:11">
      <c r="A116" s="11">
        <v>45632</v>
      </c>
      <c r="B116" s="14">
        <v>0.4284722222222222</v>
      </c>
      <c r="C116" s="10" t="s">
        <v>22</v>
      </c>
      <c r="D116" s="10" t="e" cm="1">
        <f t="array" ref="D116">INDEX($H$2:$H$35, MATCH(1, (A116 &gt;= $F$2:$F$35) * (A116 &lt;= $G$2:$G$35), 0))</f>
        <v>#N/A</v>
      </c>
      <c r="E116" s="10" t="str">
        <f>IF(COUNTIF('Top5'!I:I, D116) &gt; 0, "Yes", "No")</f>
        <v>No</v>
      </c>
      <c r="F116" s="10"/>
      <c r="G116">
        <v>45632</v>
      </c>
      <c r="H116">
        <v>0.4284722222222222</v>
      </c>
      <c r="I116" t="s">
        <v>22</v>
      </c>
      <c r="J116" t="s">
        <v>40</v>
      </c>
      <c r="K116" t="s">
        <v>68</v>
      </c>
    </row>
    <row r="117" spans="1:11">
      <c r="A117" s="11">
        <v>45632</v>
      </c>
      <c r="B117" s="14">
        <v>0.44374999999999998</v>
      </c>
      <c r="C117" s="10" t="s">
        <v>22</v>
      </c>
      <c r="D117" s="10" t="e" cm="1">
        <f t="array" ref="D117">INDEX($H$2:$H$35, MATCH(1, (A117 &gt;= $F$2:$F$35) * (A117 &lt;= $G$2:$G$35), 0))</f>
        <v>#N/A</v>
      </c>
      <c r="E117" s="10" t="str">
        <f>IF(COUNTIF('Top5'!I:I, D117) &gt; 0, "Yes", "No")</f>
        <v>No</v>
      </c>
      <c r="F117" s="10"/>
      <c r="G117">
        <v>45632</v>
      </c>
      <c r="H117">
        <v>0.44374999999999998</v>
      </c>
      <c r="I117" t="s">
        <v>22</v>
      </c>
      <c r="J117" t="s">
        <v>40</v>
      </c>
      <c r="K117" t="s">
        <v>68</v>
      </c>
    </row>
    <row r="118" spans="1:11">
      <c r="A118" s="11">
        <v>45632</v>
      </c>
      <c r="B118" s="14">
        <v>0.46944444444444444</v>
      </c>
      <c r="C118" s="10" t="s">
        <v>22</v>
      </c>
      <c r="D118" s="10" t="e" cm="1">
        <f t="array" ref="D118">INDEX($H$2:$H$35, MATCH(1, (A118 &gt;= $F$2:$F$35) * (A118 &lt;= $G$2:$G$35), 0))</f>
        <v>#N/A</v>
      </c>
      <c r="E118" s="10" t="str">
        <f>IF(COUNTIF('Top5'!I:I, D118) &gt; 0, "Yes", "No")</f>
        <v>No</v>
      </c>
      <c r="F118" s="10"/>
      <c r="G118">
        <v>45632</v>
      </c>
      <c r="H118">
        <v>0.46944444444444444</v>
      </c>
      <c r="I118" t="s">
        <v>22</v>
      </c>
      <c r="J118" t="s">
        <v>40</v>
      </c>
      <c r="K118" t="s">
        <v>68</v>
      </c>
    </row>
    <row r="119" spans="1:11">
      <c r="A119" s="11">
        <v>45632</v>
      </c>
      <c r="B119" s="14">
        <v>0.61111111111111116</v>
      </c>
      <c r="C119" s="10" t="s">
        <v>22</v>
      </c>
      <c r="D119" s="10" t="e" cm="1">
        <f t="array" ref="D119">INDEX($H$2:$H$35, MATCH(1, (A119 &gt;= $F$2:$F$35) * (A119 &lt;= $G$2:$G$35), 0))</f>
        <v>#N/A</v>
      </c>
      <c r="E119" s="10" t="str">
        <f>IF(COUNTIF('Top5'!I:I, D119) &gt; 0, "Yes", "No")</f>
        <v>No</v>
      </c>
      <c r="F119" s="10"/>
      <c r="G119">
        <v>45632</v>
      </c>
      <c r="H119">
        <v>0.61111111111111116</v>
      </c>
      <c r="I119" t="s">
        <v>22</v>
      </c>
      <c r="J119" t="s">
        <v>40</v>
      </c>
      <c r="K119" t="s">
        <v>68</v>
      </c>
    </row>
    <row r="120" spans="1:11">
      <c r="A120" s="11">
        <v>45632</v>
      </c>
      <c r="B120" s="14">
        <v>0.87083333333333335</v>
      </c>
      <c r="C120" s="10" t="s">
        <v>23</v>
      </c>
      <c r="D120" s="10" t="e" cm="1">
        <f t="array" ref="D120">INDEX($H$2:$H$35, MATCH(1, (A120 &gt;= $F$2:$F$35) * (A120 &lt;= $G$2:$G$35), 0))</f>
        <v>#N/A</v>
      </c>
      <c r="E120" s="10" t="str">
        <f>IF(COUNTIF('Top5'!I:I, D120) &gt; 0, "Yes", "No")</f>
        <v>No</v>
      </c>
      <c r="F120" s="10"/>
      <c r="G120">
        <v>45632</v>
      </c>
      <c r="H120">
        <v>0.87083333333333335</v>
      </c>
      <c r="I120" t="s">
        <v>23</v>
      </c>
      <c r="J120" t="s">
        <v>40</v>
      </c>
      <c r="K120" t="s">
        <v>68</v>
      </c>
    </row>
    <row r="121" spans="1:11">
      <c r="A121" s="11">
        <v>45633</v>
      </c>
      <c r="B121" s="14">
        <v>0.39930555555555558</v>
      </c>
      <c r="C121" s="10" t="s">
        <v>22</v>
      </c>
      <c r="D121" s="10" t="e" cm="1">
        <f t="array" ref="D121">INDEX($H$2:$H$35, MATCH(1, (A121 &gt;= $F$2:$F$35) * (A121 &lt;= $G$2:$G$35), 0))</f>
        <v>#N/A</v>
      </c>
      <c r="E121" s="10" t="str">
        <f>IF(COUNTIF('Top5'!I:I, D121) &gt; 0, "Yes", "No")</f>
        <v>No</v>
      </c>
      <c r="F121" s="10"/>
      <c r="G121">
        <v>45633</v>
      </c>
      <c r="H121">
        <v>0.39930555555555558</v>
      </c>
      <c r="I121" t="s">
        <v>22</v>
      </c>
      <c r="J121" t="s">
        <v>40</v>
      </c>
      <c r="K121" t="s">
        <v>68</v>
      </c>
    </row>
    <row r="122" spans="1:11">
      <c r="A122" s="11">
        <v>45633</v>
      </c>
      <c r="B122" s="14">
        <v>0.45069444444444445</v>
      </c>
      <c r="C122" s="10" t="s">
        <v>22</v>
      </c>
      <c r="D122" s="10" t="e" cm="1">
        <f t="array" ref="D122">INDEX($H$2:$H$35, MATCH(1, (A122 &gt;= $F$2:$F$35) * (A122 &lt;= $G$2:$G$35), 0))</f>
        <v>#N/A</v>
      </c>
      <c r="E122" s="10" t="str">
        <f>IF(COUNTIF('Top5'!I:I, D122) &gt; 0, "Yes", "No")</f>
        <v>No</v>
      </c>
      <c r="F122" s="10"/>
      <c r="G122">
        <v>45633</v>
      </c>
      <c r="H122">
        <v>0.45069444444444445</v>
      </c>
      <c r="I122" t="s">
        <v>22</v>
      </c>
      <c r="J122" t="s">
        <v>40</v>
      </c>
      <c r="K122" t="s">
        <v>68</v>
      </c>
    </row>
    <row r="123" spans="1:11">
      <c r="A123" s="11">
        <v>45633</v>
      </c>
      <c r="B123" s="14">
        <v>0.64930555555555558</v>
      </c>
      <c r="C123" s="10" t="s">
        <v>22</v>
      </c>
      <c r="D123" s="10" t="e" cm="1">
        <f t="array" ref="D123">INDEX($H$2:$H$35, MATCH(1, (A123 &gt;= $F$2:$F$35) * (A123 &lt;= $G$2:$G$35), 0))</f>
        <v>#N/A</v>
      </c>
      <c r="E123" s="10" t="str">
        <f>IF(COUNTIF('Top5'!I:I, D123) &gt; 0, "Yes", "No")</f>
        <v>No</v>
      </c>
      <c r="F123" s="10"/>
      <c r="G123">
        <v>45633</v>
      </c>
      <c r="H123">
        <v>0.64930555555555558</v>
      </c>
      <c r="I123" t="s">
        <v>22</v>
      </c>
      <c r="J123" t="s">
        <v>40</v>
      </c>
      <c r="K123" t="s">
        <v>68</v>
      </c>
    </row>
    <row r="124" spans="1:11">
      <c r="A124" s="11">
        <v>45633</v>
      </c>
      <c r="B124" s="14">
        <v>0.71736111111111112</v>
      </c>
      <c r="C124" s="10" t="s">
        <v>23</v>
      </c>
      <c r="D124" s="10" t="e" cm="1">
        <f t="array" ref="D124">INDEX($H$2:$H$35, MATCH(1, (A124 &gt;= $F$2:$F$35) * (A124 &lt;= $G$2:$G$35), 0))</f>
        <v>#N/A</v>
      </c>
      <c r="E124" s="10" t="str">
        <f>IF(COUNTIF('Top5'!I:I, D124) &gt; 0, "Yes", "No")</f>
        <v>No</v>
      </c>
      <c r="F124" s="10"/>
      <c r="G124">
        <v>45633</v>
      </c>
      <c r="H124">
        <v>0.71736111111111112</v>
      </c>
      <c r="I124" t="s">
        <v>23</v>
      </c>
      <c r="J124" t="s">
        <v>40</v>
      </c>
      <c r="K124" t="s">
        <v>68</v>
      </c>
    </row>
    <row r="125" spans="1:11">
      <c r="A125" s="11">
        <v>45633</v>
      </c>
      <c r="B125" s="14">
        <v>0.81597222222222221</v>
      </c>
      <c r="C125" s="10" t="s">
        <v>23</v>
      </c>
      <c r="D125" s="10" t="e" cm="1">
        <f t="array" ref="D125">INDEX($H$2:$H$35, MATCH(1, (A125 &gt;= $F$2:$F$35) * (A125 &lt;= $G$2:$G$35), 0))</f>
        <v>#N/A</v>
      </c>
      <c r="E125" s="10" t="str">
        <f>IF(COUNTIF('Top5'!I:I, D125) &gt; 0, "Yes", "No")</f>
        <v>No</v>
      </c>
      <c r="F125" s="10"/>
      <c r="G125">
        <v>45633</v>
      </c>
      <c r="H125">
        <v>0.81597222222222221</v>
      </c>
      <c r="I125" t="s">
        <v>23</v>
      </c>
      <c r="J125" t="s">
        <v>40</v>
      </c>
      <c r="K125" t="s">
        <v>68</v>
      </c>
    </row>
    <row r="126" spans="1:11">
      <c r="A126" s="11">
        <v>45634</v>
      </c>
      <c r="B126" s="14">
        <v>0.5180555555555556</v>
      </c>
      <c r="C126" s="10" t="s">
        <v>22</v>
      </c>
      <c r="D126" s="10" t="e" cm="1">
        <f t="array" ref="D126">INDEX($H$2:$H$35, MATCH(1, (A126 &gt;= $F$2:$F$35) * (A126 &lt;= $G$2:$G$35), 0))</f>
        <v>#N/A</v>
      </c>
      <c r="E126" s="10" t="str">
        <f>IF(COUNTIF('Top5'!I:I, D126) &gt; 0, "Yes", "No")</f>
        <v>No</v>
      </c>
      <c r="F126" s="10"/>
      <c r="G126">
        <v>45634</v>
      </c>
      <c r="H126">
        <v>0.5180555555555556</v>
      </c>
      <c r="I126" t="s">
        <v>22</v>
      </c>
      <c r="J126" t="s">
        <v>44</v>
      </c>
      <c r="K126" t="s">
        <v>68</v>
      </c>
    </row>
    <row r="127" spans="1:11">
      <c r="A127" s="11">
        <v>45634</v>
      </c>
      <c r="B127" s="14">
        <v>0.52152777777777781</v>
      </c>
      <c r="C127" s="10" t="s">
        <v>22</v>
      </c>
      <c r="D127" s="10" t="e" cm="1">
        <f t="array" ref="D127">INDEX($H$2:$H$35, MATCH(1, (A127 &gt;= $F$2:$F$35) * (A127 &lt;= $G$2:$G$35), 0))</f>
        <v>#N/A</v>
      </c>
      <c r="E127" s="10" t="str">
        <f>IF(COUNTIF('Top5'!I:I, D127) &gt; 0, "Yes", "No")</f>
        <v>No</v>
      </c>
      <c r="F127" s="10"/>
      <c r="G127">
        <v>45634</v>
      </c>
      <c r="H127">
        <v>0.52152777777777781</v>
      </c>
      <c r="I127" t="s">
        <v>22</v>
      </c>
      <c r="J127" t="s">
        <v>44</v>
      </c>
      <c r="K127" t="s">
        <v>68</v>
      </c>
    </row>
    <row r="128" spans="1:11">
      <c r="A128" s="11">
        <v>45634</v>
      </c>
      <c r="B128" s="14">
        <v>0.52847222222222223</v>
      </c>
      <c r="C128" s="10" t="s">
        <v>22</v>
      </c>
      <c r="D128" s="10" t="e" cm="1">
        <f t="array" ref="D128">INDEX($H$2:$H$35, MATCH(1, (A128 &gt;= $F$2:$F$35) * (A128 &lt;= $G$2:$G$35), 0))</f>
        <v>#N/A</v>
      </c>
      <c r="E128" s="10" t="str">
        <f>IF(COUNTIF('Top5'!I:I, D128) &gt; 0, "Yes", "No")</f>
        <v>No</v>
      </c>
      <c r="F128" s="10"/>
      <c r="G128">
        <v>45634</v>
      </c>
      <c r="H128">
        <v>0.52847222222222223</v>
      </c>
      <c r="I128" t="s">
        <v>22</v>
      </c>
      <c r="J128" t="s">
        <v>44</v>
      </c>
      <c r="K128" t="s">
        <v>68</v>
      </c>
    </row>
    <row r="129" spans="1:11">
      <c r="A129" s="11">
        <v>45634</v>
      </c>
      <c r="B129" s="14">
        <v>0.5541666666666667</v>
      </c>
      <c r="C129" s="10" t="s">
        <v>22</v>
      </c>
      <c r="D129" s="10" t="e" cm="1">
        <f t="array" ref="D129">INDEX($H$2:$H$35, MATCH(1, (A129 &gt;= $F$2:$F$35) * (A129 &lt;= $G$2:$G$35), 0))</f>
        <v>#N/A</v>
      </c>
      <c r="E129" s="10" t="str">
        <f>IF(COUNTIF('Top5'!I:I, D129) &gt; 0, "Yes", "No")</f>
        <v>No</v>
      </c>
      <c r="F129" s="10"/>
      <c r="G129">
        <v>45634</v>
      </c>
      <c r="H129">
        <v>0.5541666666666667</v>
      </c>
      <c r="I129" t="s">
        <v>22</v>
      </c>
      <c r="J129" t="s">
        <v>44</v>
      </c>
      <c r="K129" t="s">
        <v>68</v>
      </c>
    </row>
    <row r="130" spans="1:11">
      <c r="A130" s="11">
        <v>45634</v>
      </c>
      <c r="B130" s="14">
        <v>0.63055555555555554</v>
      </c>
      <c r="C130" s="10" t="s">
        <v>22</v>
      </c>
      <c r="D130" s="10" t="e" cm="1">
        <f t="array" ref="D130">INDEX($H$2:$H$35, MATCH(1, (A130 &gt;= $F$2:$F$35) * (A130 &lt;= $G$2:$G$35), 0))</f>
        <v>#N/A</v>
      </c>
      <c r="E130" s="10" t="str">
        <f>IF(COUNTIF('Top5'!I:I, D130) &gt; 0, "Yes", "No")</f>
        <v>No</v>
      </c>
      <c r="F130" s="10"/>
      <c r="G130">
        <v>45634</v>
      </c>
      <c r="H130">
        <v>0.63055555555555554</v>
      </c>
      <c r="I130" t="s">
        <v>22</v>
      </c>
      <c r="J130" t="s">
        <v>44</v>
      </c>
      <c r="K130" t="s">
        <v>68</v>
      </c>
    </row>
    <row r="131" spans="1:11">
      <c r="A131" s="11">
        <v>45634</v>
      </c>
      <c r="B131" s="14">
        <v>0.87777777777777777</v>
      </c>
      <c r="C131" s="10" t="s">
        <v>23</v>
      </c>
      <c r="D131" s="10" t="e" cm="1">
        <f t="array" ref="D131">INDEX($H$2:$H$35, MATCH(1, (A131 &gt;= $F$2:$F$35) * (A131 &lt;= $G$2:$G$35), 0))</f>
        <v>#N/A</v>
      </c>
      <c r="E131" s="10" t="str">
        <f>IF(COUNTIF('Top5'!I:I, D131) &gt; 0, "Yes", "No")</f>
        <v>No</v>
      </c>
      <c r="F131" s="10"/>
      <c r="G131">
        <v>45634</v>
      </c>
      <c r="H131">
        <v>0.87777777777777777</v>
      </c>
      <c r="I131" t="s">
        <v>23</v>
      </c>
      <c r="J131" t="s">
        <v>44</v>
      </c>
      <c r="K131" t="s">
        <v>68</v>
      </c>
    </row>
    <row r="132" spans="1:11">
      <c r="A132" s="11">
        <v>45634</v>
      </c>
      <c r="B132" s="14">
        <v>0.87777777777777777</v>
      </c>
      <c r="C132" s="10" t="s">
        <v>23</v>
      </c>
      <c r="D132" s="10" t="e" cm="1">
        <f t="array" ref="D132">INDEX($H$2:$H$35, MATCH(1, (A132 &gt;= $F$2:$F$35) * (A132 &lt;= $G$2:$G$35), 0))</f>
        <v>#N/A</v>
      </c>
      <c r="E132" s="10" t="str">
        <f>IF(COUNTIF('Top5'!I:I, D132) &gt; 0, "Yes", "No")</f>
        <v>No</v>
      </c>
      <c r="F132" s="10"/>
      <c r="G132">
        <v>45634</v>
      </c>
      <c r="H132">
        <v>0.87777777777777777</v>
      </c>
      <c r="I132" t="s">
        <v>23</v>
      </c>
      <c r="J132" t="s">
        <v>44</v>
      </c>
      <c r="K132" t="s">
        <v>68</v>
      </c>
    </row>
    <row r="133" spans="1:11">
      <c r="A133" s="11">
        <v>45635</v>
      </c>
      <c r="B133" s="14">
        <v>0.45347222222222222</v>
      </c>
      <c r="C133" s="10" t="s">
        <v>22</v>
      </c>
      <c r="D133" s="10" t="e" cm="1">
        <f t="array" ref="D133">INDEX($H$2:$H$35, MATCH(1, (A133 &gt;= $F$2:$F$35) * (A133 &lt;= $G$2:$G$35), 0))</f>
        <v>#N/A</v>
      </c>
      <c r="E133" s="10" t="str">
        <f>IF(COUNTIF('Top5'!I:I, D133) &gt; 0, "Yes", "No")</f>
        <v>No</v>
      </c>
      <c r="F133" s="10"/>
      <c r="G133">
        <v>45635</v>
      </c>
      <c r="H133">
        <v>0.45347222222222222</v>
      </c>
      <c r="I133" t="s">
        <v>22</v>
      </c>
      <c r="J133" t="s">
        <v>44</v>
      </c>
      <c r="K133" t="s">
        <v>68</v>
      </c>
    </row>
    <row r="134" spans="1:11">
      <c r="A134" s="11">
        <v>45635</v>
      </c>
      <c r="B134" s="14">
        <v>0.4548611111111111</v>
      </c>
      <c r="C134" s="10" t="s">
        <v>22</v>
      </c>
      <c r="D134" s="10" t="e" cm="1">
        <f t="array" ref="D134">INDEX($H$2:$H$35, MATCH(1, (A134 &gt;= $F$2:$F$35) * (A134 &lt;= $G$2:$G$35), 0))</f>
        <v>#N/A</v>
      </c>
      <c r="E134" s="10" t="str">
        <f>IF(COUNTIF('Top5'!I:I, D134) &gt; 0, "Yes", "No")</f>
        <v>No</v>
      </c>
      <c r="F134" s="10"/>
      <c r="G134">
        <v>45635</v>
      </c>
      <c r="H134">
        <v>0.4548611111111111</v>
      </c>
      <c r="I134" t="s">
        <v>22</v>
      </c>
      <c r="J134" t="s">
        <v>44</v>
      </c>
      <c r="K134" t="s">
        <v>68</v>
      </c>
    </row>
    <row r="135" spans="1:11">
      <c r="A135" s="11">
        <v>45635</v>
      </c>
      <c r="B135" s="14">
        <v>0.46041666666666664</v>
      </c>
      <c r="C135" s="10" t="s">
        <v>22</v>
      </c>
      <c r="D135" s="10" t="e" cm="1">
        <f t="array" ref="D135">INDEX($H$2:$H$35, MATCH(1, (A135 &gt;= $F$2:$F$35) * (A135 &lt;= $G$2:$G$35), 0))</f>
        <v>#N/A</v>
      </c>
      <c r="E135" s="10" t="str">
        <f>IF(COUNTIF('Top5'!I:I, D135) &gt; 0, "Yes", "No")</f>
        <v>No</v>
      </c>
      <c r="F135" s="10"/>
      <c r="G135">
        <v>45635</v>
      </c>
      <c r="H135">
        <v>0.46041666666666664</v>
      </c>
      <c r="I135" t="s">
        <v>22</v>
      </c>
      <c r="J135" t="s">
        <v>44</v>
      </c>
      <c r="K135" t="s">
        <v>68</v>
      </c>
    </row>
    <row r="136" spans="1:11">
      <c r="A136" s="11">
        <v>45635</v>
      </c>
      <c r="B136" s="14">
        <v>0.49236111111111114</v>
      </c>
      <c r="C136" s="10" t="s">
        <v>22</v>
      </c>
      <c r="D136" s="10" t="e" cm="1">
        <f t="array" ref="D136">INDEX($H$2:$H$35, MATCH(1, (A136 &gt;= $F$2:$F$35) * (A136 &lt;= $G$2:$G$35), 0))</f>
        <v>#N/A</v>
      </c>
      <c r="E136" s="10" t="str">
        <f>IF(COUNTIF('Top5'!I:I, D136) &gt; 0, "Yes", "No")</f>
        <v>No</v>
      </c>
      <c r="F136" s="10"/>
      <c r="G136">
        <v>45635</v>
      </c>
      <c r="H136">
        <v>0.49236111111111114</v>
      </c>
      <c r="I136" t="s">
        <v>22</v>
      </c>
      <c r="J136" t="s">
        <v>44</v>
      </c>
      <c r="K136" t="s">
        <v>68</v>
      </c>
    </row>
    <row r="137" spans="1:11">
      <c r="A137" s="11">
        <v>45635</v>
      </c>
      <c r="B137" s="14">
        <v>0.55972222222222223</v>
      </c>
      <c r="C137" s="10" t="s">
        <v>22</v>
      </c>
      <c r="D137" s="10" t="e" cm="1">
        <f t="array" ref="D137">INDEX($H$2:$H$35, MATCH(1, (A137 &gt;= $F$2:$F$35) * (A137 &lt;= $G$2:$G$35), 0))</f>
        <v>#N/A</v>
      </c>
      <c r="E137" s="10" t="str">
        <f>IF(COUNTIF('Top5'!I:I, D137) &gt; 0, "Yes", "No")</f>
        <v>No</v>
      </c>
      <c r="F137" s="10"/>
      <c r="G137">
        <v>45635</v>
      </c>
      <c r="H137">
        <v>0.55972222222222223</v>
      </c>
      <c r="I137" t="s">
        <v>22</v>
      </c>
      <c r="J137" t="s">
        <v>44</v>
      </c>
      <c r="K137" t="s">
        <v>68</v>
      </c>
    </row>
    <row r="138" spans="1:11">
      <c r="A138" s="11">
        <v>45635</v>
      </c>
      <c r="B138" s="14">
        <v>0.56180555555555556</v>
      </c>
      <c r="C138" s="10" t="s">
        <v>22</v>
      </c>
      <c r="D138" s="10" t="e" cm="1">
        <f t="array" ref="D138">INDEX($H$2:$H$35, MATCH(1, (A138 &gt;= $F$2:$F$35) * (A138 &lt;= $G$2:$G$35), 0))</f>
        <v>#N/A</v>
      </c>
      <c r="E138" s="10" t="str">
        <f>IF(COUNTIF('Top5'!I:I, D138) &gt; 0, "Yes", "No")</f>
        <v>No</v>
      </c>
      <c r="F138" s="10"/>
      <c r="G138">
        <v>45635</v>
      </c>
      <c r="H138">
        <v>0.56180555555555556</v>
      </c>
      <c r="I138" t="s">
        <v>22</v>
      </c>
      <c r="J138" t="s">
        <v>44</v>
      </c>
      <c r="K138" t="s">
        <v>68</v>
      </c>
    </row>
    <row r="139" spans="1:11">
      <c r="A139" s="11">
        <v>45635</v>
      </c>
      <c r="B139" s="14">
        <v>0.69444444444444442</v>
      </c>
      <c r="C139" s="10" t="s">
        <v>22</v>
      </c>
      <c r="D139" s="10" t="e" cm="1">
        <f t="array" ref="D139">INDEX($H$2:$H$35, MATCH(1, (A139 &gt;= $F$2:$F$35) * (A139 &lt;= $G$2:$G$35), 0))</f>
        <v>#N/A</v>
      </c>
      <c r="E139" s="10" t="str">
        <f>IF(COUNTIF('Top5'!I:I, D139) &gt; 0, "Yes", "No")</f>
        <v>No</v>
      </c>
      <c r="F139" s="10"/>
      <c r="G139">
        <v>45635</v>
      </c>
      <c r="H139">
        <v>0.69444444444444442</v>
      </c>
      <c r="I139" t="s">
        <v>22</v>
      </c>
      <c r="J139" t="s">
        <v>44</v>
      </c>
      <c r="K139" t="s">
        <v>68</v>
      </c>
    </row>
    <row r="140" spans="1:11">
      <c r="A140" s="11">
        <v>45635</v>
      </c>
      <c r="B140" s="14">
        <v>0.83611111111111114</v>
      </c>
      <c r="C140" s="10" t="s">
        <v>23</v>
      </c>
      <c r="D140" s="10" t="e" cm="1">
        <f t="array" ref="D140">INDEX($H$2:$H$35, MATCH(1, (A140 &gt;= $F$2:$F$35) * (A140 &lt;= $G$2:$G$35), 0))</f>
        <v>#N/A</v>
      </c>
      <c r="E140" s="10" t="str">
        <f>IF(COUNTIF('Top5'!I:I, D140) &gt; 0, "Yes", "No")</f>
        <v>No</v>
      </c>
      <c r="F140" s="10"/>
      <c r="G140">
        <v>45635</v>
      </c>
      <c r="H140">
        <v>0.83611111111111114</v>
      </c>
      <c r="I140" t="s">
        <v>23</v>
      </c>
      <c r="J140" t="s">
        <v>44</v>
      </c>
      <c r="K140" t="s">
        <v>68</v>
      </c>
    </row>
    <row r="141" spans="1:11">
      <c r="A141" s="11">
        <v>45635</v>
      </c>
      <c r="B141" s="14">
        <v>0.84097222222222223</v>
      </c>
      <c r="C141" s="10" t="s">
        <v>23</v>
      </c>
      <c r="D141" s="10" t="e" cm="1">
        <f t="array" ref="D141">INDEX($H$2:$H$35, MATCH(1, (A141 &gt;= $F$2:$F$35) * (A141 &lt;= $G$2:$G$35), 0))</f>
        <v>#N/A</v>
      </c>
      <c r="E141" s="10" t="str">
        <f>IF(COUNTIF('Top5'!I:I, D141) &gt; 0, "Yes", "No")</f>
        <v>No</v>
      </c>
      <c r="F141" s="10"/>
      <c r="G141">
        <v>45635</v>
      </c>
      <c r="H141">
        <v>0.84097222222222223</v>
      </c>
      <c r="I141" t="s">
        <v>23</v>
      </c>
      <c r="J141" t="s">
        <v>44</v>
      </c>
      <c r="K141" t="s">
        <v>68</v>
      </c>
    </row>
    <row r="142" spans="1:11">
      <c r="A142" s="11">
        <v>45637</v>
      </c>
      <c r="B142" s="14">
        <v>1.3888888888888889E-3</v>
      </c>
      <c r="C142" s="10" t="s">
        <v>23</v>
      </c>
      <c r="D142" s="10" t="e" cm="1">
        <f t="array" ref="D142">INDEX($H$2:$H$35, MATCH(1, (A142 &gt;= $F$2:$F$35) * (A142 &lt;= $G$2:$G$35), 0))</f>
        <v>#N/A</v>
      </c>
      <c r="E142" s="10" t="str">
        <f>IF(COUNTIF('Top5'!I:I, D142) &gt; 0, "Yes", "No")</f>
        <v>No</v>
      </c>
      <c r="F142" s="10"/>
      <c r="G142">
        <v>45637</v>
      </c>
      <c r="H142">
        <v>1.3888888888888889E-3</v>
      </c>
      <c r="I142" t="s">
        <v>23</v>
      </c>
      <c r="J142" t="s">
        <v>44</v>
      </c>
      <c r="K142" t="s">
        <v>68</v>
      </c>
    </row>
    <row r="143" spans="1:11">
      <c r="A143" s="11">
        <v>45637</v>
      </c>
      <c r="B143" s="14">
        <v>5.5555555555555558E-3</v>
      </c>
      <c r="C143" s="10" t="s">
        <v>23</v>
      </c>
      <c r="D143" s="10" t="e" cm="1">
        <f t="array" ref="D143">INDEX($H$2:$H$35, MATCH(1, (A143 &gt;= $F$2:$F$35) * (A143 &lt;= $G$2:$G$35), 0))</f>
        <v>#N/A</v>
      </c>
      <c r="E143" s="10" t="str">
        <f>IF(COUNTIF('Top5'!I:I, D143) &gt; 0, "Yes", "No")</f>
        <v>No</v>
      </c>
      <c r="F143" s="10"/>
      <c r="G143">
        <v>45637</v>
      </c>
      <c r="H143">
        <v>5.5555555555555558E-3</v>
      </c>
      <c r="I143" t="s">
        <v>23</v>
      </c>
      <c r="J143" t="s">
        <v>44</v>
      </c>
      <c r="K143" t="s">
        <v>68</v>
      </c>
    </row>
    <row r="144" spans="1:11">
      <c r="A144" s="11">
        <v>45637</v>
      </c>
      <c r="B144" s="14">
        <v>5.5555555555555558E-3</v>
      </c>
      <c r="C144" s="10" t="s">
        <v>23</v>
      </c>
      <c r="D144" s="10" t="e" cm="1">
        <f t="array" ref="D144">INDEX($H$2:$H$35, MATCH(1, (A144 &gt;= $F$2:$F$35) * (A144 &lt;= $G$2:$G$35), 0))</f>
        <v>#N/A</v>
      </c>
      <c r="E144" s="10" t="str">
        <f>IF(COUNTIF('Top5'!I:I, D144) &gt; 0, "Yes", "No")</f>
        <v>No</v>
      </c>
      <c r="F144" s="10"/>
      <c r="G144">
        <v>45637</v>
      </c>
      <c r="H144">
        <v>5.5555555555555558E-3</v>
      </c>
      <c r="I144" t="s">
        <v>23</v>
      </c>
      <c r="J144" t="s">
        <v>44</v>
      </c>
      <c r="K144" t="s">
        <v>68</v>
      </c>
    </row>
    <row r="145" spans="1:11">
      <c r="A145" s="11">
        <v>45637</v>
      </c>
      <c r="B145" s="14">
        <v>6.2500000000000003E-3</v>
      </c>
      <c r="C145" s="10" t="s">
        <v>23</v>
      </c>
      <c r="D145" s="10" t="e" cm="1">
        <f t="array" ref="D145">INDEX($H$2:$H$35, MATCH(1, (A145 &gt;= $F$2:$F$35) * (A145 &lt;= $G$2:$G$35), 0))</f>
        <v>#N/A</v>
      </c>
      <c r="E145" s="10" t="str">
        <f>IF(COUNTIF('Top5'!I:I, D145) &gt; 0, "Yes", "No")</f>
        <v>No</v>
      </c>
      <c r="F145" s="10"/>
      <c r="G145">
        <v>45637</v>
      </c>
      <c r="H145">
        <v>6.2500000000000003E-3</v>
      </c>
      <c r="I145" t="s">
        <v>23</v>
      </c>
      <c r="J145" t="s">
        <v>44</v>
      </c>
      <c r="K145" t="s">
        <v>68</v>
      </c>
    </row>
    <row r="146" spans="1:11">
      <c r="A146" s="11">
        <v>45637</v>
      </c>
      <c r="B146" s="14">
        <v>0.57013888888888886</v>
      </c>
      <c r="C146" s="10" t="s">
        <v>22</v>
      </c>
      <c r="D146" s="10" t="e" cm="1">
        <f t="array" ref="D146">INDEX($H$2:$H$35, MATCH(1, (A146 &gt;= $F$2:$F$35) * (A146 &lt;= $G$2:$G$35), 0))</f>
        <v>#N/A</v>
      </c>
      <c r="E146" s="10" t="str">
        <f>IF(COUNTIF('Top5'!I:I, D146) &gt; 0, "Yes", "No")</f>
        <v>No</v>
      </c>
      <c r="F146" s="10"/>
      <c r="G146">
        <v>45637</v>
      </c>
      <c r="H146">
        <v>0.57013888888888886</v>
      </c>
      <c r="I146" t="s">
        <v>22</v>
      </c>
      <c r="J146" t="s">
        <v>44</v>
      </c>
      <c r="K146" t="s">
        <v>68</v>
      </c>
    </row>
    <row r="147" spans="1:11">
      <c r="A147" s="11">
        <v>45637</v>
      </c>
      <c r="B147" s="14">
        <v>0.64722222222222225</v>
      </c>
      <c r="C147" s="10" t="s">
        <v>22</v>
      </c>
      <c r="D147" s="10" t="e" cm="1">
        <f t="array" ref="D147">INDEX($H$2:$H$35, MATCH(1, (A147 &gt;= $F$2:$F$35) * (A147 &lt;= $G$2:$G$35), 0))</f>
        <v>#N/A</v>
      </c>
      <c r="E147" s="10" t="str">
        <f>IF(COUNTIF('Top5'!I:I, D147) &gt; 0, "Yes", "No")</f>
        <v>No</v>
      </c>
      <c r="F147" s="10"/>
      <c r="G147">
        <v>45637</v>
      </c>
      <c r="H147">
        <v>0.64722222222222225</v>
      </c>
      <c r="I147" t="s">
        <v>22</v>
      </c>
      <c r="J147" t="s">
        <v>44</v>
      </c>
      <c r="K147" t="s">
        <v>68</v>
      </c>
    </row>
    <row r="148" spans="1:11">
      <c r="A148" s="11">
        <v>45637</v>
      </c>
      <c r="B148" s="14">
        <v>0.65625</v>
      </c>
      <c r="C148" s="10" t="s">
        <v>22</v>
      </c>
      <c r="D148" s="10" t="e" cm="1">
        <f t="array" ref="D148">INDEX($H$2:$H$35, MATCH(1, (A148 &gt;= $F$2:$F$35) * (A148 &lt;= $G$2:$G$35), 0))</f>
        <v>#N/A</v>
      </c>
      <c r="E148" s="10" t="str">
        <f>IF(COUNTIF('Top5'!I:I, D148) &gt; 0, "Yes", "No")</f>
        <v>No</v>
      </c>
      <c r="F148" s="10"/>
      <c r="G148">
        <v>45637</v>
      </c>
      <c r="H148">
        <v>0.65625</v>
      </c>
      <c r="I148" t="s">
        <v>22</v>
      </c>
      <c r="J148" t="s">
        <v>44</v>
      </c>
      <c r="K148" t="s">
        <v>68</v>
      </c>
    </row>
    <row r="149" spans="1:11">
      <c r="A149" s="11">
        <v>45638</v>
      </c>
      <c r="B149" s="14">
        <v>0.33611111111111114</v>
      </c>
      <c r="C149" s="10" t="s">
        <v>22</v>
      </c>
      <c r="D149" s="10" t="e" cm="1">
        <f t="array" ref="D149">INDEX($H$2:$H$35, MATCH(1, (A149 &gt;= $F$2:$F$35) * (A149 &lt;= $G$2:$G$35), 0))</f>
        <v>#N/A</v>
      </c>
      <c r="E149" s="10" t="str">
        <f>IF(COUNTIF('Top5'!I:I, D149) &gt; 0, "Yes", "No")</f>
        <v>No</v>
      </c>
      <c r="F149" s="10"/>
      <c r="G149">
        <v>45638</v>
      </c>
      <c r="H149">
        <v>0.33611111111111114</v>
      </c>
      <c r="I149" t="s">
        <v>22</v>
      </c>
      <c r="J149" t="s">
        <v>44</v>
      </c>
      <c r="K149" t="s">
        <v>68</v>
      </c>
    </row>
    <row r="150" spans="1:11">
      <c r="A150" s="11">
        <v>45638</v>
      </c>
      <c r="B150" s="14">
        <v>0.33611111111111114</v>
      </c>
      <c r="C150" s="10" t="s">
        <v>22</v>
      </c>
      <c r="D150" s="10" t="e" cm="1">
        <f t="array" ref="D150">INDEX($H$2:$H$35, MATCH(1, (A150 &gt;= $F$2:$F$35) * (A150 &lt;= $G$2:$G$35), 0))</f>
        <v>#N/A</v>
      </c>
      <c r="E150" s="10" t="str">
        <f>IF(COUNTIF('Top5'!I:I, D150) &gt; 0, "Yes", "No")</f>
        <v>No</v>
      </c>
      <c r="F150" s="10"/>
      <c r="G150">
        <v>45638</v>
      </c>
      <c r="H150">
        <v>0.33611111111111114</v>
      </c>
      <c r="I150" t="s">
        <v>22</v>
      </c>
      <c r="J150" t="s">
        <v>44</v>
      </c>
      <c r="K150" t="s">
        <v>68</v>
      </c>
    </row>
    <row r="151" spans="1:11">
      <c r="A151" s="11">
        <v>45638</v>
      </c>
      <c r="B151" s="14">
        <v>0.42499999999999999</v>
      </c>
      <c r="C151" s="10" t="s">
        <v>22</v>
      </c>
      <c r="D151" s="10" t="e" cm="1">
        <f t="array" ref="D151">INDEX($H$2:$H$35, MATCH(1, (A151 &gt;= $F$2:$F$35) * (A151 &lt;= $G$2:$G$35), 0))</f>
        <v>#N/A</v>
      </c>
      <c r="E151" s="10" t="str">
        <f>IF(COUNTIF('Top5'!I:I, D151) &gt; 0, "Yes", "No")</f>
        <v>No</v>
      </c>
      <c r="F151" s="10"/>
      <c r="G151">
        <v>45638</v>
      </c>
      <c r="H151">
        <v>0.42499999999999999</v>
      </c>
      <c r="I151" t="s">
        <v>22</v>
      </c>
      <c r="J151" t="s">
        <v>44</v>
      </c>
      <c r="K151" t="s">
        <v>68</v>
      </c>
    </row>
    <row r="152" spans="1:11">
      <c r="A152" s="11">
        <v>45638</v>
      </c>
      <c r="B152" s="14">
        <v>0.47916666666666669</v>
      </c>
      <c r="C152" s="10" t="s">
        <v>22</v>
      </c>
      <c r="D152" s="10" t="e" cm="1">
        <f t="array" ref="D152">INDEX($H$2:$H$35, MATCH(1, (A152 &gt;= $F$2:$F$35) * (A152 &lt;= $G$2:$G$35), 0))</f>
        <v>#N/A</v>
      </c>
      <c r="E152" s="10" t="str">
        <f>IF(COUNTIF('Top5'!I:I, D152) &gt; 0, "Yes", "No")</f>
        <v>No</v>
      </c>
      <c r="F152" s="10"/>
      <c r="G152">
        <v>45638</v>
      </c>
      <c r="H152">
        <v>0.47916666666666669</v>
      </c>
      <c r="I152" t="s">
        <v>22</v>
      </c>
      <c r="J152" t="s">
        <v>44</v>
      </c>
      <c r="K152" t="s">
        <v>68</v>
      </c>
    </row>
    <row r="153" spans="1:11">
      <c r="A153" s="11">
        <v>45638</v>
      </c>
      <c r="B153" s="14">
        <v>0.48333333333333334</v>
      </c>
      <c r="C153" s="10" t="s">
        <v>22</v>
      </c>
      <c r="D153" s="10" t="e" cm="1">
        <f t="array" ref="D153">INDEX($H$2:$H$35, MATCH(1, (A153 &gt;= $F$2:$F$35) * (A153 &lt;= $G$2:$G$35), 0))</f>
        <v>#N/A</v>
      </c>
      <c r="E153" s="10" t="str">
        <f>IF(COUNTIF('Top5'!I:I, D153) &gt; 0, "Yes", "No")</f>
        <v>No</v>
      </c>
      <c r="F153" s="10"/>
      <c r="G153">
        <v>45638</v>
      </c>
      <c r="H153">
        <v>0.48333333333333334</v>
      </c>
      <c r="I153" t="s">
        <v>22</v>
      </c>
      <c r="J153" t="s">
        <v>44</v>
      </c>
      <c r="K153" t="s">
        <v>68</v>
      </c>
    </row>
    <row r="154" spans="1:11">
      <c r="A154" s="11">
        <v>45638</v>
      </c>
      <c r="B154" s="14">
        <v>0.80486111111111114</v>
      </c>
      <c r="C154" s="10" t="s">
        <v>23</v>
      </c>
      <c r="D154" s="10" t="e" cm="1">
        <f t="array" ref="D154">INDEX($H$2:$H$35, MATCH(1, (A154 &gt;= $F$2:$F$35) * (A154 &lt;= $G$2:$G$35), 0))</f>
        <v>#N/A</v>
      </c>
      <c r="E154" s="10" t="str">
        <f>IF(COUNTIF('Top5'!I:I, D154) &gt; 0, "Yes", "No")</f>
        <v>No</v>
      </c>
      <c r="F154" s="10"/>
      <c r="G154">
        <v>45638</v>
      </c>
      <c r="H154">
        <v>0.80486111111111114</v>
      </c>
      <c r="I154" t="s">
        <v>23</v>
      </c>
      <c r="J154" t="s">
        <v>44</v>
      </c>
      <c r="K154" t="s">
        <v>68</v>
      </c>
    </row>
    <row r="155" spans="1:11">
      <c r="A155" s="11">
        <v>45638</v>
      </c>
      <c r="B155" s="14">
        <v>0.82222222222222219</v>
      </c>
      <c r="C155" s="10" t="s">
        <v>23</v>
      </c>
      <c r="D155" s="10" t="e" cm="1">
        <f t="array" ref="D155">INDEX($H$2:$H$35, MATCH(1, (A155 &gt;= $F$2:$F$35) * (A155 &lt;= $G$2:$G$35), 0))</f>
        <v>#N/A</v>
      </c>
      <c r="E155" s="10" t="str">
        <f>IF(COUNTIF('Top5'!I:I, D155) &gt; 0, "Yes", "No")</f>
        <v>No</v>
      </c>
      <c r="F155" s="10"/>
      <c r="G155">
        <v>45638</v>
      </c>
      <c r="H155">
        <v>0.82222222222222219</v>
      </c>
      <c r="I155" t="s">
        <v>23</v>
      </c>
      <c r="J155" t="s">
        <v>44</v>
      </c>
      <c r="K155" t="s">
        <v>68</v>
      </c>
    </row>
    <row r="156" spans="1:11">
      <c r="A156" s="11">
        <v>45638</v>
      </c>
      <c r="B156" s="14">
        <v>0.88611111111111107</v>
      </c>
      <c r="C156" s="10" t="s">
        <v>23</v>
      </c>
      <c r="D156" s="10" t="e" cm="1">
        <f t="array" ref="D156">INDEX($H$2:$H$35, MATCH(1, (A156 &gt;= $F$2:$F$35) * (A156 &lt;= $G$2:$G$35), 0))</f>
        <v>#N/A</v>
      </c>
      <c r="E156" s="10" t="str">
        <f>IF(COUNTIF('Top5'!I:I, D156) &gt; 0, "Yes", "No")</f>
        <v>No</v>
      </c>
      <c r="F156" s="10"/>
      <c r="G156">
        <v>45638</v>
      </c>
      <c r="H156">
        <v>0.88611111111111107</v>
      </c>
      <c r="I156" t="s">
        <v>23</v>
      </c>
      <c r="J156" t="s">
        <v>44</v>
      </c>
      <c r="K156" t="s">
        <v>68</v>
      </c>
    </row>
    <row r="157" spans="1:11">
      <c r="A157" s="11">
        <v>45639</v>
      </c>
      <c r="B157" s="14">
        <v>0.43125000000000002</v>
      </c>
      <c r="C157" s="10" t="s">
        <v>22</v>
      </c>
      <c r="D157" s="10" t="e" cm="1">
        <f t="array" ref="D157">INDEX($H$2:$H$35, MATCH(1, (A157 &gt;= $F$2:$F$35) * (A157 &lt;= $G$2:$G$35), 0))</f>
        <v>#N/A</v>
      </c>
      <c r="E157" s="10" t="str">
        <f>IF(COUNTIF('Top5'!I:I, D157) &gt; 0, "Yes", "No")</f>
        <v>No</v>
      </c>
      <c r="F157" s="10"/>
      <c r="G157">
        <v>45639</v>
      </c>
      <c r="H157">
        <v>0.43125000000000002</v>
      </c>
      <c r="I157" t="s">
        <v>22</v>
      </c>
      <c r="J157" t="s">
        <v>44</v>
      </c>
      <c r="K157" t="s">
        <v>68</v>
      </c>
    </row>
    <row r="158" spans="1:11">
      <c r="A158" s="11">
        <v>45640</v>
      </c>
      <c r="B158" s="14">
        <v>0.40486111111111112</v>
      </c>
      <c r="C158" s="10" t="s">
        <v>22</v>
      </c>
      <c r="D158" s="10" t="e" cm="1">
        <f t="array" ref="D158">INDEX($H$2:$H$35, MATCH(1, (A158 &gt;= $F$2:$F$35) * (A158 &lt;= $G$2:$G$35), 0))</f>
        <v>#N/A</v>
      </c>
      <c r="E158" s="10" t="str">
        <f>IF(COUNTIF('Top5'!I:I, D158) &gt; 0, "Yes", "No")</f>
        <v>No</v>
      </c>
      <c r="F158" s="10"/>
      <c r="G158">
        <v>45640</v>
      </c>
      <c r="H158">
        <v>0.40486111111111112</v>
      </c>
      <c r="I158" t="s">
        <v>22</v>
      </c>
      <c r="J158" t="s">
        <v>44</v>
      </c>
      <c r="K158" t="s">
        <v>68</v>
      </c>
    </row>
    <row r="159" spans="1:11">
      <c r="A159" s="11">
        <v>45640</v>
      </c>
      <c r="B159" s="14">
        <v>0.42569444444444443</v>
      </c>
      <c r="C159" s="10" t="s">
        <v>22</v>
      </c>
      <c r="D159" s="10" t="e" cm="1">
        <f t="array" ref="D159">INDEX($H$2:$H$35, MATCH(1, (A159 &gt;= $F$2:$F$35) * (A159 &lt;= $G$2:$G$35), 0))</f>
        <v>#N/A</v>
      </c>
      <c r="E159" s="10" t="str">
        <f>IF(COUNTIF('Top5'!I:I, D159) &gt; 0, "Yes", "No")</f>
        <v>No</v>
      </c>
      <c r="F159" s="10"/>
      <c r="G159">
        <v>45640</v>
      </c>
      <c r="H159">
        <v>0.42569444444444443</v>
      </c>
      <c r="I159" t="s">
        <v>22</v>
      </c>
      <c r="J159" t="s">
        <v>44</v>
      </c>
      <c r="K159" t="s">
        <v>68</v>
      </c>
    </row>
    <row r="160" spans="1:11">
      <c r="A160" s="11">
        <v>45640</v>
      </c>
      <c r="B160" s="14">
        <v>0.42708333333333331</v>
      </c>
      <c r="C160" s="10" t="s">
        <v>22</v>
      </c>
      <c r="D160" s="10" t="e" cm="1">
        <f t="array" ref="D160">INDEX($H$2:$H$35, MATCH(1, (A160 &gt;= $F$2:$F$35) * (A160 &lt;= $G$2:$G$35), 0))</f>
        <v>#N/A</v>
      </c>
      <c r="E160" s="10" t="str">
        <f>IF(COUNTIF('Top5'!I:I, D160) &gt; 0, "Yes", "No")</f>
        <v>No</v>
      </c>
      <c r="F160" s="10"/>
      <c r="G160">
        <v>45640</v>
      </c>
      <c r="H160">
        <v>0.42708333333333331</v>
      </c>
      <c r="I160" t="s">
        <v>22</v>
      </c>
      <c r="J160" t="s">
        <v>44</v>
      </c>
      <c r="K160" t="s">
        <v>68</v>
      </c>
    </row>
    <row r="161" spans="1:11">
      <c r="A161" s="11">
        <v>45640</v>
      </c>
      <c r="B161" s="14">
        <v>0.45</v>
      </c>
      <c r="C161" s="10" t="s">
        <v>22</v>
      </c>
      <c r="D161" s="10" t="e" cm="1">
        <f t="array" ref="D161">INDEX($H$2:$H$35, MATCH(1, (A161 &gt;= $F$2:$F$35) * (A161 &lt;= $G$2:$G$35), 0))</f>
        <v>#N/A</v>
      </c>
      <c r="E161" s="10" t="str">
        <f>IF(COUNTIF('Top5'!I:I, D161) &gt; 0, "Yes", "No")</f>
        <v>No</v>
      </c>
      <c r="F161" s="10"/>
      <c r="G161">
        <v>45640</v>
      </c>
      <c r="H161">
        <v>0.45</v>
      </c>
      <c r="I161" t="s">
        <v>22</v>
      </c>
      <c r="J161" t="s">
        <v>44</v>
      </c>
      <c r="K161" t="s">
        <v>68</v>
      </c>
    </row>
    <row r="162" spans="1:11">
      <c r="A162" s="11">
        <v>45640</v>
      </c>
      <c r="B162" s="14">
        <v>0.71388888888888891</v>
      </c>
      <c r="C162" s="10" t="s">
        <v>23</v>
      </c>
      <c r="D162" s="10" t="e" cm="1">
        <f t="array" ref="D162">INDEX($H$2:$H$35, MATCH(1, (A162 &gt;= $F$2:$F$35) * (A162 &lt;= $G$2:$G$35), 0))</f>
        <v>#N/A</v>
      </c>
      <c r="E162" s="10" t="str">
        <f>IF(COUNTIF('Top5'!I:I, D162) &gt; 0, "Yes", "No")</f>
        <v>No</v>
      </c>
      <c r="F162" s="10"/>
      <c r="G162">
        <v>45640</v>
      </c>
      <c r="H162">
        <v>0.71388888888888891</v>
      </c>
      <c r="I162" t="s">
        <v>23</v>
      </c>
      <c r="J162" t="s">
        <v>44</v>
      </c>
      <c r="K162" t="s">
        <v>68</v>
      </c>
    </row>
    <row r="163" spans="1:11">
      <c r="A163" s="11">
        <v>45641</v>
      </c>
      <c r="B163" s="14">
        <v>0.4548611111111111</v>
      </c>
      <c r="C163" s="10" t="s">
        <v>22</v>
      </c>
      <c r="D163" s="10" t="e" cm="1">
        <f t="array" ref="D163">INDEX($H$2:$H$35, MATCH(1, (A163 &gt;= $F$2:$F$35) * (A163 &lt;= $G$2:$G$35), 0))</f>
        <v>#N/A</v>
      </c>
      <c r="E163" s="10" t="str">
        <f>IF(COUNTIF('Top5'!I:I, D163) &gt; 0, "Yes", "No")</f>
        <v>No</v>
      </c>
      <c r="F163" s="10"/>
      <c r="G163">
        <v>45641</v>
      </c>
      <c r="H163">
        <v>0.4548611111111111</v>
      </c>
      <c r="I163" t="s">
        <v>22</v>
      </c>
      <c r="J163" t="s">
        <v>48</v>
      </c>
      <c r="K163" t="s">
        <v>68</v>
      </c>
    </row>
    <row r="164" spans="1:11">
      <c r="A164" s="11">
        <v>45642</v>
      </c>
      <c r="B164" s="14">
        <v>1.1111111111111112E-2</v>
      </c>
      <c r="C164" s="10" t="s">
        <v>23</v>
      </c>
      <c r="D164" s="10" t="e" cm="1">
        <f t="array" ref="D164">INDEX($H$2:$H$35, MATCH(1, (A164 &gt;= $F$2:$F$35) * (A164 &lt;= $G$2:$G$35), 0))</f>
        <v>#N/A</v>
      </c>
      <c r="E164" s="10" t="str">
        <f>IF(COUNTIF('Top5'!I:I, D164) &gt; 0, "Yes", "No")</f>
        <v>No</v>
      </c>
      <c r="F164" s="10"/>
      <c r="G164">
        <v>45642</v>
      </c>
      <c r="H164">
        <v>1.1111111111111112E-2</v>
      </c>
      <c r="I164" t="s">
        <v>23</v>
      </c>
      <c r="J164" t="s">
        <v>48</v>
      </c>
      <c r="K164" t="s">
        <v>68</v>
      </c>
    </row>
    <row r="165" spans="1:11">
      <c r="A165" s="11">
        <v>45642</v>
      </c>
      <c r="B165" s="14">
        <v>1.1805555555555555E-2</v>
      </c>
      <c r="C165" s="10" t="s">
        <v>23</v>
      </c>
      <c r="D165" s="10" t="e" cm="1">
        <f t="array" ref="D165">INDEX($H$2:$H$35, MATCH(1, (A165 &gt;= $F$2:$F$35) * (A165 &lt;= $G$2:$G$35), 0))</f>
        <v>#N/A</v>
      </c>
      <c r="E165" s="10" t="str">
        <f>IF(COUNTIF('Top5'!I:I, D165) &gt; 0, "Yes", "No")</f>
        <v>No</v>
      </c>
      <c r="F165" s="10"/>
      <c r="G165">
        <v>45642</v>
      </c>
      <c r="H165">
        <v>1.1805555555555555E-2</v>
      </c>
      <c r="I165" t="s">
        <v>23</v>
      </c>
      <c r="J165" t="s">
        <v>48</v>
      </c>
      <c r="K165" t="s">
        <v>68</v>
      </c>
    </row>
    <row r="166" spans="1:11">
      <c r="A166" s="11">
        <v>45642</v>
      </c>
      <c r="B166" s="14">
        <v>1.1805555555555555E-2</v>
      </c>
      <c r="C166" s="10" t="s">
        <v>23</v>
      </c>
      <c r="D166" s="10" t="e" cm="1">
        <f t="array" ref="D166">INDEX($H$2:$H$35, MATCH(1, (A166 &gt;= $F$2:$F$35) * (A166 &lt;= $G$2:$G$35), 0))</f>
        <v>#N/A</v>
      </c>
      <c r="E166" s="10" t="str">
        <f>IF(COUNTIF('Top5'!I:I, D166) &gt; 0, "Yes", "No")</f>
        <v>No</v>
      </c>
      <c r="F166" s="10"/>
      <c r="G166">
        <v>45642</v>
      </c>
      <c r="H166">
        <v>1.1805555555555555E-2</v>
      </c>
      <c r="I166" t="s">
        <v>23</v>
      </c>
      <c r="J166" t="s">
        <v>48</v>
      </c>
      <c r="K166" t="s">
        <v>68</v>
      </c>
    </row>
    <row r="167" spans="1:11">
      <c r="A167" s="11">
        <v>45642</v>
      </c>
      <c r="B167" s="14">
        <v>1.1805555555555555E-2</v>
      </c>
      <c r="C167" s="10" t="s">
        <v>23</v>
      </c>
      <c r="D167" s="10" t="e" cm="1">
        <f t="array" ref="D167">INDEX($H$2:$H$35, MATCH(1, (A167 &gt;= $F$2:$F$35) * (A167 &lt;= $G$2:$G$35), 0))</f>
        <v>#N/A</v>
      </c>
      <c r="E167" s="10" t="str">
        <f>IF(COUNTIF('Top5'!I:I, D167) &gt; 0, "Yes", "No")</f>
        <v>No</v>
      </c>
      <c r="F167" s="10"/>
      <c r="G167">
        <v>45642</v>
      </c>
      <c r="H167">
        <v>1.1805555555555555E-2</v>
      </c>
      <c r="I167" t="s">
        <v>23</v>
      </c>
      <c r="J167" t="s">
        <v>48</v>
      </c>
      <c r="K167" t="s">
        <v>68</v>
      </c>
    </row>
    <row r="168" spans="1:11">
      <c r="A168" s="11">
        <v>45642</v>
      </c>
      <c r="B168" s="14">
        <v>1.1805555555555555E-2</v>
      </c>
      <c r="C168" s="10" t="s">
        <v>23</v>
      </c>
      <c r="D168" s="10" t="e" cm="1">
        <f t="array" ref="D168">INDEX($H$2:$H$35, MATCH(1, (A168 &gt;= $F$2:$F$35) * (A168 &lt;= $G$2:$G$35), 0))</f>
        <v>#N/A</v>
      </c>
      <c r="E168" s="10" t="str">
        <f>IF(COUNTIF('Top5'!I:I, D168) &gt; 0, "Yes", "No")</f>
        <v>No</v>
      </c>
      <c r="F168" s="10"/>
      <c r="G168">
        <v>45642</v>
      </c>
      <c r="H168">
        <v>1.1805555555555555E-2</v>
      </c>
      <c r="I168" t="s">
        <v>23</v>
      </c>
      <c r="J168" t="s">
        <v>48</v>
      </c>
      <c r="K168" t="s">
        <v>68</v>
      </c>
    </row>
    <row r="169" spans="1:11">
      <c r="A169" s="11">
        <v>45642</v>
      </c>
      <c r="B169" s="14">
        <v>1.1805555555555555E-2</v>
      </c>
      <c r="C169" s="10" t="s">
        <v>23</v>
      </c>
      <c r="D169" s="10" t="e" cm="1">
        <f t="array" ref="D169">INDEX($H$2:$H$35, MATCH(1, (A169 &gt;= $F$2:$F$35) * (A169 &lt;= $G$2:$G$35), 0))</f>
        <v>#N/A</v>
      </c>
      <c r="E169" s="10" t="str">
        <f>IF(COUNTIF('Top5'!I:I, D169) &gt; 0, "Yes", "No")</f>
        <v>No</v>
      </c>
      <c r="F169" s="10"/>
      <c r="G169">
        <v>45642</v>
      </c>
      <c r="H169">
        <v>1.1805555555555555E-2</v>
      </c>
      <c r="I169" t="s">
        <v>23</v>
      </c>
      <c r="J169" t="s">
        <v>48</v>
      </c>
      <c r="K169" t="s">
        <v>68</v>
      </c>
    </row>
    <row r="170" spans="1:11">
      <c r="A170" s="11">
        <v>45642</v>
      </c>
      <c r="B170" s="14">
        <v>0.53472222222222221</v>
      </c>
      <c r="C170" s="10" t="s">
        <v>22</v>
      </c>
      <c r="D170" s="10" t="e" cm="1">
        <f t="array" ref="D170">INDEX($H$2:$H$35, MATCH(1, (A170 &gt;= $F$2:$F$35) * (A170 &lt;= $G$2:$G$35), 0))</f>
        <v>#N/A</v>
      </c>
      <c r="E170" s="10" t="str">
        <f>IF(COUNTIF('Top5'!I:I, D170) &gt; 0, "Yes", "No")</f>
        <v>No</v>
      </c>
      <c r="F170" s="10"/>
      <c r="G170">
        <v>45642</v>
      </c>
      <c r="H170">
        <v>0.53472222222222221</v>
      </c>
      <c r="I170" t="s">
        <v>22</v>
      </c>
      <c r="J170" t="s">
        <v>48</v>
      </c>
      <c r="K170" t="s">
        <v>68</v>
      </c>
    </row>
    <row r="171" spans="1:11">
      <c r="A171" s="11">
        <v>45642</v>
      </c>
      <c r="B171" s="14">
        <v>0.66874999999999996</v>
      </c>
      <c r="C171" s="10" t="s">
        <v>22</v>
      </c>
      <c r="D171" s="10" t="e" cm="1">
        <f t="array" ref="D171">INDEX($H$2:$H$35, MATCH(1, (A171 &gt;= $F$2:$F$35) * (A171 &lt;= $G$2:$G$35), 0))</f>
        <v>#N/A</v>
      </c>
      <c r="E171" s="10" t="str">
        <f>IF(COUNTIF('Top5'!I:I, D171) &gt; 0, "Yes", "No")</f>
        <v>No</v>
      </c>
      <c r="F171" s="10"/>
      <c r="G171">
        <v>45642</v>
      </c>
      <c r="H171">
        <v>0.66874999999999996</v>
      </c>
      <c r="I171" t="s">
        <v>22</v>
      </c>
      <c r="J171" t="s">
        <v>48</v>
      </c>
      <c r="K171" t="s">
        <v>68</v>
      </c>
    </row>
    <row r="172" spans="1:11">
      <c r="A172" s="11">
        <v>45642</v>
      </c>
      <c r="B172" s="14">
        <v>0.70138888888888884</v>
      </c>
      <c r="C172" s="10" t="s">
        <v>22</v>
      </c>
      <c r="D172" s="10" t="e" cm="1">
        <f t="array" ref="D172">INDEX($H$2:$H$35, MATCH(1, (A172 &gt;= $F$2:$F$35) * (A172 &lt;= $G$2:$G$35), 0))</f>
        <v>#N/A</v>
      </c>
      <c r="E172" s="10" t="str">
        <f>IF(COUNTIF('Top5'!I:I, D172) &gt; 0, "Yes", "No")</f>
        <v>No</v>
      </c>
      <c r="F172" s="10"/>
      <c r="G172">
        <v>45642</v>
      </c>
      <c r="H172">
        <v>0.70138888888888884</v>
      </c>
      <c r="I172" t="s">
        <v>22</v>
      </c>
      <c r="J172" t="s">
        <v>48</v>
      </c>
      <c r="K172" t="s">
        <v>68</v>
      </c>
    </row>
    <row r="173" spans="1:11">
      <c r="A173" s="11">
        <v>45642</v>
      </c>
      <c r="B173" s="14">
        <v>0.71388888888888891</v>
      </c>
      <c r="C173" s="10" t="s">
        <v>23</v>
      </c>
      <c r="D173" s="10" t="e" cm="1">
        <f t="array" ref="D173">INDEX($H$2:$H$35, MATCH(1, (A173 &gt;= $F$2:$F$35) * (A173 &lt;= $G$2:$G$35), 0))</f>
        <v>#N/A</v>
      </c>
      <c r="E173" s="10" t="str">
        <f>IF(COUNTIF('Top5'!I:I, D173) &gt; 0, "Yes", "No")</f>
        <v>No</v>
      </c>
      <c r="F173" s="10"/>
      <c r="G173">
        <v>45642</v>
      </c>
      <c r="H173">
        <v>0.71388888888888891</v>
      </c>
      <c r="I173" t="s">
        <v>23</v>
      </c>
      <c r="J173" t="s">
        <v>48</v>
      </c>
      <c r="K173" t="s">
        <v>68</v>
      </c>
    </row>
    <row r="174" spans="1:11">
      <c r="A174" s="11">
        <v>45642</v>
      </c>
      <c r="B174" s="14">
        <v>0.82152777777777775</v>
      </c>
      <c r="C174" s="10" t="s">
        <v>23</v>
      </c>
      <c r="D174" s="10" t="e" cm="1">
        <f t="array" ref="D174">INDEX($H$2:$H$35, MATCH(1, (A174 &gt;= $F$2:$F$35) * (A174 &lt;= $G$2:$G$35), 0))</f>
        <v>#N/A</v>
      </c>
      <c r="E174" s="10" t="str">
        <f>IF(COUNTIF('Top5'!I:I, D174) &gt; 0, "Yes", "No")</f>
        <v>No</v>
      </c>
      <c r="F174" s="10"/>
      <c r="G174">
        <v>45642</v>
      </c>
      <c r="H174">
        <v>0.82152777777777775</v>
      </c>
      <c r="I174" t="s">
        <v>23</v>
      </c>
      <c r="J174" t="s">
        <v>48</v>
      </c>
      <c r="K174" t="s">
        <v>68</v>
      </c>
    </row>
    <row r="175" spans="1:11">
      <c r="A175" s="11">
        <v>45642</v>
      </c>
      <c r="B175" s="14">
        <v>0.84236111111111112</v>
      </c>
      <c r="C175" s="10" t="s">
        <v>23</v>
      </c>
      <c r="D175" s="10" t="e" cm="1">
        <f t="array" ref="D175">INDEX($H$2:$H$35, MATCH(1, (A175 &gt;= $F$2:$F$35) * (A175 &lt;= $G$2:$G$35), 0))</f>
        <v>#N/A</v>
      </c>
      <c r="E175" s="10" t="str">
        <f>IF(COUNTIF('Top5'!I:I, D175) &gt; 0, "Yes", "No")</f>
        <v>No</v>
      </c>
      <c r="F175" s="10"/>
      <c r="G175">
        <v>45642</v>
      </c>
      <c r="H175">
        <v>0.84236111111111112</v>
      </c>
      <c r="I175" t="s">
        <v>23</v>
      </c>
      <c r="J175" t="s">
        <v>48</v>
      </c>
      <c r="K175" t="s">
        <v>68</v>
      </c>
    </row>
    <row r="176" spans="1:11">
      <c r="A176" s="11">
        <v>45642</v>
      </c>
      <c r="B176" s="14">
        <v>0.9819444444444444</v>
      </c>
      <c r="C176" s="10" t="s">
        <v>23</v>
      </c>
      <c r="D176" s="10" t="e" cm="1">
        <f t="array" ref="D176">INDEX($H$2:$H$35, MATCH(1, (A176 &gt;= $F$2:$F$35) * (A176 &lt;= $G$2:$G$35), 0))</f>
        <v>#N/A</v>
      </c>
      <c r="E176" s="10" t="str">
        <f>IF(COUNTIF('Top5'!I:I, D176) &gt; 0, "Yes", "No")</f>
        <v>No</v>
      </c>
      <c r="F176" s="10"/>
      <c r="G176">
        <v>45642</v>
      </c>
      <c r="H176">
        <v>0.9819444444444444</v>
      </c>
      <c r="I176" t="s">
        <v>23</v>
      </c>
      <c r="J176" t="s">
        <v>48</v>
      </c>
      <c r="K176" t="s">
        <v>68</v>
      </c>
    </row>
    <row r="177" spans="1:11">
      <c r="A177" s="11">
        <v>45643</v>
      </c>
      <c r="B177" s="14">
        <v>0.625</v>
      </c>
      <c r="C177" s="10" t="s">
        <v>22</v>
      </c>
      <c r="D177" s="10" t="e" cm="1">
        <f t="array" ref="D177">INDEX($H$2:$H$35, MATCH(1, (A177 &gt;= $F$2:$F$35) * (A177 &lt;= $G$2:$G$35), 0))</f>
        <v>#N/A</v>
      </c>
      <c r="E177" s="10" t="str">
        <f>IF(COUNTIF('Top5'!I:I, D177) &gt; 0, "Yes", "No")</f>
        <v>No</v>
      </c>
      <c r="F177" s="10"/>
      <c r="G177">
        <v>45643</v>
      </c>
      <c r="H177">
        <v>0.625</v>
      </c>
      <c r="I177" t="s">
        <v>22</v>
      </c>
      <c r="J177" t="s">
        <v>48</v>
      </c>
      <c r="K177" t="s">
        <v>68</v>
      </c>
    </row>
    <row r="178" spans="1:11">
      <c r="A178" s="11">
        <v>45644</v>
      </c>
      <c r="B178" s="14">
        <v>4.1666666666666666E-3</v>
      </c>
      <c r="C178" s="10" t="s">
        <v>23</v>
      </c>
      <c r="D178" s="10" t="e" cm="1">
        <f t="array" ref="D178">INDEX($H$2:$H$35, MATCH(1, (A178 &gt;= $F$2:$F$35) * (A178 &lt;= $G$2:$G$35), 0))</f>
        <v>#N/A</v>
      </c>
      <c r="E178" s="10" t="str">
        <f>IF(COUNTIF('Top5'!I:I, D178) &gt; 0, "Yes", "No")</f>
        <v>No</v>
      </c>
      <c r="F178" s="10"/>
      <c r="G178">
        <v>45644</v>
      </c>
      <c r="H178">
        <v>4.1666666666666666E-3</v>
      </c>
      <c r="I178" t="s">
        <v>23</v>
      </c>
      <c r="J178" t="s">
        <v>48</v>
      </c>
      <c r="K178" t="s">
        <v>68</v>
      </c>
    </row>
    <row r="179" spans="1:11">
      <c r="A179" s="11">
        <v>45644</v>
      </c>
      <c r="B179" s="14">
        <v>4.1666666666666666E-3</v>
      </c>
      <c r="C179" s="10" t="s">
        <v>23</v>
      </c>
      <c r="D179" s="10" t="e" cm="1">
        <f t="array" ref="D179">INDEX($H$2:$H$35, MATCH(1, (A179 &gt;= $F$2:$F$35) * (A179 &lt;= $G$2:$G$35), 0))</f>
        <v>#N/A</v>
      </c>
      <c r="E179" s="10" t="str">
        <f>IF(COUNTIF('Top5'!I:I, D179) &gt; 0, "Yes", "No")</f>
        <v>No</v>
      </c>
      <c r="F179" s="10"/>
      <c r="G179">
        <v>45644</v>
      </c>
      <c r="H179">
        <v>4.1666666666666666E-3</v>
      </c>
      <c r="I179" t="s">
        <v>23</v>
      </c>
      <c r="J179" t="s">
        <v>48</v>
      </c>
      <c r="K179" t="s">
        <v>68</v>
      </c>
    </row>
    <row r="180" spans="1:11">
      <c r="A180" s="11">
        <v>45644</v>
      </c>
      <c r="B180" s="14">
        <v>0.50624999999999998</v>
      </c>
      <c r="C180" s="10" t="s">
        <v>22</v>
      </c>
      <c r="D180" s="10" t="e" cm="1">
        <f t="array" ref="D180">INDEX($H$2:$H$35, MATCH(1, (A180 &gt;= $F$2:$F$35) * (A180 &lt;= $G$2:$G$35), 0))</f>
        <v>#N/A</v>
      </c>
      <c r="E180" s="10" t="str">
        <f>IF(COUNTIF('Top5'!I:I, D180) &gt; 0, "Yes", "No")</f>
        <v>No</v>
      </c>
      <c r="F180" s="10"/>
      <c r="G180">
        <v>45644</v>
      </c>
      <c r="H180">
        <v>0.50624999999999998</v>
      </c>
      <c r="I180" t="s">
        <v>22</v>
      </c>
      <c r="J180" t="s">
        <v>48</v>
      </c>
      <c r="K180" t="s">
        <v>68</v>
      </c>
    </row>
    <row r="181" spans="1:11">
      <c r="A181" s="11">
        <v>45644</v>
      </c>
      <c r="B181" s="14">
        <v>0.90208333333333335</v>
      </c>
      <c r="C181" s="10" t="s">
        <v>23</v>
      </c>
      <c r="D181" s="10" t="e" cm="1">
        <f t="array" ref="D181">INDEX($H$2:$H$35, MATCH(1, (A181 &gt;= $F$2:$F$35) * (A181 &lt;= $G$2:$G$35), 0))</f>
        <v>#N/A</v>
      </c>
      <c r="E181" s="10" t="str">
        <f>IF(COUNTIF('Top5'!I:I, D181) &gt; 0, "Yes", "No")</f>
        <v>No</v>
      </c>
      <c r="F181" s="10"/>
      <c r="G181">
        <v>45644</v>
      </c>
      <c r="H181">
        <v>0.90208333333333335</v>
      </c>
      <c r="I181" t="s">
        <v>23</v>
      </c>
      <c r="J181" t="s">
        <v>48</v>
      </c>
      <c r="K181" t="s">
        <v>68</v>
      </c>
    </row>
    <row r="182" spans="1:11">
      <c r="A182" s="11">
        <v>45645</v>
      </c>
      <c r="B182" s="14">
        <v>0.65347222222222223</v>
      </c>
      <c r="C182" s="10" t="s">
        <v>22</v>
      </c>
      <c r="D182" s="10" t="e" cm="1">
        <f t="array" ref="D182">INDEX($H$2:$H$35, MATCH(1, (A182 &gt;= $F$2:$F$35) * (A182 &lt;= $G$2:$G$35), 0))</f>
        <v>#N/A</v>
      </c>
      <c r="E182" s="10" t="str">
        <f>IF(COUNTIF('Top5'!I:I, D182) &gt; 0, "Yes", "No")</f>
        <v>No</v>
      </c>
      <c r="F182" s="10"/>
      <c r="G182">
        <v>45645</v>
      </c>
      <c r="H182">
        <v>0.65347222222222223</v>
      </c>
      <c r="I182" t="s">
        <v>22</v>
      </c>
      <c r="J182" t="s">
        <v>48</v>
      </c>
      <c r="K182" t="s">
        <v>68</v>
      </c>
    </row>
    <row r="183" spans="1:11">
      <c r="A183" s="11">
        <v>45645</v>
      </c>
      <c r="B183" s="14">
        <v>0.66180555555555554</v>
      </c>
      <c r="C183" s="10" t="s">
        <v>22</v>
      </c>
      <c r="D183" s="10" t="e" cm="1">
        <f t="array" ref="D183">INDEX($H$2:$H$35, MATCH(1, (A183 &gt;= $F$2:$F$35) * (A183 &lt;= $G$2:$G$35), 0))</f>
        <v>#N/A</v>
      </c>
      <c r="E183" s="10" t="str">
        <f>IF(COUNTIF('Top5'!I:I, D183) &gt; 0, "Yes", "No")</f>
        <v>No</v>
      </c>
      <c r="F183" s="10"/>
      <c r="G183">
        <v>45645</v>
      </c>
      <c r="H183">
        <v>0.66180555555555554</v>
      </c>
      <c r="I183" t="s">
        <v>22</v>
      </c>
      <c r="J183" t="s">
        <v>48</v>
      </c>
      <c r="K183" t="s">
        <v>68</v>
      </c>
    </row>
    <row r="184" spans="1:11">
      <c r="A184" s="11">
        <v>45645</v>
      </c>
      <c r="B184" s="14">
        <v>0.88124999999999998</v>
      </c>
      <c r="C184" s="10" t="s">
        <v>23</v>
      </c>
      <c r="D184" s="10" t="e" cm="1">
        <f t="array" ref="D184">INDEX($H$2:$H$35, MATCH(1, (A184 &gt;= $F$2:$F$35) * (A184 &lt;= $G$2:$G$35), 0))</f>
        <v>#N/A</v>
      </c>
      <c r="E184" s="10" t="str">
        <f>IF(COUNTIF('Top5'!I:I, D184) &gt; 0, "Yes", "No")</f>
        <v>No</v>
      </c>
      <c r="F184" s="10"/>
      <c r="G184">
        <v>45645</v>
      </c>
      <c r="H184">
        <v>0.88124999999999998</v>
      </c>
      <c r="I184" t="s">
        <v>23</v>
      </c>
      <c r="J184" t="s">
        <v>48</v>
      </c>
      <c r="K184" t="s">
        <v>68</v>
      </c>
    </row>
    <row r="185" spans="1:11">
      <c r="A185" s="11">
        <v>45646</v>
      </c>
      <c r="B185" s="14">
        <v>0.44305555555555554</v>
      </c>
      <c r="C185" s="10" t="s">
        <v>22</v>
      </c>
      <c r="D185" s="10" t="e" cm="1">
        <f t="array" ref="D185">INDEX($H$2:$H$35, MATCH(1, (A185 &gt;= $F$2:$F$35) * (A185 &lt;= $G$2:$G$35), 0))</f>
        <v>#N/A</v>
      </c>
      <c r="E185" s="10" t="str">
        <f>IF(COUNTIF('Top5'!I:I, D185) &gt; 0, "Yes", "No")</f>
        <v>No</v>
      </c>
      <c r="F185" s="10"/>
      <c r="G185">
        <v>45646</v>
      </c>
      <c r="H185">
        <v>0.44305555555555554</v>
      </c>
      <c r="I185" t="s">
        <v>22</v>
      </c>
      <c r="J185" t="s">
        <v>48</v>
      </c>
      <c r="K185" t="s">
        <v>68</v>
      </c>
    </row>
    <row r="186" spans="1:11">
      <c r="A186" s="11">
        <v>45647</v>
      </c>
      <c r="B186" s="14">
        <v>0.51597222222222228</v>
      </c>
      <c r="C186" s="10" t="s">
        <v>22</v>
      </c>
      <c r="D186" s="10" t="e" cm="1">
        <f t="array" ref="D186">INDEX($H$2:$H$35, MATCH(1, (A186 &gt;= $F$2:$F$35) * (A186 &lt;= $G$2:$G$35), 0))</f>
        <v>#N/A</v>
      </c>
      <c r="E186" s="10" t="str">
        <f>IF(COUNTIF('Top5'!I:I, D186) &gt; 0, "Yes", "No")</f>
        <v>No</v>
      </c>
      <c r="F186" s="10"/>
      <c r="G186">
        <v>45647</v>
      </c>
      <c r="H186">
        <v>0.51597222222222228</v>
      </c>
      <c r="I186" t="s">
        <v>22</v>
      </c>
      <c r="J186" t="s">
        <v>48</v>
      </c>
      <c r="K186" t="s">
        <v>68</v>
      </c>
    </row>
    <row r="187" spans="1:11">
      <c r="A187" s="11">
        <v>45647</v>
      </c>
      <c r="B187" s="14">
        <v>0.51597222222222228</v>
      </c>
      <c r="C187" s="10" t="s">
        <v>22</v>
      </c>
      <c r="D187" s="10" t="e" cm="1">
        <f t="array" ref="D187">INDEX($H$2:$H$35, MATCH(1, (A187 &gt;= $F$2:$F$35) * (A187 &lt;= $G$2:$G$35), 0))</f>
        <v>#N/A</v>
      </c>
      <c r="E187" s="10" t="str">
        <f>IF(COUNTIF('Top5'!I:I, D187) &gt; 0, "Yes", "No")</f>
        <v>No</v>
      </c>
      <c r="F187" s="10"/>
      <c r="G187">
        <v>45647</v>
      </c>
      <c r="H187">
        <v>0.51597222222222228</v>
      </c>
      <c r="I187" t="s">
        <v>22</v>
      </c>
      <c r="J187" t="s">
        <v>48</v>
      </c>
      <c r="K187" t="s">
        <v>68</v>
      </c>
    </row>
    <row r="188" spans="1:11">
      <c r="A188" s="11">
        <v>45648</v>
      </c>
      <c r="B188" s="14">
        <v>1.3888888888888889E-3</v>
      </c>
      <c r="C188" s="10" t="s">
        <v>23</v>
      </c>
      <c r="D188" s="10" t="e" cm="1">
        <f t="array" ref="D188">INDEX($H$2:$H$35, MATCH(1, (A188 &gt;= $F$2:$F$35) * (A188 &lt;= $G$2:$G$35), 0))</f>
        <v>#N/A</v>
      </c>
      <c r="E188" s="10" t="str">
        <f>IF(COUNTIF('Top5'!I:I, D188) &gt; 0, "Yes", "No")</f>
        <v>No</v>
      </c>
      <c r="F188" s="10"/>
      <c r="G188">
        <v>45648</v>
      </c>
      <c r="H188">
        <v>1.3888888888888889E-3</v>
      </c>
      <c r="I188" t="s">
        <v>23</v>
      </c>
      <c r="J188" t="s">
        <v>53</v>
      </c>
      <c r="K188" t="s">
        <v>68</v>
      </c>
    </row>
    <row r="189" spans="1:11">
      <c r="A189" s="11">
        <v>45648</v>
      </c>
      <c r="B189" s="14">
        <v>1.3888888888888889E-3</v>
      </c>
      <c r="C189" s="10" t="s">
        <v>23</v>
      </c>
      <c r="D189" s="10" t="e" cm="1">
        <f t="array" ref="D189">INDEX($H$2:$H$35, MATCH(1, (A189 &gt;= $F$2:$F$35) * (A189 &lt;= $G$2:$G$35), 0))</f>
        <v>#N/A</v>
      </c>
      <c r="E189" s="10" t="str">
        <f>IF(COUNTIF('Top5'!I:I, D189) &gt; 0, "Yes", "No")</f>
        <v>No</v>
      </c>
      <c r="F189" s="10"/>
      <c r="G189">
        <v>45648</v>
      </c>
      <c r="H189">
        <v>1.3888888888888889E-3</v>
      </c>
      <c r="I189" t="s">
        <v>23</v>
      </c>
      <c r="J189" t="s">
        <v>53</v>
      </c>
      <c r="K189" t="s">
        <v>68</v>
      </c>
    </row>
    <row r="190" spans="1:11">
      <c r="A190" s="11">
        <v>45648</v>
      </c>
      <c r="B190" s="14">
        <v>0.46250000000000002</v>
      </c>
      <c r="C190" s="10" t="s">
        <v>22</v>
      </c>
      <c r="D190" s="10" t="e" cm="1">
        <f t="array" ref="D190">INDEX($H$2:$H$35, MATCH(1, (A190 &gt;= $F$2:$F$35) * (A190 &lt;= $G$2:$G$35), 0))</f>
        <v>#N/A</v>
      </c>
      <c r="E190" s="10" t="str">
        <f>IF(COUNTIF('Top5'!I:I, D190) &gt; 0, "Yes", "No")</f>
        <v>No</v>
      </c>
      <c r="F190" s="10"/>
      <c r="G190">
        <v>45648</v>
      </c>
      <c r="H190">
        <v>0.46250000000000002</v>
      </c>
      <c r="I190" t="s">
        <v>22</v>
      </c>
      <c r="J190" t="s">
        <v>53</v>
      </c>
      <c r="K190" t="s">
        <v>68</v>
      </c>
    </row>
    <row r="191" spans="1:11">
      <c r="A191" s="11">
        <v>45648</v>
      </c>
      <c r="B191" s="14">
        <v>0.71319444444444446</v>
      </c>
      <c r="C191" s="10" t="s">
        <v>23</v>
      </c>
      <c r="D191" s="10" t="e" cm="1">
        <f t="array" ref="D191">INDEX($H$2:$H$35, MATCH(1, (A191 &gt;= $F$2:$F$35) * (A191 &lt;= $G$2:$G$35), 0))</f>
        <v>#N/A</v>
      </c>
      <c r="E191" s="10" t="str">
        <f>IF(COUNTIF('Top5'!I:I, D191) &gt; 0, "Yes", "No")</f>
        <v>No</v>
      </c>
      <c r="F191" s="10"/>
      <c r="G191">
        <v>45648</v>
      </c>
      <c r="H191">
        <v>0.71319444444444446</v>
      </c>
      <c r="I191" t="s">
        <v>23</v>
      </c>
      <c r="J191" t="s">
        <v>53</v>
      </c>
      <c r="K191" t="s">
        <v>68</v>
      </c>
    </row>
    <row r="192" spans="1:11">
      <c r="A192" s="11">
        <v>45650</v>
      </c>
      <c r="B192" s="14">
        <v>0.68125000000000002</v>
      </c>
      <c r="C192" s="10" t="s">
        <v>22</v>
      </c>
      <c r="D192" s="10" t="e" cm="1">
        <f t="array" ref="D192">INDEX($H$2:$H$35, MATCH(1, (A192 &gt;= $F$2:$F$35) * (A192 &lt;= $G$2:$G$35), 0))</f>
        <v>#N/A</v>
      </c>
      <c r="E192" s="10" t="str">
        <f>IF(COUNTIF('Top5'!I:I, D192) &gt; 0, "Yes", "No")</f>
        <v>No</v>
      </c>
      <c r="F192" s="10"/>
      <c r="G192">
        <v>45650</v>
      </c>
      <c r="H192">
        <v>0.68125000000000002</v>
      </c>
      <c r="I192" t="s">
        <v>22</v>
      </c>
      <c r="J192" t="s">
        <v>53</v>
      </c>
      <c r="K192" t="s">
        <v>68</v>
      </c>
    </row>
    <row r="193" spans="1:11">
      <c r="A193" s="11">
        <v>45650</v>
      </c>
      <c r="B193" s="14">
        <v>0.80694444444444446</v>
      </c>
      <c r="C193" s="10" t="s">
        <v>23</v>
      </c>
      <c r="D193" s="10" t="e" cm="1">
        <f t="array" ref="D193">INDEX($H$2:$H$35, MATCH(1, (A193 &gt;= $F$2:$F$35) * (A193 &lt;= $G$2:$G$35), 0))</f>
        <v>#N/A</v>
      </c>
      <c r="E193" s="10" t="str">
        <f>IF(COUNTIF('Top5'!I:I, D193) &gt; 0, "Yes", "No")</f>
        <v>No</v>
      </c>
      <c r="F193" s="10"/>
      <c r="G193">
        <v>45650</v>
      </c>
      <c r="H193">
        <v>0.80694444444444446</v>
      </c>
      <c r="I193" t="s">
        <v>23</v>
      </c>
      <c r="J193" t="s">
        <v>53</v>
      </c>
      <c r="K193" t="s">
        <v>68</v>
      </c>
    </row>
    <row r="194" spans="1:11">
      <c r="A194" s="11">
        <v>45651</v>
      </c>
      <c r="B194" s="14">
        <v>0.98958333333333337</v>
      </c>
      <c r="C194" s="10" t="s">
        <v>23</v>
      </c>
      <c r="D194" s="10" t="e" cm="1">
        <f t="array" ref="D194">INDEX($H$2:$H$35, MATCH(1, (A194 &gt;= $F$2:$F$35) * (A194 &lt;= $G$2:$G$35), 0))</f>
        <v>#N/A</v>
      </c>
      <c r="E194" s="10" t="str">
        <f>IF(COUNTIF('Top5'!I:I, D194) &gt; 0, "Yes", "No")</f>
        <v>No</v>
      </c>
      <c r="F194" s="10"/>
      <c r="G194">
        <v>45651</v>
      </c>
      <c r="H194">
        <v>0.98958333333333337</v>
      </c>
      <c r="I194" t="s">
        <v>23</v>
      </c>
      <c r="J194" t="s">
        <v>53</v>
      </c>
      <c r="K194" t="s">
        <v>68</v>
      </c>
    </row>
    <row r="195" spans="1:11">
      <c r="A195" s="11">
        <v>45652</v>
      </c>
      <c r="B195" s="14">
        <v>0.47361111111111109</v>
      </c>
      <c r="C195" s="10" t="s">
        <v>22</v>
      </c>
      <c r="D195" s="10" t="e" cm="1">
        <f t="array" ref="D195">INDEX($H$2:$H$35, MATCH(1, (A195 &gt;= $F$2:$F$35) * (A195 &lt;= $G$2:$G$35), 0))</f>
        <v>#N/A</v>
      </c>
      <c r="E195" s="10" t="str">
        <f>IF(COUNTIF('Top5'!I:I, D195) &gt; 0, "Yes", "No")</f>
        <v>No</v>
      </c>
      <c r="F195" s="10"/>
      <c r="G195">
        <v>45652</v>
      </c>
      <c r="H195">
        <v>0.47361111111111109</v>
      </c>
      <c r="I195" t="s">
        <v>22</v>
      </c>
      <c r="J195" t="s">
        <v>53</v>
      </c>
      <c r="K195" t="s">
        <v>68</v>
      </c>
    </row>
    <row r="196" spans="1:11">
      <c r="A196" s="11">
        <v>45652</v>
      </c>
      <c r="B196" s="14">
        <v>0.56458333333333333</v>
      </c>
      <c r="C196" s="10" t="s">
        <v>22</v>
      </c>
      <c r="D196" s="10" t="e" cm="1">
        <f t="array" ref="D196">INDEX($H$2:$H$35, MATCH(1, (A196 &gt;= $F$2:$F$35) * (A196 &lt;= $G$2:$G$35), 0))</f>
        <v>#N/A</v>
      </c>
      <c r="E196" s="10" t="str">
        <f>IF(COUNTIF('Top5'!I:I, D196) &gt; 0, "Yes", "No")</f>
        <v>No</v>
      </c>
      <c r="F196" s="10"/>
      <c r="G196">
        <v>45652</v>
      </c>
      <c r="H196">
        <v>0.56458333333333333</v>
      </c>
      <c r="I196" t="s">
        <v>22</v>
      </c>
      <c r="J196" t="s">
        <v>53</v>
      </c>
      <c r="K196" t="s">
        <v>68</v>
      </c>
    </row>
    <row r="197" spans="1:11">
      <c r="A197" s="11">
        <v>45652</v>
      </c>
      <c r="B197" s="14">
        <v>0.59652777777777777</v>
      </c>
      <c r="C197" s="10" t="s">
        <v>22</v>
      </c>
      <c r="D197" s="10" t="e" cm="1">
        <f t="array" ref="D197">INDEX($H$2:$H$35, MATCH(1, (A197 &gt;= $F$2:$F$35) * (A197 &lt;= $G$2:$G$35), 0))</f>
        <v>#N/A</v>
      </c>
      <c r="E197" s="10" t="str">
        <f>IF(COUNTIF('Top5'!I:I, D197) &gt; 0, "Yes", "No")</f>
        <v>No</v>
      </c>
      <c r="F197" s="10"/>
      <c r="G197">
        <v>45652</v>
      </c>
      <c r="H197">
        <v>0.59652777777777777</v>
      </c>
      <c r="I197" t="s">
        <v>22</v>
      </c>
      <c r="J197" t="s">
        <v>53</v>
      </c>
      <c r="K197" t="s">
        <v>68</v>
      </c>
    </row>
    <row r="198" spans="1:11">
      <c r="A198" s="11">
        <v>45652</v>
      </c>
      <c r="B198" s="14">
        <v>0.7729166666666667</v>
      </c>
      <c r="C198" s="10" t="s">
        <v>23</v>
      </c>
      <c r="D198" s="10" t="e" cm="1">
        <f t="array" ref="D198">INDEX($H$2:$H$35, MATCH(1, (A198 &gt;= $F$2:$F$35) * (A198 &lt;= $G$2:$G$35), 0))</f>
        <v>#N/A</v>
      </c>
      <c r="E198" s="10" t="str">
        <f>IF(COUNTIF('Top5'!I:I, D198) &gt; 0, "Yes", "No")</f>
        <v>No</v>
      </c>
      <c r="F198" s="10"/>
      <c r="G198">
        <v>45652</v>
      </c>
      <c r="H198">
        <v>0.7729166666666667</v>
      </c>
      <c r="I198" t="s">
        <v>23</v>
      </c>
      <c r="J198" t="s">
        <v>53</v>
      </c>
      <c r="K198" t="s">
        <v>68</v>
      </c>
    </row>
    <row r="199" spans="1:11">
      <c r="A199" s="11">
        <v>45653</v>
      </c>
      <c r="B199" s="14">
        <v>0.4548611111111111</v>
      </c>
      <c r="C199" s="10" t="s">
        <v>22</v>
      </c>
      <c r="D199" s="10" t="e" cm="1">
        <f t="array" ref="D199">INDEX($H$2:$H$35, MATCH(1, (A199 &gt;= $F$2:$F$35) * (A199 &lt;= $G$2:$G$35), 0))</f>
        <v>#N/A</v>
      </c>
      <c r="E199" s="10" t="str">
        <f>IF(COUNTIF('Top5'!I:I, D199) &gt; 0, "Yes", "No")</f>
        <v>No</v>
      </c>
      <c r="F199" s="10"/>
      <c r="G199">
        <v>45653</v>
      </c>
      <c r="H199">
        <v>0.4548611111111111</v>
      </c>
      <c r="I199" t="s">
        <v>22</v>
      </c>
      <c r="J199" t="s">
        <v>53</v>
      </c>
      <c r="K199" t="s">
        <v>68</v>
      </c>
    </row>
    <row r="200" spans="1:11">
      <c r="A200" s="11">
        <v>45653</v>
      </c>
      <c r="B200" s="14">
        <v>0.58819444444444446</v>
      </c>
      <c r="C200" s="10" t="s">
        <v>22</v>
      </c>
      <c r="D200" s="10" t="e" cm="1">
        <f t="array" ref="D200">INDEX($H$2:$H$35, MATCH(1, (A200 &gt;= $F$2:$F$35) * (A200 &lt;= $G$2:$G$35), 0))</f>
        <v>#N/A</v>
      </c>
      <c r="E200" s="10" t="str">
        <f>IF(COUNTIF('Top5'!I:I, D200) &gt; 0, "Yes", "No")</f>
        <v>No</v>
      </c>
      <c r="F200" s="10"/>
      <c r="G200">
        <v>45653</v>
      </c>
      <c r="H200">
        <v>0.58819444444444446</v>
      </c>
      <c r="I200" t="s">
        <v>22</v>
      </c>
      <c r="J200" t="s">
        <v>53</v>
      </c>
      <c r="K200" t="s">
        <v>68</v>
      </c>
    </row>
    <row r="201" spans="1:11">
      <c r="A201" s="11">
        <v>45653</v>
      </c>
      <c r="B201" s="14">
        <v>0.58819444444444446</v>
      </c>
      <c r="C201" s="10" t="s">
        <v>22</v>
      </c>
      <c r="D201" s="10" t="e" cm="1">
        <f t="array" ref="D201">INDEX($H$2:$H$35, MATCH(1, (A201 &gt;= $F$2:$F$35) * (A201 &lt;= $G$2:$G$35), 0))</f>
        <v>#N/A</v>
      </c>
      <c r="E201" s="10" t="str">
        <f>IF(COUNTIF('Top5'!I:I, D201) &gt; 0, "Yes", "No")</f>
        <v>No</v>
      </c>
      <c r="F201" s="10"/>
      <c r="G201">
        <v>45653</v>
      </c>
      <c r="H201">
        <v>0.58819444444444446</v>
      </c>
      <c r="I201" t="s">
        <v>22</v>
      </c>
      <c r="J201" t="s">
        <v>53</v>
      </c>
      <c r="K201" t="s">
        <v>68</v>
      </c>
    </row>
    <row r="202" spans="1:11">
      <c r="A202" s="11">
        <v>45653</v>
      </c>
      <c r="B202" s="14">
        <v>0.67847222222222225</v>
      </c>
      <c r="C202" s="10" t="s">
        <v>22</v>
      </c>
      <c r="D202" s="10" t="e" cm="1">
        <f t="array" ref="D202">INDEX($H$2:$H$35, MATCH(1, (A202 &gt;= $F$2:$F$35) * (A202 &lt;= $G$2:$G$35), 0))</f>
        <v>#N/A</v>
      </c>
      <c r="E202" s="10" t="str">
        <f>IF(COUNTIF('Top5'!I:I, D202) &gt; 0, "Yes", "No")</f>
        <v>No</v>
      </c>
      <c r="F202" s="10"/>
      <c r="G202">
        <v>45653</v>
      </c>
      <c r="H202">
        <v>0.67847222222222225</v>
      </c>
      <c r="I202" t="s">
        <v>22</v>
      </c>
      <c r="J202" t="s">
        <v>53</v>
      </c>
      <c r="K202" t="s">
        <v>68</v>
      </c>
    </row>
    <row r="203" spans="1:11">
      <c r="A203" s="11">
        <v>45653</v>
      </c>
      <c r="B203" s="14">
        <v>0.7368055555555556</v>
      </c>
      <c r="C203" s="10" t="s">
        <v>23</v>
      </c>
      <c r="D203" s="10" t="e" cm="1">
        <f t="array" ref="D203">INDEX($H$2:$H$35, MATCH(1, (A203 &gt;= $F$2:$F$35) * (A203 &lt;= $G$2:$G$35), 0))</f>
        <v>#N/A</v>
      </c>
      <c r="E203" s="10" t="str">
        <f>IF(COUNTIF('Top5'!I:I, D203) &gt; 0, "Yes", "No")</f>
        <v>No</v>
      </c>
      <c r="F203" s="10"/>
      <c r="G203">
        <v>45653</v>
      </c>
      <c r="H203">
        <v>0.7368055555555556</v>
      </c>
      <c r="I203" t="s">
        <v>23</v>
      </c>
      <c r="J203" t="s">
        <v>53</v>
      </c>
      <c r="K203" t="s">
        <v>68</v>
      </c>
    </row>
    <row r="204" spans="1:11">
      <c r="A204" s="11">
        <v>45653</v>
      </c>
      <c r="B204" s="14">
        <v>0.73750000000000004</v>
      </c>
      <c r="C204" s="10" t="s">
        <v>23</v>
      </c>
      <c r="D204" s="10" t="e" cm="1">
        <f t="array" ref="D204">INDEX($H$2:$H$35, MATCH(1, (A204 &gt;= $F$2:$F$35) * (A204 &lt;= $G$2:$G$35), 0))</f>
        <v>#N/A</v>
      </c>
      <c r="E204" s="10" t="str">
        <f>IF(COUNTIF('Top5'!I:I, D204) &gt; 0, "Yes", "No")</f>
        <v>No</v>
      </c>
      <c r="F204" s="10"/>
      <c r="G204">
        <v>45653</v>
      </c>
      <c r="H204">
        <v>0.73750000000000004</v>
      </c>
      <c r="I204" t="s">
        <v>23</v>
      </c>
      <c r="J204" t="s">
        <v>53</v>
      </c>
      <c r="K204" t="s">
        <v>68</v>
      </c>
    </row>
    <row r="205" spans="1:11">
      <c r="A205" s="11">
        <v>45653</v>
      </c>
      <c r="B205" s="14">
        <v>0.89444444444444449</v>
      </c>
      <c r="C205" s="10" t="s">
        <v>23</v>
      </c>
      <c r="D205" s="10" t="e" cm="1">
        <f t="array" ref="D205">INDEX($H$2:$H$35, MATCH(1, (A205 &gt;= $F$2:$F$35) * (A205 &lt;= $G$2:$G$35), 0))</f>
        <v>#N/A</v>
      </c>
      <c r="E205" s="10" t="str">
        <f>IF(COUNTIF('Top5'!I:I, D205) &gt; 0, "Yes", "No")</f>
        <v>No</v>
      </c>
      <c r="F205" s="10"/>
      <c r="G205">
        <v>45653</v>
      </c>
      <c r="H205">
        <v>0.89444444444444449</v>
      </c>
      <c r="I205" t="s">
        <v>23</v>
      </c>
      <c r="J205" t="s">
        <v>53</v>
      </c>
      <c r="K205" t="s">
        <v>68</v>
      </c>
    </row>
    <row r="206" spans="1:11">
      <c r="A206" s="11">
        <v>45654</v>
      </c>
      <c r="B206" s="14">
        <v>0.48402777777777778</v>
      </c>
      <c r="C206" s="10" t="s">
        <v>22</v>
      </c>
      <c r="D206" s="10" t="e" cm="1">
        <f t="array" ref="D206">INDEX($H$2:$H$35, MATCH(1, (A206 &gt;= $F$2:$F$35) * (A206 &lt;= $G$2:$G$35), 0))</f>
        <v>#N/A</v>
      </c>
      <c r="E206" s="10" t="str">
        <f>IF(COUNTIF('Top5'!I:I, D206) &gt; 0, "Yes", "No")</f>
        <v>No</v>
      </c>
      <c r="F206" s="10"/>
      <c r="G206">
        <v>45654</v>
      </c>
      <c r="H206">
        <v>0.48402777777777778</v>
      </c>
      <c r="I206" t="s">
        <v>22</v>
      </c>
      <c r="J206" t="s">
        <v>53</v>
      </c>
      <c r="K206" t="s">
        <v>68</v>
      </c>
    </row>
    <row r="207" spans="1:11">
      <c r="A207" s="11">
        <v>45655</v>
      </c>
      <c r="B207" s="14">
        <v>1.3888888888888888E-2</v>
      </c>
      <c r="C207" s="10" t="s">
        <v>23</v>
      </c>
      <c r="D207" s="10" t="e" cm="1">
        <f t="array" ref="D207">INDEX($H$2:$H$35, MATCH(1, (A207 &gt;= $F$2:$F$35) * (A207 &lt;= $G$2:$G$35), 0))</f>
        <v>#N/A</v>
      </c>
      <c r="E207" s="10" t="str">
        <f>IF(COUNTIF('Top5'!I:I, D207) &gt; 0, "Yes", "No")</f>
        <v>No</v>
      </c>
      <c r="F207" s="10"/>
      <c r="G207">
        <v>45655</v>
      </c>
      <c r="H207">
        <v>1.3888888888888888E-2</v>
      </c>
      <c r="I207" t="s">
        <v>23</v>
      </c>
      <c r="J207" t="s">
        <v>59</v>
      </c>
      <c r="K207" t="s">
        <v>68</v>
      </c>
    </row>
    <row r="208" spans="1:11">
      <c r="A208" s="11">
        <v>45655</v>
      </c>
      <c r="B208" s="14">
        <v>0.98750000000000004</v>
      </c>
      <c r="C208" s="10" t="s">
        <v>23</v>
      </c>
      <c r="D208" s="10" t="e" cm="1">
        <f t="array" ref="D208">INDEX($H$2:$H$35, MATCH(1, (A208 &gt;= $F$2:$F$35) * (A208 &lt;= $G$2:$G$35), 0))</f>
        <v>#N/A</v>
      </c>
      <c r="E208" s="10" t="str">
        <f>IF(COUNTIF('Top5'!I:I, D208) &gt; 0, "Yes", "No")</f>
        <v>No</v>
      </c>
      <c r="F208" s="10"/>
      <c r="G208">
        <v>45655</v>
      </c>
      <c r="H208">
        <v>0.98750000000000004</v>
      </c>
      <c r="I208" t="s">
        <v>23</v>
      </c>
      <c r="J208" t="s">
        <v>59</v>
      </c>
      <c r="K208" t="s">
        <v>68</v>
      </c>
    </row>
    <row r="209" spans="1:11">
      <c r="A209" s="11">
        <v>45656</v>
      </c>
      <c r="B209" s="14">
        <v>0.41875000000000001</v>
      </c>
      <c r="C209" s="10" t="s">
        <v>22</v>
      </c>
      <c r="D209" s="10" t="e" cm="1">
        <f t="array" ref="D209">INDEX($H$2:$H$35, MATCH(1, (A209 &gt;= $F$2:$F$35) * (A209 &lt;= $G$2:$G$35), 0))</f>
        <v>#N/A</v>
      </c>
      <c r="E209" s="10" t="str">
        <f>IF(COUNTIF('Top5'!I:I, D209) &gt; 0, "Yes", "No")</f>
        <v>No</v>
      </c>
      <c r="F209" s="10"/>
      <c r="G209">
        <v>45656</v>
      </c>
      <c r="H209">
        <v>0.41875000000000001</v>
      </c>
      <c r="I209" t="s">
        <v>22</v>
      </c>
      <c r="J209" t="s">
        <v>59</v>
      </c>
      <c r="K209" t="s">
        <v>68</v>
      </c>
    </row>
    <row r="210" spans="1:11">
      <c r="A210" s="11">
        <v>45656</v>
      </c>
      <c r="B210" s="14">
        <v>0.51527777777777772</v>
      </c>
      <c r="C210" s="10" t="s">
        <v>22</v>
      </c>
      <c r="D210" s="10" t="e" cm="1">
        <f t="array" ref="D210">INDEX($H$2:$H$35, MATCH(1, (A210 &gt;= $F$2:$F$35) * (A210 &lt;= $G$2:$G$35), 0))</f>
        <v>#N/A</v>
      </c>
      <c r="E210" s="10" t="str">
        <f>IF(COUNTIF('Top5'!I:I, D210) &gt; 0, "Yes", "No")</f>
        <v>No</v>
      </c>
      <c r="F210" s="10"/>
      <c r="G210">
        <v>45656</v>
      </c>
      <c r="H210">
        <v>0.51527777777777772</v>
      </c>
      <c r="I210" t="s">
        <v>22</v>
      </c>
      <c r="J210" t="s">
        <v>59</v>
      </c>
      <c r="K210" t="s">
        <v>68</v>
      </c>
    </row>
    <row r="211" spans="1:11">
      <c r="A211" s="11">
        <v>45656</v>
      </c>
      <c r="B211" s="14">
        <v>0.51666666666666672</v>
      </c>
      <c r="C211" s="10" t="s">
        <v>22</v>
      </c>
      <c r="D211" s="10" t="e" cm="1">
        <f t="array" ref="D211">INDEX($H$2:$H$35, MATCH(1, (A211 &gt;= $F$2:$F$35) * (A211 &lt;= $G$2:$G$35), 0))</f>
        <v>#N/A</v>
      </c>
      <c r="E211" s="10" t="str">
        <f>IF(COUNTIF('Top5'!I:I, D211) &gt; 0, "Yes", "No")</f>
        <v>No</v>
      </c>
      <c r="F211" s="10"/>
      <c r="G211">
        <v>45656</v>
      </c>
      <c r="H211">
        <v>0.51666666666666672</v>
      </c>
      <c r="I211" t="s">
        <v>22</v>
      </c>
      <c r="J211" t="s">
        <v>59</v>
      </c>
      <c r="K211" t="s">
        <v>68</v>
      </c>
    </row>
    <row r="212" spans="1:11">
      <c r="A212" s="11">
        <v>45656</v>
      </c>
      <c r="B212" s="14">
        <v>0.82638888888888884</v>
      </c>
      <c r="C212" s="10" t="s">
        <v>23</v>
      </c>
      <c r="D212" s="10" t="e" cm="1">
        <f t="array" ref="D212">INDEX($H$2:$H$35, MATCH(1, (A212 &gt;= $F$2:$F$35) * (A212 &lt;= $G$2:$G$35), 0))</f>
        <v>#N/A</v>
      </c>
      <c r="E212" s="10" t="str">
        <f>IF(COUNTIF('Top5'!I:I, D212) &gt; 0, "Yes", "No")</f>
        <v>No</v>
      </c>
      <c r="F212" s="10"/>
      <c r="G212">
        <v>45656</v>
      </c>
      <c r="H212">
        <v>0.82638888888888884</v>
      </c>
      <c r="I212" t="s">
        <v>23</v>
      </c>
      <c r="J212" t="s">
        <v>59</v>
      </c>
      <c r="K212" t="s">
        <v>68</v>
      </c>
    </row>
    <row r="213" spans="1:11">
      <c r="A213" s="11">
        <v>45656</v>
      </c>
      <c r="B213" s="14">
        <v>0.86805555555555558</v>
      </c>
      <c r="C213" s="10" t="s">
        <v>23</v>
      </c>
      <c r="D213" s="10" t="e" cm="1">
        <f t="array" ref="D213">INDEX($H$2:$H$35, MATCH(1, (A213 &gt;= $F$2:$F$35) * (A213 &lt;= $G$2:$G$35), 0))</f>
        <v>#N/A</v>
      </c>
      <c r="E213" s="10" t="str">
        <f>IF(COUNTIF('Top5'!I:I, D213) &gt; 0, "Yes", "No")</f>
        <v>No</v>
      </c>
      <c r="F213" s="10"/>
      <c r="G213">
        <v>45656</v>
      </c>
      <c r="H213">
        <v>0.86805555555555558</v>
      </c>
      <c r="I213" t="s">
        <v>23</v>
      </c>
      <c r="J213" t="s">
        <v>59</v>
      </c>
      <c r="K213" t="s">
        <v>68</v>
      </c>
    </row>
    <row r="214" spans="1:11">
      <c r="A214" s="11">
        <v>45658</v>
      </c>
      <c r="B214" s="14">
        <v>0.5</v>
      </c>
      <c r="C214" s="10" t="s">
        <v>22</v>
      </c>
      <c r="D214" s="10" t="e" cm="1">
        <f t="array" ref="D214">INDEX($H$2:$H$35, MATCH(1, (A214 &gt;= $F$2:$F$35) * (A214 &lt;= $G$2:$G$35), 0))</f>
        <v>#N/A</v>
      </c>
      <c r="E214" s="10" t="str">
        <f>IF(COUNTIF('Top5'!I:I, D214) &gt; 0, "Yes", "No")</f>
        <v>No</v>
      </c>
      <c r="F214" s="10"/>
      <c r="G214">
        <v>45658</v>
      </c>
      <c r="H214">
        <v>0.5</v>
      </c>
      <c r="I214" t="s">
        <v>22</v>
      </c>
      <c r="J214" t="s">
        <v>36</v>
      </c>
      <c r="K214" t="s">
        <v>68</v>
      </c>
    </row>
    <row r="215" spans="1:11">
      <c r="A215" s="11">
        <v>45658</v>
      </c>
      <c r="B215" s="14">
        <v>0.50902777777777775</v>
      </c>
      <c r="C215" s="10" t="s">
        <v>22</v>
      </c>
      <c r="D215" s="10" t="e" cm="1">
        <f t="array" ref="D215">INDEX($H$2:$H$35, MATCH(1, (A215 &gt;= $F$2:$F$35) * (A215 &lt;= $G$2:$G$35), 0))</f>
        <v>#N/A</v>
      </c>
      <c r="E215" s="10" t="str">
        <f>IF(COUNTIF('Top5'!I:I, D215) &gt; 0, "Yes", "No")</f>
        <v>No</v>
      </c>
      <c r="F215" s="10"/>
      <c r="G215">
        <v>45658</v>
      </c>
      <c r="H215">
        <v>0.50902777777777775</v>
      </c>
      <c r="I215" t="s">
        <v>22</v>
      </c>
      <c r="J215" t="s">
        <v>36</v>
      </c>
      <c r="K215" t="s">
        <v>68</v>
      </c>
    </row>
    <row r="216" spans="1:11">
      <c r="A216" s="11">
        <v>45661</v>
      </c>
      <c r="B216" s="14">
        <v>0.99375000000000002</v>
      </c>
      <c r="C216" s="10" t="s">
        <v>23</v>
      </c>
      <c r="D216" s="10" t="e" cm="1">
        <f t="array" ref="D216">INDEX($H$2:$H$35, MATCH(1, (A216 &gt;= $F$2:$F$35) * (A216 &lt;= $G$2:$G$35), 0))</f>
        <v>#N/A</v>
      </c>
      <c r="E216" s="10" t="str">
        <f>IF(COUNTIF('Top5'!I:I, D216) &gt; 0, "Yes", "No")</f>
        <v>No</v>
      </c>
      <c r="F216" s="10"/>
      <c r="G216">
        <v>45661</v>
      </c>
      <c r="H216">
        <v>0.99375000000000002</v>
      </c>
      <c r="I216" t="s">
        <v>23</v>
      </c>
      <c r="J216" t="s">
        <v>36</v>
      </c>
      <c r="K216" t="s">
        <v>68</v>
      </c>
    </row>
    <row r="217" spans="1:11">
      <c r="A217" s="11">
        <v>45661</v>
      </c>
      <c r="B217" s="14">
        <v>0.99375000000000002</v>
      </c>
      <c r="C217" s="10" t="s">
        <v>23</v>
      </c>
      <c r="D217" s="10" t="e" cm="1">
        <f t="array" ref="D217">INDEX($H$2:$H$35, MATCH(1, (A217 &gt;= $F$2:$F$35) * (A217 &lt;= $G$2:$G$35), 0))</f>
        <v>#N/A</v>
      </c>
      <c r="E217" s="10" t="str">
        <f>IF(COUNTIF('Top5'!I:I, D217) &gt; 0, "Yes", "No")</f>
        <v>No</v>
      </c>
      <c r="F217" s="10"/>
      <c r="G217">
        <v>45661</v>
      </c>
      <c r="H217">
        <v>0.99375000000000002</v>
      </c>
      <c r="I217" t="s">
        <v>23</v>
      </c>
      <c r="J217" t="s">
        <v>36</v>
      </c>
      <c r="K217" t="s">
        <v>68</v>
      </c>
    </row>
    <row r="218" spans="1:11">
      <c r="A218" s="11">
        <v>45662</v>
      </c>
      <c r="B218" s="14">
        <v>1.4583333333333334E-2</v>
      </c>
      <c r="C218" s="10" t="s">
        <v>23</v>
      </c>
      <c r="D218" s="10" t="e" cm="1">
        <f t="array" ref="D218">INDEX($H$2:$H$35, MATCH(1, (A218 &gt;= $F$2:$F$35) * (A218 &lt;= $G$2:$G$35), 0))</f>
        <v>#N/A</v>
      </c>
      <c r="E218" s="10" t="str">
        <f>IF(COUNTIF('Top5'!I:I, D218) &gt; 0, "Yes", "No")</f>
        <v>No</v>
      </c>
      <c r="F218" s="10"/>
      <c r="G218">
        <v>45662</v>
      </c>
      <c r="H218">
        <v>1.4583333333333334E-2</v>
      </c>
      <c r="I218" t="s">
        <v>23</v>
      </c>
      <c r="J218" t="s">
        <v>36</v>
      </c>
      <c r="K218" t="s">
        <v>68</v>
      </c>
    </row>
    <row r="219" spans="1:11">
      <c r="A219" s="11">
        <v>45662</v>
      </c>
      <c r="B219" s="14">
        <v>1.4583333333333334E-2</v>
      </c>
      <c r="C219" s="10" t="s">
        <v>23</v>
      </c>
      <c r="D219" s="10" t="e" cm="1">
        <f t="array" ref="D219">INDEX($H$2:$H$35, MATCH(1, (A219 &gt;= $F$2:$F$35) * (A219 &lt;= $G$2:$G$35), 0))</f>
        <v>#N/A</v>
      </c>
      <c r="E219" s="10" t="str">
        <f>IF(COUNTIF('Top5'!I:I, D219) &gt; 0, "Yes", "No")</f>
        <v>No</v>
      </c>
      <c r="F219" s="10"/>
      <c r="G219">
        <v>45662</v>
      </c>
      <c r="H219">
        <v>1.4583333333333334E-2</v>
      </c>
      <c r="I219" t="s">
        <v>23</v>
      </c>
      <c r="J219" t="s">
        <v>36</v>
      </c>
      <c r="K219" t="s">
        <v>68</v>
      </c>
    </row>
    <row r="220" spans="1:11">
      <c r="A220" s="11">
        <v>45662</v>
      </c>
      <c r="B220" s="14">
        <v>1.4583333333333334E-2</v>
      </c>
      <c r="C220" s="10" t="s">
        <v>23</v>
      </c>
      <c r="D220" s="10" t="e" cm="1">
        <f t="array" ref="D220">INDEX($H$2:$H$35, MATCH(1, (A220 &gt;= $F$2:$F$35) * (A220 &lt;= $G$2:$G$35), 0))</f>
        <v>#N/A</v>
      </c>
      <c r="E220" s="10" t="str">
        <f>IF(COUNTIF('Top5'!I:I, D220) &gt; 0, "Yes", "No")</f>
        <v>No</v>
      </c>
      <c r="F220" s="10"/>
      <c r="G220">
        <v>45662</v>
      </c>
      <c r="H220">
        <v>1.4583333333333334E-2</v>
      </c>
      <c r="I220" t="s">
        <v>23</v>
      </c>
      <c r="J220" t="s">
        <v>36</v>
      </c>
      <c r="K220" t="s">
        <v>68</v>
      </c>
    </row>
    <row r="221" spans="1:11">
      <c r="A221" s="11">
        <v>45662</v>
      </c>
      <c r="B221" s="14">
        <v>1.4583333333333334E-2</v>
      </c>
      <c r="C221" s="10" t="s">
        <v>23</v>
      </c>
      <c r="D221" s="10" t="e" cm="1">
        <f t="array" ref="D221">INDEX($H$2:$H$35, MATCH(1, (A221 &gt;= $F$2:$F$35) * (A221 &lt;= $G$2:$G$35), 0))</f>
        <v>#N/A</v>
      </c>
      <c r="E221" s="10" t="str">
        <f>IF(COUNTIF('Top5'!I:I, D221) &gt; 0, "Yes", "No")</f>
        <v>No</v>
      </c>
      <c r="F221" s="10"/>
      <c r="G221">
        <v>45662</v>
      </c>
      <c r="H221">
        <v>1.4583333333333334E-2</v>
      </c>
      <c r="I221" t="s">
        <v>23</v>
      </c>
      <c r="J221" t="s">
        <v>36</v>
      </c>
      <c r="K221" t="s">
        <v>68</v>
      </c>
    </row>
    <row r="222" spans="1:11">
      <c r="A222" s="11">
        <v>45662</v>
      </c>
      <c r="B222" s="14">
        <v>1.4583333333333334E-2</v>
      </c>
      <c r="C222" s="10" t="s">
        <v>23</v>
      </c>
      <c r="D222" s="10" t="e" cm="1">
        <f t="array" ref="D222">INDEX($H$2:$H$35, MATCH(1, (A222 &gt;= $F$2:$F$35) * (A222 &lt;= $G$2:$G$35), 0))</f>
        <v>#N/A</v>
      </c>
      <c r="E222" s="10" t="str">
        <f>IF(COUNTIF('Top5'!I:I, D222) &gt; 0, "Yes", "No")</f>
        <v>No</v>
      </c>
      <c r="F222" s="10"/>
      <c r="G222">
        <v>45662</v>
      </c>
      <c r="H222">
        <v>1.4583333333333334E-2</v>
      </c>
      <c r="I222" t="s">
        <v>23</v>
      </c>
      <c r="J222" t="s">
        <v>36</v>
      </c>
      <c r="K222" t="s">
        <v>68</v>
      </c>
    </row>
    <row r="223" spans="1:11">
      <c r="A223" s="11">
        <v>45662</v>
      </c>
      <c r="B223" s="14">
        <v>1.4583333333333334E-2</v>
      </c>
      <c r="C223" s="10" t="s">
        <v>23</v>
      </c>
      <c r="D223" s="10" t="e" cm="1">
        <f t="array" ref="D223">INDEX($H$2:$H$35, MATCH(1, (A223 &gt;= $F$2:$F$35) * (A223 &lt;= $G$2:$G$35), 0))</f>
        <v>#N/A</v>
      </c>
      <c r="E223" s="10" t="str">
        <f>IF(COUNTIF('Top5'!I:I, D223) &gt; 0, "Yes", "No")</f>
        <v>No</v>
      </c>
      <c r="F223" s="10"/>
      <c r="G223">
        <v>45662</v>
      </c>
      <c r="H223">
        <v>1.4583333333333334E-2</v>
      </c>
      <c r="I223" t="s">
        <v>23</v>
      </c>
      <c r="J223" t="s">
        <v>36</v>
      </c>
      <c r="K223" t="s">
        <v>68</v>
      </c>
    </row>
    <row r="224" spans="1:11">
      <c r="A224" s="11">
        <v>45662</v>
      </c>
      <c r="B224" s="14">
        <v>1.4583333333333334E-2</v>
      </c>
      <c r="C224" s="10" t="s">
        <v>23</v>
      </c>
      <c r="D224" s="10" t="e" cm="1">
        <f t="array" ref="D224">INDEX($H$2:$H$35, MATCH(1, (A224 &gt;= $F$2:$F$35) * (A224 &lt;= $G$2:$G$35), 0))</f>
        <v>#N/A</v>
      </c>
      <c r="E224" s="10" t="str">
        <f>IF(COUNTIF('Top5'!I:I, D224) &gt; 0, "Yes", "No")</f>
        <v>No</v>
      </c>
      <c r="F224" s="10"/>
      <c r="G224">
        <v>45662</v>
      </c>
      <c r="H224">
        <v>1.4583333333333334E-2</v>
      </c>
      <c r="I224" t="s">
        <v>23</v>
      </c>
      <c r="J224" t="s">
        <v>36</v>
      </c>
      <c r="K224" t="s">
        <v>68</v>
      </c>
    </row>
    <row r="225" spans="1:11">
      <c r="A225" s="11">
        <v>45662</v>
      </c>
      <c r="B225" s="14">
        <v>1.4583333333333334E-2</v>
      </c>
      <c r="C225" s="10" t="s">
        <v>23</v>
      </c>
      <c r="D225" s="10" t="e" cm="1">
        <f t="array" ref="D225">INDEX($H$2:$H$35, MATCH(1, (A225 &gt;= $F$2:$F$35) * (A225 &lt;= $G$2:$G$35), 0))</f>
        <v>#N/A</v>
      </c>
      <c r="E225" s="10" t="str">
        <f>IF(COUNTIF('Top5'!I:I, D225) &gt; 0, "Yes", "No")</f>
        <v>No</v>
      </c>
      <c r="F225" s="10"/>
      <c r="G225">
        <v>45662</v>
      </c>
      <c r="H225">
        <v>1.4583333333333334E-2</v>
      </c>
      <c r="I225" t="s">
        <v>23</v>
      </c>
      <c r="J225" t="s">
        <v>36</v>
      </c>
      <c r="K225" t="s">
        <v>68</v>
      </c>
    </row>
    <row r="226" spans="1:11">
      <c r="A226" s="11">
        <v>45662</v>
      </c>
      <c r="B226" s="14">
        <v>1.4583333333333334E-2</v>
      </c>
      <c r="C226" s="10" t="s">
        <v>23</v>
      </c>
      <c r="D226" s="10" t="e" cm="1">
        <f t="array" ref="D226">INDEX($H$2:$H$35, MATCH(1, (A226 &gt;= $F$2:$F$35) * (A226 &lt;= $G$2:$G$35), 0))</f>
        <v>#N/A</v>
      </c>
      <c r="E226" s="10" t="str">
        <f>IF(COUNTIF('Top5'!I:I, D226) &gt; 0, "Yes", "No")</f>
        <v>No</v>
      </c>
      <c r="F226" s="10"/>
      <c r="G226">
        <v>45662</v>
      </c>
      <c r="H226">
        <v>1.4583333333333334E-2</v>
      </c>
      <c r="I226" t="s">
        <v>23</v>
      </c>
      <c r="J226" t="s">
        <v>36</v>
      </c>
      <c r="K226" t="s">
        <v>68</v>
      </c>
    </row>
    <row r="227" spans="1:11">
      <c r="A227" s="11">
        <v>45662</v>
      </c>
      <c r="B227" s="14">
        <v>0.7</v>
      </c>
      <c r="C227" s="10" t="s">
        <v>22</v>
      </c>
      <c r="D227" s="10" t="e" cm="1">
        <f t="array" ref="D227">INDEX($H$2:$H$35, MATCH(1, (A227 &gt;= $F$2:$F$35) * (A227 &lt;= $G$2:$G$35), 0))</f>
        <v>#N/A</v>
      </c>
      <c r="E227" s="10" t="str">
        <f>IF(COUNTIF('Top5'!I:I, D227) &gt; 0, "Yes", "No")</f>
        <v>No</v>
      </c>
      <c r="F227" s="10"/>
      <c r="G227">
        <v>45662</v>
      </c>
      <c r="H227">
        <v>0.7</v>
      </c>
      <c r="I227" t="s">
        <v>22</v>
      </c>
      <c r="J227" t="s">
        <v>36</v>
      </c>
      <c r="K227" t="s">
        <v>68</v>
      </c>
    </row>
    <row r="228" spans="1:11">
      <c r="A228" s="11">
        <v>45663</v>
      </c>
      <c r="B228" s="14">
        <v>2.0833333333333333E-3</v>
      </c>
      <c r="C228" s="10" t="s">
        <v>23</v>
      </c>
      <c r="D228" s="10" t="e" cm="1">
        <f t="array" ref="D228">INDEX($H$2:$H$35, MATCH(1, (A228 &gt;= $F$2:$F$35) * (A228 &lt;= $G$2:$G$35), 0))</f>
        <v>#N/A</v>
      </c>
      <c r="E228" s="10" t="str">
        <f>IF(COUNTIF('Top5'!I:I, D228) &gt; 0, "Yes", "No")</f>
        <v>No</v>
      </c>
      <c r="F228" s="10"/>
      <c r="G228">
        <v>45663</v>
      </c>
      <c r="H228">
        <v>2.0833333333333333E-3</v>
      </c>
      <c r="I228" t="s">
        <v>23</v>
      </c>
      <c r="J228" t="s">
        <v>36</v>
      </c>
      <c r="K228" t="s">
        <v>68</v>
      </c>
    </row>
    <row r="229" spans="1:11">
      <c r="A229" s="11">
        <v>45663</v>
      </c>
      <c r="B229" s="14">
        <v>2.0833333333333333E-3</v>
      </c>
      <c r="C229" s="10" t="s">
        <v>23</v>
      </c>
      <c r="D229" s="10" t="e" cm="1">
        <f t="array" ref="D229">INDEX($H$2:$H$35, MATCH(1, (A229 &gt;= $F$2:$F$35) * (A229 &lt;= $G$2:$G$35), 0))</f>
        <v>#N/A</v>
      </c>
      <c r="E229" s="10" t="str">
        <f>IF(COUNTIF('Top5'!I:I, D229) &gt; 0, "Yes", "No")</f>
        <v>No</v>
      </c>
      <c r="F229" s="10"/>
      <c r="G229">
        <v>45663</v>
      </c>
      <c r="H229">
        <v>2.0833333333333333E-3</v>
      </c>
      <c r="I229" t="s">
        <v>23</v>
      </c>
      <c r="J229" t="s">
        <v>36</v>
      </c>
      <c r="K229" t="s">
        <v>68</v>
      </c>
    </row>
    <row r="230" spans="1:11">
      <c r="A230" s="11">
        <v>45663</v>
      </c>
      <c r="B230" s="14">
        <v>2.0833333333333333E-3</v>
      </c>
      <c r="C230" s="10" t="s">
        <v>23</v>
      </c>
      <c r="D230" s="10" t="e" cm="1">
        <f t="array" ref="D230">INDEX($H$2:$H$35, MATCH(1, (A230 &gt;= $F$2:$F$35) * (A230 &lt;= $G$2:$G$35), 0))</f>
        <v>#N/A</v>
      </c>
      <c r="E230" s="10" t="str">
        <f>IF(COUNTIF('Top5'!I:I, D230) &gt; 0, "Yes", "No")</f>
        <v>No</v>
      </c>
      <c r="F230" s="10"/>
      <c r="G230">
        <v>45663</v>
      </c>
      <c r="H230">
        <v>2.0833333333333333E-3</v>
      </c>
      <c r="I230" t="s">
        <v>23</v>
      </c>
      <c r="J230" t="s">
        <v>36</v>
      </c>
      <c r="K230" t="s">
        <v>68</v>
      </c>
    </row>
    <row r="231" spans="1:11">
      <c r="A231" s="11">
        <v>45663</v>
      </c>
      <c r="B231" s="14">
        <v>0.9916666666666667</v>
      </c>
      <c r="C231" s="10" t="s">
        <v>23</v>
      </c>
      <c r="D231" s="10" t="e" cm="1">
        <f t="array" ref="D231">INDEX($H$2:$H$35, MATCH(1, (A231 &gt;= $F$2:$F$35) * (A231 &lt;= $G$2:$G$35), 0))</f>
        <v>#N/A</v>
      </c>
      <c r="E231" s="10" t="str">
        <f>IF(COUNTIF('Top5'!I:I, D231) &gt; 0, "Yes", "No")</f>
        <v>No</v>
      </c>
      <c r="F231" s="10"/>
      <c r="G231">
        <v>45663</v>
      </c>
      <c r="H231">
        <v>0.9916666666666667</v>
      </c>
      <c r="I231" t="s">
        <v>23</v>
      </c>
      <c r="J231" t="s">
        <v>36</v>
      </c>
      <c r="K231" t="s">
        <v>68</v>
      </c>
    </row>
    <row r="232" spans="1:11">
      <c r="A232" s="11">
        <v>45666</v>
      </c>
      <c r="B232" s="14">
        <v>1.3888888888888888E-2</v>
      </c>
      <c r="C232" s="10" t="s">
        <v>23</v>
      </c>
      <c r="D232" s="10" t="e" cm="1">
        <f t="array" ref="D232">INDEX($H$2:$H$35, MATCH(1, (A232 &gt;= $F$2:$F$35) * (A232 &lt;= $G$2:$G$35), 0))</f>
        <v>#N/A</v>
      </c>
      <c r="E232" s="10" t="str">
        <f>IF(COUNTIF('Top5'!I:I, D232) &gt; 0, "Yes", "No")</f>
        <v>No</v>
      </c>
      <c r="F232" s="10"/>
      <c r="G232">
        <v>45666</v>
      </c>
      <c r="H232">
        <v>1.3888888888888888E-2</v>
      </c>
      <c r="I232" t="s">
        <v>23</v>
      </c>
      <c r="J232" t="s">
        <v>60</v>
      </c>
      <c r="K232" t="s">
        <v>68</v>
      </c>
    </row>
    <row r="233" spans="1:11">
      <c r="A233" s="11">
        <v>45666</v>
      </c>
      <c r="B233" s="14">
        <v>1.3888888888888888E-2</v>
      </c>
      <c r="C233" s="10" t="s">
        <v>23</v>
      </c>
      <c r="D233" s="10" t="e" cm="1">
        <f t="array" ref="D233">INDEX($H$2:$H$35, MATCH(1, (A233 &gt;= $F$2:$F$35) * (A233 &lt;= $G$2:$G$35), 0))</f>
        <v>#N/A</v>
      </c>
      <c r="E233" s="10" t="str">
        <f>IF(COUNTIF('Top5'!I:I, D233) &gt; 0, "Yes", "No")</f>
        <v>No</v>
      </c>
      <c r="F233" s="10"/>
      <c r="G233">
        <v>45666</v>
      </c>
      <c r="H233">
        <v>1.3888888888888888E-2</v>
      </c>
      <c r="I233" t="s">
        <v>23</v>
      </c>
      <c r="J233" t="s">
        <v>60</v>
      </c>
      <c r="K233" t="s">
        <v>68</v>
      </c>
    </row>
    <row r="234" spans="1:11">
      <c r="A234" s="11">
        <v>45666</v>
      </c>
      <c r="B234" s="14">
        <v>1.3888888888888888E-2</v>
      </c>
      <c r="C234" s="10" t="s">
        <v>23</v>
      </c>
      <c r="D234" s="10" t="e" cm="1">
        <f t="array" ref="D234">INDEX($H$2:$H$35, MATCH(1, (A234 &gt;= $F$2:$F$35) * (A234 &lt;= $G$2:$G$35), 0))</f>
        <v>#N/A</v>
      </c>
      <c r="E234" s="10" t="str">
        <f>IF(COUNTIF('Top5'!I:I, D234) &gt; 0, "Yes", "No")</f>
        <v>No</v>
      </c>
      <c r="F234" s="10"/>
      <c r="G234">
        <v>45666</v>
      </c>
      <c r="H234">
        <v>1.3888888888888888E-2</v>
      </c>
      <c r="I234" t="s">
        <v>23</v>
      </c>
      <c r="J234" t="s">
        <v>60</v>
      </c>
      <c r="K234" t="s">
        <v>68</v>
      </c>
    </row>
    <row r="235" spans="1:11">
      <c r="A235" s="11">
        <v>45666</v>
      </c>
      <c r="B235" s="14">
        <v>1.3888888888888888E-2</v>
      </c>
      <c r="C235" s="10" t="s">
        <v>23</v>
      </c>
      <c r="D235" s="10" t="e" cm="1">
        <f t="array" ref="D235">INDEX($H$2:$H$35, MATCH(1, (A235 &gt;= $F$2:$F$35) * (A235 &lt;= $G$2:$G$35), 0))</f>
        <v>#N/A</v>
      </c>
      <c r="E235" s="10" t="str">
        <f>IF(COUNTIF('Top5'!I:I, D235) &gt; 0, "Yes", "No")</f>
        <v>No</v>
      </c>
      <c r="F235" s="10"/>
      <c r="G235">
        <v>45666</v>
      </c>
      <c r="H235">
        <v>1.3888888888888888E-2</v>
      </c>
      <c r="I235" t="s">
        <v>23</v>
      </c>
      <c r="J235" t="s">
        <v>60</v>
      </c>
      <c r="K235" t="s">
        <v>68</v>
      </c>
    </row>
    <row r="236" spans="1:11">
      <c r="A236" s="11">
        <v>45666</v>
      </c>
      <c r="B236" s="14">
        <v>1.3888888888888888E-2</v>
      </c>
      <c r="C236" s="10" t="s">
        <v>23</v>
      </c>
      <c r="D236" s="10" t="e" cm="1">
        <f t="array" ref="D236">INDEX($H$2:$H$35, MATCH(1, (A236 &gt;= $F$2:$F$35) * (A236 &lt;= $G$2:$G$35), 0))</f>
        <v>#N/A</v>
      </c>
      <c r="E236" s="10" t="str">
        <f>IF(COUNTIF('Top5'!I:I, D236) &gt; 0, "Yes", "No")</f>
        <v>No</v>
      </c>
      <c r="F236" s="10"/>
      <c r="G236">
        <v>45666</v>
      </c>
      <c r="H236">
        <v>1.3888888888888888E-2</v>
      </c>
      <c r="I236" t="s">
        <v>23</v>
      </c>
      <c r="J236" t="s">
        <v>60</v>
      </c>
      <c r="K236" t="s">
        <v>68</v>
      </c>
    </row>
    <row r="237" spans="1:11">
      <c r="A237" s="11">
        <v>45666</v>
      </c>
      <c r="B237" s="14">
        <v>1.3888888888888888E-2</v>
      </c>
      <c r="C237" s="10" t="s">
        <v>23</v>
      </c>
      <c r="D237" s="10" t="e" cm="1">
        <f t="array" ref="D237">INDEX($H$2:$H$35, MATCH(1, (A237 &gt;= $F$2:$F$35) * (A237 &lt;= $G$2:$G$35), 0))</f>
        <v>#N/A</v>
      </c>
      <c r="E237" s="10" t="str">
        <f>IF(COUNTIF('Top5'!I:I, D237) &gt; 0, "Yes", "No")</f>
        <v>No</v>
      </c>
      <c r="F237" s="10"/>
      <c r="G237">
        <v>45666</v>
      </c>
      <c r="H237">
        <v>1.3888888888888888E-2</v>
      </c>
      <c r="I237" t="s">
        <v>23</v>
      </c>
      <c r="J237" t="s">
        <v>60</v>
      </c>
      <c r="K237" t="s">
        <v>68</v>
      </c>
    </row>
    <row r="238" spans="1:11">
      <c r="A238" s="11">
        <v>45666</v>
      </c>
      <c r="B238" s="14">
        <v>1.3888888888888888E-2</v>
      </c>
      <c r="C238" s="10" t="s">
        <v>23</v>
      </c>
      <c r="D238" s="10" t="e" cm="1">
        <f t="array" ref="D238">INDEX($H$2:$H$35, MATCH(1, (A238 &gt;= $F$2:$F$35) * (A238 &lt;= $G$2:$G$35), 0))</f>
        <v>#N/A</v>
      </c>
      <c r="E238" s="10" t="str">
        <f>IF(COUNTIF('Top5'!I:I, D238) &gt; 0, "Yes", "No")</f>
        <v>No</v>
      </c>
      <c r="F238" s="10"/>
      <c r="G238">
        <v>45666</v>
      </c>
      <c r="H238">
        <v>1.3888888888888888E-2</v>
      </c>
      <c r="I238" t="s">
        <v>23</v>
      </c>
      <c r="J238" t="s">
        <v>60</v>
      </c>
      <c r="K238" t="s">
        <v>68</v>
      </c>
    </row>
    <row r="239" spans="1:11">
      <c r="A239" s="11">
        <v>45666</v>
      </c>
      <c r="B239" s="14">
        <v>1.3888888888888888E-2</v>
      </c>
      <c r="C239" s="10" t="s">
        <v>23</v>
      </c>
      <c r="D239" s="10" t="e" cm="1">
        <f t="array" ref="D239">INDEX($H$2:$H$35, MATCH(1, (A239 &gt;= $F$2:$F$35) * (A239 &lt;= $G$2:$G$35), 0))</f>
        <v>#N/A</v>
      </c>
      <c r="E239" s="10" t="str">
        <f>IF(COUNTIF('Top5'!I:I, D239) &gt; 0, "Yes", "No")</f>
        <v>No</v>
      </c>
      <c r="F239" s="10"/>
      <c r="G239">
        <v>45666</v>
      </c>
      <c r="H239">
        <v>1.3888888888888888E-2</v>
      </c>
      <c r="I239" t="s">
        <v>23</v>
      </c>
      <c r="J239" t="s">
        <v>60</v>
      </c>
      <c r="K239" t="s">
        <v>68</v>
      </c>
    </row>
    <row r="240" spans="1:11">
      <c r="A240" s="11">
        <v>45666</v>
      </c>
      <c r="B240" s="14">
        <v>0.43819444444444444</v>
      </c>
      <c r="C240" s="10" t="s">
        <v>22</v>
      </c>
      <c r="D240" s="10" t="e" cm="1">
        <f t="array" ref="D240">INDEX($H$2:$H$35, MATCH(1, (A240 &gt;= $F$2:$F$35) * (A240 &lt;= $G$2:$G$35), 0))</f>
        <v>#N/A</v>
      </c>
      <c r="E240" s="10" t="str">
        <f>IF(COUNTIF('Top5'!I:I, D240) &gt; 0, "Yes", "No")</f>
        <v>No</v>
      </c>
      <c r="F240" s="10"/>
      <c r="G240">
        <v>45666</v>
      </c>
      <c r="H240">
        <v>0.43819444444444444</v>
      </c>
      <c r="I240" t="s">
        <v>22</v>
      </c>
      <c r="J240" t="s">
        <v>60</v>
      </c>
      <c r="K240" t="s">
        <v>68</v>
      </c>
    </row>
    <row r="241" spans="1:11">
      <c r="A241" s="11">
        <v>45666</v>
      </c>
      <c r="B241" s="14">
        <v>0.43819444444444444</v>
      </c>
      <c r="C241" s="10" t="s">
        <v>22</v>
      </c>
      <c r="D241" s="10" t="e" cm="1">
        <f t="array" ref="D241">INDEX($H$2:$H$35, MATCH(1, (A241 &gt;= $F$2:$F$35) * (A241 &lt;= $G$2:$G$35), 0))</f>
        <v>#N/A</v>
      </c>
      <c r="E241" s="10" t="str">
        <f>IF(COUNTIF('Top5'!I:I, D241) &gt; 0, "Yes", "No")</f>
        <v>No</v>
      </c>
      <c r="F241" s="10"/>
      <c r="G241">
        <v>45666</v>
      </c>
      <c r="H241">
        <v>0.43819444444444444</v>
      </c>
      <c r="I241" t="s">
        <v>22</v>
      </c>
      <c r="J241" t="s">
        <v>60</v>
      </c>
      <c r="K241" t="s">
        <v>68</v>
      </c>
    </row>
    <row r="242" spans="1:11">
      <c r="A242" s="11">
        <v>45666</v>
      </c>
      <c r="B242" s="14">
        <v>0.44444444444444442</v>
      </c>
      <c r="C242" s="10" t="s">
        <v>22</v>
      </c>
      <c r="D242" s="10" t="e" cm="1">
        <f t="array" ref="D242">INDEX($H$2:$H$35, MATCH(1, (A242 &gt;= $F$2:$F$35) * (A242 &lt;= $G$2:$G$35), 0))</f>
        <v>#N/A</v>
      </c>
      <c r="E242" s="10" t="str">
        <f>IF(COUNTIF('Top5'!I:I, D242) &gt; 0, "Yes", "No")</f>
        <v>No</v>
      </c>
      <c r="F242" s="10"/>
      <c r="G242">
        <v>45666</v>
      </c>
      <c r="H242">
        <v>0.44444444444444442</v>
      </c>
      <c r="I242" t="s">
        <v>22</v>
      </c>
      <c r="J242" t="s">
        <v>60</v>
      </c>
      <c r="K242" t="s">
        <v>68</v>
      </c>
    </row>
    <row r="243" spans="1:11">
      <c r="A243" s="11">
        <v>45666</v>
      </c>
      <c r="B243" s="14">
        <v>0.4513888888888889</v>
      </c>
      <c r="C243" s="10" t="s">
        <v>22</v>
      </c>
      <c r="D243" s="10" t="e" cm="1">
        <f t="array" ref="D243">INDEX($H$2:$H$35, MATCH(1, (A243 &gt;= $F$2:$F$35) * (A243 &lt;= $G$2:$G$35), 0))</f>
        <v>#N/A</v>
      </c>
      <c r="E243" s="10" t="str">
        <f>IF(COUNTIF('Top5'!I:I, D243) &gt; 0, "Yes", "No")</f>
        <v>No</v>
      </c>
      <c r="F243" s="10"/>
      <c r="G243">
        <v>45666</v>
      </c>
      <c r="H243">
        <v>0.4513888888888889</v>
      </c>
      <c r="I243" t="s">
        <v>22</v>
      </c>
      <c r="J243" t="s">
        <v>60</v>
      </c>
      <c r="K243" t="s">
        <v>68</v>
      </c>
    </row>
    <row r="244" spans="1:11">
      <c r="A244" s="11">
        <v>45666</v>
      </c>
      <c r="B244" s="14">
        <v>0.76180555555555551</v>
      </c>
      <c r="C244" s="10" t="s">
        <v>23</v>
      </c>
      <c r="D244" s="10" t="e" cm="1">
        <f t="array" ref="D244">INDEX($H$2:$H$35, MATCH(1, (A244 &gt;= $F$2:$F$35) * (A244 &lt;= $G$2:$G$35), 0))</f>
        <v>#N/A</v>
      </c>
      <c r="E244" s="10" t="str">
        <f>IF(COUNTIF('Top5'!I:I, D244) &gt; 0, "Yes", "No")</f>
        <v>No</v>
      </c>
      <c r="F244" s="10"/>
      <c r="G244">
        <v>45666</v>
      </c>
      <c r="H244">
        <v>0.76180555555555551</v>
      </c>
      <c r="I244" t="s">
        <v>23</v>
      </c>
      <c r="J244" t="s">
        <v>60</v>
      </c>
      <c r="K244" t="s">
        <v>68</v>
      </c>
    </row>
    <row r="245" spans="1:11">
      <c r="A245" s="11">
        <v>45666</v>
      </c>
      <c r="B245" s="14">
        <v>0.80555555555555558</v>
      </c>
      <c r="C245" s="10" t="s">
        <v>23</v>
      </c>
      <c r="D245" s="10" t="e" cm="1">
        <f t="array" ref="D245">INDEX($H$2:$H$35, MATCH(1, (A245 &gt;= $F$2:$F$35) * (A245 &lt;= $G$2:$G$35), 0))</f>
        <v>#N/A</v>
      </c>
      <c r="E245" s="10" t="str">
        <f>IF(COUNTIF('Top5'!I:I, D245) &gt; 0, "Yes", "No")</f>
        <v>No</v>
      </c>
      <c r="F245" s="10"/>
      <c r="G245">
        <v>45666</v>
      </c>
      <c r="H245">
        <v>0.80555555555555558</v>
      </c>
      <c r="I245" t="s">
        <v>23</v>
      </c>
      <c r="J245" t="s">
        <v>60</v>
      </c>
      <c r="K245" t="s">
        <v>68</v>
      </c>
    </row>
    <row r="246" spans="1:11">
      <c r="A246" s="11">
        <v>45667</v>
      </c>
      <c r="B246" s="14">
        <v>4.1666666666666666E-3</v>
      </c>
      <c r="C246" s="10" t="s">
        <v>23</v>
      </c>
      <c r="D246" s="10" t="e" cm="1">
        <f t="array" ref="D246">INDEX($H$2:$H$35, MATCH(1, (A246 &gt;= $F$2:$F$35) * (A246 &lt;= $G$2:$G$35), 0))</f>
        <v>#N/A</v>
      </c>
      <c r="E246" s="10" t="str">
        <f>IF(COUNTIF('Top5'!I:I, D246) &gt; 0, "Yes", "No")</f>
        <v>No</v>
      </c>
      <c r="F246" s="10"/>
      <c r="G246">
        <v>45667</v>
      </c>
      <c r="H246">
        <v>4.1666666666666666E-3</v>
      </c>
      <c r="I246" t="s">
        <v>23</v>
      </c>
      <c r="J246" t="s">
        <v>60</v>
      </c>
      <c r="K246" t="s">
        <v>68</v>
      </c>
    </row>
    <row r="247" spans="1:11">
      <c r="A247" s="11">
        <v>45667</v>
      </c>
      <c r="B247" s="14">
        <v>0.48472222222222222</v>
      </c>
      <c r="C247" s="10" t="s">
        <v>22</v>
      </c>
      <c r="D247" s="10" t="e" cm="1">
        <f t="array" ref="D247">INDEX($H$2:$H$35, MATCH(1, (A247 &gt;= $F$2:$F$35) * (A247 &lt;= $G$2:$G$35), 0))</f>
        <v>#N/A</v>
      </c>
      <c r="E247" s="10" t="str">
        <f>IF(COUNTIF('Top5'!I:I, D247) &gt; 0, "Yes", "No")</f>
        <v>No</v>
      </c>
      <c r="F247" s="10"/>
      <c r="G247">
        <v>45667</v>
      </c>
      <c r="H247">
        <v>0.48472222222222222</v>
      </c>
      <c r="I247" t="s">
        <v>22</v>
      </c>
      <c r="J247" t="s">
        <v>60</v>
      </c>
      <c r="K247" t="s">
        <v>68</v>
      </c>
    </row>
    <row r="248" spans="1:11">
      <c r="A248" s="11">
        <v>45667</v>
      </c>
      <c r="B248" s="14">
        <v>0.48472222222222222</v>
      </c>
      <c r="C248" s="10" t="s">
        <v>22</v>
      </c>
      <c r="D248" s="10" t="e" cm="1">
        <f t="array" ref="D248">INDEX($H$2:$H$35, MATCH(1, (A248 &gt;= $F$2:$F$35) * (A248 &lt;= $G$2:$G$35), 0))</f>
        <v>#N/A</v>
      </c>
      <c r="E248" s="10" t="str">
        <f>IF(COUNTIF('Top5'!I:I, D248) &gt; 0, "Yes", "No")</f>
        <v>No</v>
      </c>
      <c r="F248" s="10"/>
      <c r="G248">
        <v>45667</v>
      </c>
      <c r="H248">
        <v>0.48472222222222222</v>
      </c>
      <c r="I248" t="s">
        <v>22</v>
      </c>
      <c r="J248" t="s">
        <v>60</v>
      </c>
      <c r="K248" t="s">
        <v>68</v>
      </c>
    </row>
    <row r="249" spans="1:11">
      <c r="A249" s="11">
        <v>45667</v>
      </c>
      <c r="B249" s="14">
        <v>0.75277777777777777</v>
      </c>
      <c r="C249" s="10" t="s">
        <v>23</v>
      </c>
      <c r="D249" s="10" t="e" cm="1">
        <f t="array" ref="D249">INDEX($H$2:$H$35, MATCH(1, (A249 &gt;= $F$2:$F$35) * (A249 &lt;= $G$2:$G$35), 0))</f>
        <v>#N/A</v>
      </c>
      <c r="E249" s="10" t="str">
        <f>IF(COUNTIF('Top5'!I:I, D249) &gt; 0, "Yes", "No")</f>
        <v>No</v>
      </c>
      <c r="F249" s="10"/>
      <c r="G249">
        <v>45667</v>
      </c>
      <c r="H249">
        <v>0.75277777777777777</v>
      </c>
      <c r="I249" t="s">
        <v>23</v>
      </c>
      <c r="J249" t="s">
        <v>60</v>
      </c>
      <c r="K249" t="s">
        <v>68</v>
      </c>
    </row>
    <row r="250" spans="1:11">
      <c r="A250" s="11">
        <v>45667</v>
      </c>
      <c r="B250" s="14">
        <v>0.77361111111111114</v>
      </c>
      <c r="C250" s="10" t="s">
        <v>23</v>
      </c>
      <c r="D250" s="10" t="e" cm="1">
        <f t="array" ref="D250">INDEX($H$2:$H$35, MATCH(1, (A250 &gt;= $F$2:$F$35) * (A250 &lt;= $G$2:$G$35), 0))</f>
        <v>#N/A</v>
      </c>
      <c r="E250" s="10" t="str">
        <f>IF(COUNTIF('Top5'!I:I, D250) &gt; 0, "Yes", "No")</f>
        <v>No</v>
      </c>
      <c r="F250" s="10"/>
      <c r="G250">
        <v>45667</v>
      </c>
      <c r="H250">
        <v>0.77361111111111114</v>
      </c>
      <c r="I250" t="s">
        <v>23</v>
      </c>
      <c r="J250" t="s">
        <v>60</v>
      </c>
      <c r="K250" t="s">
        <v>68</v>
      </c>
    </row>
    <row r="251" spans="1:11">
      <c r="A251" s="11">
        <v>45667</v>
      </c>
      <c r="B251" s="14">
        <v>0.77569444444444446</v>
      </c>
      <c r="C251" s="10" t="s">
        <v>23</v>
      </c>
      <c r="D251" s="10" t="e" cm="1">
        <f t="array" ref="D251">INDEX($H$2:$H$35, MATCH(1, (A251 &gt;= $F$2:$F$35) * (A251 &lt;= $G$2:$G$35), 0))</f>
        <v>#N/A</v>
      </c>
      <c r="E251" s="10" t="str">
        <f>IF(COUNTIF('Top5'!I:I, D251) &gt; 0, "Yes", "No")</f>
        <v>No</v>
      </c>
      <c r="F251" s="10"/>
      <c r="G251">
        <v>45667</v>
      </c>
      <c r="H251">
        <v>0.77569444444444446</v>
      </c>
      <c r="I251" t="s">
        <v>23</v>
      </c>
      <c r="J251" t="s">
        <v>60</v>
      </c>
      <c r="K251" t="s">
        <v>68</v>
      </c>
    </row>
    <row r="252" spans="1:11">
      <c r="A252" s="11">
        <v>45667</v>
      </c>
      <c r="B252" s="14">
        <v>0.78888888888888886</v>
      </c>
      <c r="C252" s="10" t="s">
        <v>23</v>
      </c>
      <c r="D252" s="10" t="e" cm="1">
        <f t="array" ref="D252">INDEX($H$2:$H$35, MATCH(1, (A252 &gt;= $F$2:$F$35) * (A252 &lt;= $G$2:$G$35), 0))</f>
        <v>#N/A</v>
      </c>
      <c r="E252" s="10" t="str">
        <f>IF(COUNTIF('Top5'!I:I, D252) &gt; 0, "Yes", "No")</f>
        <v>No</v>
      </c>
      <c r="F252" s="10"/>
      <c r="G252">
        <v>45667</v>
      </c>
      <c r="H252">
        <v>0.78888888888888886</v>
      </c>
      <c r="I252" t="s">
        <v>23</v>
      </c>
      <c r="J252" t="s">
        <v>60</v>
      </c>
      <c r="K252" t="s">
        <v>68</v>
      </c>
    </row>
    <row r="253" spans="1:11">
      <c r="A253" s="11">
        <v>45668</v>
      </c>
      <c r="B253" s="14">
        <v>1.3888888888888889E-3</v>
      </c>
      <c r="C253" s="10" t="s">
        <v>23</v>
      </c>
      <c r="D253" s="10" t="e" cm="1">
        <f t="array" ref="D253">INDEX($H$2:$H$35, MATCH(1, (A253 &gt;= $F$2:$F$35) * (A253 &lt;= $G$2:$G$35), 0))</f>
        <v>#N/A</v>
      </c>
      <c r="E253" s="10" t="str">
        <f>IF(COUNTIF('Top5'!I:I, D253) &gt; 0, "Yes", "No")</f>
        <v>No</v>
      </c>
      <c r="F253" s="10"/>
      <c r="G253">
        <v>45668</v>
      </c>
      <c r="H253">
        <v>1.3888888888888889E-3</v>
      </c>
      <c r="I253" t="s">
        <v>23</v>
      </c>
      <c r="J253" t="s">
        <v>60</v>
      </c>
      <c r="K253" t="s">
        <v>68</v>
      </c>
    </row>
    <row r="254" spans="1:11">
      <c r="A254" s="11">
        <v>45668</v>
      </c>
      <c r="B254" s="14">
        <v>2.0833333333333333E-3</v>
      </c>
      <c r="C254" s="10" t="s">
        <v>23</v>
      </c>
      <c r="D254" s="10" t="e" cm="1">
        <f t="array" ref="D254">INDEX($H$2:$H$35, MATCH(1, (A254 &gt;= $F$2:$F$35) * (A254 &lt;= $G$2:$G$35), 0))</f>
        <v>#N/A</v>
      </c>
      <c r="E254" s="10" t="str">
        <f>IF(COUNTIF('Top5'!I:I, D254) &gt; 0, "Yes", "No")</f>
        <v>No</v>
      </c>
      <c r="F254" s="10"/>
      <c r="G254">
        <v>45668</v>
      </c>
      <c r="H254">
        <v>2.0833333333333333E-3</v>
      </c>
      <c r="I254" t="s">
        <v>23</v>
      </c>
      <c r="J254" t="s">
        <v>60</v>
      </c>
      <c r="K254" t="s">
        <v>68</v>
      </c>
    </row>
    <row r="255" spans="1:11">
      <c r="A255" s="11">
        <v>45668</v>
      </c>
      <c r="B255" s="14">
        <v>2.0833333333333333E-3</v>
      </c>
      <c r="C255" s="10" t="s">
        <v>23</v>
      </c>
      <c r="D255" s="10" t="e" cm="1">
        <f t="array" ref="D255">INDEX($H$2:$H$35, MATCH(1, (A255 &gt;= $F$2:$F$35) * (A255 &lt;= $G$2:$G$35), 0))</f>
        <v>#N/A</v>
      </c>
      <c r="E255" s="10" t="str">
        <f>IF(COUNTIF('Top5'!I:I, D255) &gt; 0, "Yes", "No")</f>
        <v>No</v>
      </c>
      <c r="F255" s="10"/>
      <c r="G255">
        <v>45668</v>
      </c>
      <c r="H255">
        <v>2.0833333333333333E-3</v>
      </c>
      <c r="I255" t="s">
        <v>23</v>
      </c>
      <c r="J255" t="s">
        <v>60</v>
      </c>
      <c r="K255" t="s">
        <v>68</v>
      </c>
    </row>
    <row r="256" spans="1:11">
      <c r="A256" s="11">
        <v>45668</v>
      </c>
      <c r="B256" s="14">
        <v>3.472222222222222E-3</v>
      </c>
      <c r="C256" s="10" t="s">
        <v>23</v>
      </c>
      <c r="D256" s="10" t="e" cm="1">
        <f t="array" ref="D256">INDEX($H$2:$H$35, MATCH(1, (A256 &gt;= $F$2:$F$35) * (A256 &lt;= $G$2:$G$35), 0))</f>
        <v>#N/A</v>
      </c>
      <c r="E256" s="10" t="str">
        <f>IF(COUNTIF('Top5'!I:I, D256) &gt; 0, "Yes", "No")</f>
        <v>No</v>
      </c>
      <c r="F256" s="10"/>
      <c r="G256">
        <v>45668</v>
      </c>
      <c r="H256">
        <v>3.472222222222222E-3</v>
      </c>
      <c r="I256" t="s">
        <v>23</v>
      </c>
      <c r="J256" t="s">
        <v>60</v>
      </c>
      <c r="K256" t="s">
        <v>68</v>
      </c>
    </row>
    <row r="257" spans="1:11">
      <c r="A257" s="11">
        <v>45668</v>
      </c>
      <c r="B257" s="14">
        <v>6.9444444444444441E-3</v>
      </c>
      <c r="C257" s="10" t="s">
        <v>23</v>
      </c>
      <c r="D257" s="10" t="e" cm="1">
        <f t="array" ref="D257">INDEX($H$2:$H$35, MATCH(1, (A257 &gt;= $F$2:$F$35) * (A257 &lt;= $G$2:$G$35), 0))</f>
        <v>#N/A</v>
      </c>
      <c r="E257" s="10" t="str">
        <f>IF(COUNTIF('Top5'!I:I, D257) &gt; 0, "Yes", "No")</f>
        <v>No</v>
      </c>
      <c r="F257" s="10"/>
      <c r="G257">
        <v>45668</v>
      </c>
      <c r="H257">
        <v>6.9444444444444441E-3</v>
      </c>
      <c r="I257" t="s">
        <v>23</v>
      </c>
      <c r="J257" t="s">
        <v>60</v>
      </c>
      <c r="K257" t="s">
        <v>68</v>
      </c>
    </row>
    <row r="258" spans="1:11">
      <c r="A258" s="11">
        <v>45668</v>
      </c>
      <c r="B258" s="14">
        <v>7.6388888888888886E-3</v>
      </c>
      <c r="C258" s="10" t="s">
        <v>23</v>
      </c>
      <c r="D258" s="10" t="e" cm="1">
        <f t="array" ref="D258">INDEX($H$2:$H$35, MATCH(1, (A258 &gt;= $F$2:$F$35) * (A258 &lt;= $G$2:$G$35), 0))</f>
        <v>#N/A</v>
      </c>
      <c r="E258" s="10" t="str">
        <f>IF(COUNTIF('Top5'!I:I, D258) &gt; 0, "Yes", "No")</f>
        <v>No</v>
      </c>
      <c r="F258" s="10"/>
      <c r="G258">
        <v>45668</v>
      </c>
      <c r="H258">
        <v>7.6388888888888886E-3</v>
      </c>
      <c r="I258" t="s">
        <v>23</v>
      </c>
      <c r="J258" t="s">
        <v>60</v>
      </c>
      <c r="K258" t="s">
        <v>68</v>
      </c>
    </row>
    <row r="259" spans="1:11">
      <c r="A259" s="11">
        <v>45668</v>
      </c>
      <c r="B259" s="14">
        <v>8.3333333333333332E-3</v>
      </c>
      <c r="C259" s="10" t="s">
        <v>23</v>
      </c>
      <c r="D259" s="10" t="e" cm="1">
        <f t="array" ref="D259">INDEX($H$2:$H$35, MATCH(1, (A259 &gt;= $F$2:$F$35) * (A259 &lt;= $G$2:$G$35), 0))</f>
        <v>#N/A</v>
      </c>
      <c r="E259" s="10" t="str">
        <f>IF(COUNTIF('Top5'!I:I, D259) &gt; 0, "Yes", "No")</f>
        <v>No</v>
      </c>
      <c r="F259" s="10"/>
      <c r="G259">
        <v>45668</v>
      </c>
      <c r="H259">
        <v>8.3333333333333332E-3</v>
      </c>
      <c r="I259" t="s">
        <v>23</v>
      </c>
      <c r="J259" t="s">
        <v>60</v>
      </c>
      <c r="K259" t="s">
        <v>68</v>
      </c>
    </row>
    <row r="260" spans="1:11">
      <c r="A260" s="11">
        <v>45668</v>
      </c>
      <c r="B260" s="14">
        <v>0.54583333333333328</v>
      </c>
      <c r="C260" s="10" t="s">
        <v>22</v>
      </c>
      <c r="D260" s="10" t="e" cm="1">
        <f t="array" ref="D260">INDEX($H$2:$H$35, MATCH(1, (A260 &gt;= $F$2:$F$35) * (A260 &lt;= $G$2:$G$35), 0))</f>
        <v>#N/A</v>
      </c>
      <c r="E260" s="10" t="str">
        <f>IF(COUNTIF('Top5'!I:I, D260) &gt; 0, "Yes", "No")</f>
        <v>No</v>
      </c>
      <c r="F260" s="10"/>
      <c r="G260">
        <v>45668</v>
      </c>
      <c r="H260">
        <v>0.54583333333333328</v>
      </c>
      <c r="I260" t="s">
        <v>22</v>
      </c>
      <c r="J260" t="s">
        <v>60</v>
      </c>
      <c r="K260" t="s">
        <v>68</v>
      </c>
    </row>
    <row r="261" spans="1:11">
      <c r="A261" s="11">
        <v>45668</v>
      </c>
      <c r="B261" s="14">
        <v>0.54583333333333328</v>
      </c>
      <c r="C261" s="10" t="s">
        <v>22</v>
      </c>
      <c r="D261" s="10" t="e" cm="1">
        <f t="array" ref="D261">INDEX($H$2:$H$35, MATCH(1, (A261 &gt;= $F$2:$F$35) * (A261 &lt;= $G$2:$G$35), 0))</f>
        <v>#N/A</v>
      </c>
      <c r="E261" s="10" t="str">
        <f>IF(COUNTIF('Top5'!I:I, D261) &gt; 0, "Yes", "No")</f>
        <v>No</v>
      </c>
      <c r="F261" s="10"/>
      <c r="G261">
        <v>45668</v>
      </c>
      <c r="H261">
        <v>0.54583333333333328</v>
      </c>
      <c r="I261" t="s">
        <v>22</v>
      </c>
      <c r="J261" t="s">
        <v>60</v>
      </c>
      <c r="K261" t="s">
        <v>68</v>
      </c>
    </row>
    <row r="262" spans="1:11">
      <c r="A262" s="11">
        <v>45668</v>
      </c>
      <c r="B262" s="14">
        <v>0.55902777777777779</v>
      </c>
      <c r="C262" s="10" t="s">
        <v>22</v>
      </c>
      <c r="D262" s="10" t="e" cm="1">
        <f t="array" ref="D262">INDEX($H$2:$H$35, MATCH(1, (A262 &gt;= $F$2:$F$35) * (A262 &lt;= $G$2:$G$35), 0))</f>
        <v>#N/A</v>
      </c>
      <c r="E262" s="10" t="str">
        <f>IF(COUNTIF('Top5'!I:I, D262) &gt; 0, "Yes", "No")</f>
        <v>No</v>
      </c>
      <c r="F262" s="10"/>
      <c r="G262">
        <v>45668</v>
      </c>
      <c r="H262">
        <v>0.55902777777777779</v>
      </c>
      <c r="I262" t="s">
        <v>22</v>
      </c>
      <c r="J262" t="s">
        <v>60</v>
      </c>
      <c r="K262" t="s">
        <v>68</v>
      </c>
    </row>
    <row r="263" spans="1:11">
      <c r="A263" s="11">
        <v>45668</v>
      </c>
      <c r="B263" s="14">
        <v>0.72152777777777777</v>
      </c>
      <c r="C263" s="10" t="s">
        <v>23</v>
      </c>
      <c r="D263" s="10" t="e" cm="1">
        <f t="array" ref="D263">INDEX($H$2:$H$35, MATCH(1, (A263 &gt;= $F$2:$F$35) * (A263 &lt;= $G$2:$G$35), 0))</f>
        <v>#N/A</v>
      </c>
      <c r="E263" s="10" t="str">
        <f>IF(COUNTIF('Top5'!I:I, D263) &gt; 0, "Yes", "No")</f>
        <v>No</v>
      </c>
      <c r="F263" s="10"/>
      <c r="G263">
        <v>45668</v>
      </c>
      <c r="H263">
        <v>0.72152777777777777</v>
      </c>
      <c r="I263" t="s">
        <v>23</v>
      </c>
      <c r="J263" t="s">
        <v>60</v>
      </c>
      <c r="K263" t="s">
        <v>68</v>
      </c>
    </row>
    <row r="264" spans="1:11">
      <c r="A264" s="11">
        <v>45668</v>
      </c>
      <c r="B264" s="14">
        <v>0.76041666666666663</v>
      </c>
      <c r="C264" s="10" t="s">
        <v>23</v>
      </c>
      <c r="D264" s="10" t="e" cm="1">
        <f t="array" ref="D264">INDEX($H$2:$H$35, MATCH(1, (A264 &gt;= $F$2:$F$35) * (A264 &lt;= $G$2:$G$35), 0))</f>
        <v>#N/A</v>
      </c>
      <c r="E264" s="10" t="str">
        <f>IF(COUNTIF('Top5'!I:I, D264) &gt; 0, "Yes", "No")</f>
        <v>No</v>
      </c>
      <c r="F264" s="10"/>
      <c r="G264">
        <v>45668</v>
      </c>
      <c r="H264">
        <v>0.76041666666666663</v>
      </c>
      <c r="I264" t="s">
        <v>23</v>
      </c>
      <c r="J264" t="s">
        <v>60</v>
      </c>
      <c r="K264" t="s">
        <v>68</v>
      </c>
    </row>
    <row r="265" spans="1:11">
      <c r="A265" s="11">
        <v>45668</v>
      </c>
      <c r="B265" s="14">
        <v>0.76111111111111107</v>
      </c>
      <c r="C265" s="10" t="s">
        <v>23</v>
      </c>
      <c r="D265" s="10" t="e" cm="1">
        <f t="array" ref="D265">INDEX($H$2:$H$35, MATCH(1, (A265 &gt;= $F$2:$F$35) * (A265 &lt;= $G$2:$G$35), 0))</f>
        <v>#N/A</v>
      </c>
      <c r="E265" s="10" t="str">
        <f>IF(COUNTIF('Top5'!I:I, D265) &gt; 0, "Yes", "No")</f>
        <v>No</v>
      </c>
      <c r="F265" s="10"/>
      <c r="G265">
        <v>45668</v>
      </c>
      <c r="H265">
        <v>0.76111111111111107</v>
      </c>
      <c r="I265" t="s">
        <v>23</v>
      </c>
      <c r="J265" t="s">
        <v>60</v>
      </c>
      <c r="K265" t="s">
        <v>68</v>
      </c>
    </row>
    <row r="266" spans="1:11">
      <c r="A266" s="11">
        <v>45668</v>
      </c>
      <c r="B266" s="14">
        <v>0.80208333333333337</v>
      </c>
      <c r="C266" s="10" t="s">
        <v>23</v>
      </c>
      <c r="D266" s="10" t="e" cm="1">
        <f t="array" ref="D266">INDEX($H$2:$H$35, MATCH(1, (A266 &gt;= $F$2:$F$35) * (A266 &lt;= $G$2:$G$35), 0))</f>
        <v>#N/A</v>
      </c>
      <c r="E266" s="10" t="str">
        <f>IF(COUNTIF('Top5'!I:I, D266) &gt; 0, "Yes", "No")</f>
        <v>No</v>
      </c>
      <c r="F266" s="10"/>
      <c r="G266">
        <v>45668</v>
      </c>
      <c r="H266">
        <v>0.80208333333333337</v>
      </c>
      <c r="I266" t="s">
        <v>23</v>
      </c>
      <c r="J266" t="s">
        <v>60</v>
      </c>
      <c r="K266" t="s">
        <v>68</v>
      </c>
    </row>
    <row r="267" spans="1:11">
      <c r="A267" s="11">
        <v>45668</v>
      </c>
      <c r="B267" s="14">
        <v>0.96736111111111112</v>
      </c>
      <c r="C267" s="10" t="s">
        <v>23</v>
      </c>
      <c r="D267" s="10" t="e" cm="1">
        <f t="array" ref="D267">INDEX($H$2:$H$35, MATCH(1, (A267 &gt;= $F$2:$F$35) * (A267 &lt;= $G$2:$G$35), 0))</f>
        <v>#N/A</v>
      </c>
      <c r="E267" s="10" t="str">
        <f>IF(COUNTIF('Top5'!I:I, D267) &gt; 0, "Yes", "No")</f>
        <v>No</v>
      </c>
      <c r="F267" s="10"/>
      <c r="G267">
        <v>45668</v>
      </c>
      <c r="H267">
        <v>0.96736111111111112</v>
      </c>
      <c r="I267" t="s">
        <v>23</v>
      </c>
      <c r="J267" t="s">
        <v>60</v>
      </c>
      <c r="K267" t="s">
        <v>68</v>
      </c>
    </row>
    <row r="268" spans="1:11">
      <c r="A268" s="11">
        <v>45669</v>
      </c>
      <c r="B268" s="14">
        <v>6.9444444444444447E-4</v>
      </c>
      <c r="C268" s="10" t="s">
        <v>23</v>
      </c>
      <c r="D268" s="10" t="e" cm="1">
        <f t="array" ref="D268">INDEX($H$2:$H$35, MATCH(1, (A268 &gt;= $F$2:$F$35) * (A268 &lt;= $G$2:$G$35), 0))</f>
        <v>#N/A</v>
      </c>
      <c r="E268" s="10" t="str">
        <f>IF(COUNTIF('Top5'!I:I, D268) &gt; 0, "Yes", "No")</f>
        <v>No</v>
      </c>
      <c r="F268" s="10"/>
      <c r="G268">
        <v>45669</v>
      </c>
      <c r="H268">
        <v>6.9444444444444447E-4</v>
      </c>
      <c r="I268" t="s">
        <v>23</v>
      </c>
      <c r="J268" t="s">
        <v>60</v>
      </c>
      <c r="K268" t="s">
        <v>68</v>
      </c>
    </row>
    <row r="269" spans="1:11">
      <c r="A269" s="11">
        <v>45669</v>
      </c>
      <c r="B269" s="14">
        <v>6.2500000000000003E-3</v>
      </c>
      <c r="C269" s="10" t="s">
        <v>23</v>
      </c>
      <c r="D269" s="10" t="e" cm="1">
        <f t="array" ref="D269">INDEX($H$2:$H$35, MATCH(1, (A269 &gt;= $F$2:$F$35) * (A269 &lt;= $G$2:$G$35), 0))</f>
        <v>#N/A</v>
      </c>
      <c r="E269" s="10" t="str">
        <f>IF(COUNTIF('Top5'!I:I, D269) &gt; 0, "Yes", "No")</f>
        <v>No</v>
      </c>
      <c r="F269" s="10"/>
      <c r="G269">
        <v>45669</v>
      </c>
      <c r="H269">
        <v>6.2500000000000003E-3</v>
      </c>
      <c r="I269" t="s">
        <v>23</v>
      </c>
      <c r="J269" t="s">
        <v>60</v>
      </c>
      <c r="K269" t="s">
        <v>68</v>
      </c>
    </row>
    <row r="270" spans="1:11">
      <c r="A270" s="11">
        <v>45669</v>
      </c>
      <c r="B270" s="14">
        <v>6.2500000000000003E-3</v>
      </c>
      <c r="C270" s="10" t="s">
        <v>23</v>
      </c>
      <c r="D270" s="10" t="e" cm="1">
        <f t="array" ref="D270">INDEX($H$2:$H$35, MATCH(1, (A270 &gt;= $F$2:$F$35) * (A270 &lt;= $G$2:$G$35), 0))</f>
        <v>#N/A</v>
      </c>
      <c r="E270" s="10" t="str">
        <f>IF(COUNTIF('Top5'!I:I, D270) &gt; 0, "Yes", "No")</f>
        <v>No</v>
      </c>
      <c r="F270" s="10"/>
      <c r="G270">
        <v>45669</v>
      </c>
      <c r="H270">
        <v>6.2500000000000003E-3</v>
      </c>
      <c r="I270" t="s">
        <v>23</v>
      </c>
      <c r="J270" t="s">
        <v>60</v>
      </c>
      <c r="K270" t="s">
        <v>68</v>
      </c>
    </row>
    <row r="271" spans="1:11">
      <c r="A271" s="11">
        <v>45669</v>
      </c>
      <c r="B271" s="14">
        <v>6.9444444444444441E-3</v>
      </c>
      <c r="C271" s="10" t="s">
        <v>23</v>
      </c>
      <c r="D271" s="10" t="e" cm="1">
        <f t="array" ref="D271">INDEX($H$2:$H$35, MATCH(1, (A271 &gt;= $F$2:$F$35) * (A271 &lt;= $G$2:$G$35), 0))</f>
        <v>#N/A</v>
      </c>
      <c r="E271" s="10" t="str">
        <f>IF(COUNTIF('Top5'!I:I, D271) &gt; 0, "Yes", "No")</f>
        <v>No</v>
      </c>
      <c r="F271" s="10"/>
      <c r="G271">
        <v>45669</v>
      </c>
      <c r="H271">
        <v>6.9444444444444441E-3</v>
      </c>
      <c r="I271" t="s">
        <v>23</v>
      </c>
      <c r="J271" t="s">
        <v>60</v>
      </c>
      <c r="K271" t="s">
        <v>68</v>
      </c>
    </row>
    <row r="272" spans="1:11">
      <c r="A272" s="11">
        <v>45669</v>
      </c>
      <c r="B272" s="14">
        <v>0.5805555555555556</v>
      </c>
      <c r="C272" s="10" t="s">
        <v>22</v>
      </c>
      <c r="D272" s="10" t="e" cm="1">
        <f t="array" ref="D272">INDEX($H$2:$H$35, MATCH(1, (A272 &gt;= $F$2:$F$35) * (A272 &lt;= $G$2:$G$35), 0))</f>
        <v>#N/A</v>
      </c>
      <c r="E272" s="10" t="str">
        <f>IF(COUNTIF('Top5'!I:I, D272) &gt; 0, "Yes", "No")</f>
        <v>No</v>
      </c>
      <c r="F272" s="10"/>
      <c r="G272">
        <v>45669</v>
      </c>
      <c r="H272">
        <v>0.5805555555555556</v>
      </c>
      <c r="I272" t="s">
        <v>22</v>
      </c>
      <c r="J272" t="s">
        <v>60</v>
      </c>
      <c r="K272" t="s">
        <v>68</v>
      </c>
    </row>
    <row r="273" spans="1:11">
      <c r="A273" s="11">
        <v>45669</v>
      </c>
      <c r="B273" s="14">
        <v>0.80833333333333335</v>
      </c>
      <c r="C273" s="10" t="s">
        <v>23</v>
      </c>
      <c r="D273" s="10" t="e" cm="1">
        <f t="array" ref="D273">INDEX($H$2:$H$35, MATCH(1, (A273 &gt;= $F$2:$F$35) * (A273 &lt;= $G$2:$G$35), 0))</f>
        <v>#N/A</v>
      </c>
      <c r="E273" s="10" t="str">
        <f>IF(COUNTIF('Top5'!I:I, D273) &gt; 0, "Yes", "No")</f>
        <v>No</v>
      </c>
      <c r="F273" s="10"/>
      <c r="G273">
        <v>45669</v>
      </c>
      <c r="H273">
        <v>0.80833333333333335</v>
      </c>
      <c r="I273" t="s">
        <v>23</v>
      </c>
      <c r="J273" t="s">
        <v>60</v>
      </c>
      <c r="K273" t="s">
        <v>68</v>
      </c>
    </row>
    <row r="274" spans="1:11">
      <c r="A274" s="11">
        <v>45670</v>
      </c>
      <c r="B274" s="14">
        <v>2.7777777777777779E-3</v>
      </c>
      <c r="C274" s="10" t="s">
        <v>23</v>
      </c>
      <c r="D274" s="10" t="e" cm="1">
        <f t="array" ref="D274">INDEX($H$2:$H$35, MATCH(1, (A274 &gt;= $F$2:$F$35) * (A274 &lt;= $G$2:$G$35), 0))</f>
        <v>#N/A</v>
      </c>
      <c r="E274" s="10" t="str">
        <f>IF(COUNTIF('Top5'!I:I, D274) &gt; 0, "Yes", "No")</f>
        <v>No</v>
      </c>
      <c r="F274" s="10"/>
      <c r="G274">
        <v>45670</v>
      </c>
      <c r="H274">
        <v>2.7777777777777779E-3</v>
      </c>
      <c r="I274" t="s">
        <v>23</v>
      </c>
      <c r="J274" t="s">
        <v>60</v>
      </c>
      <c r="K274" t="s">
        <v>68</v>
      </c>
    </row>
    <row r="275" spans="1:11">
      <c r="A275" s="11">
        <v>45670</v>
      </c>
      <c r="B275" s="14">
        <v>2.7777777777777779E-3</v>
      </c>
      <c r="C275" s="10" t="s">
        <v>23</v>
      </c>
      <c r="D275" s="10" t="e" cm="1">
        <f t="array" ref="D275">INDEX($H$2:$H$35, MATCH(1, (A275 &gt;= $F$2:$F$35) * (A275 &lt;= $G$2:$G$35), 0))</f>
        <v>#N/A</v>
      </c>
      <c r="E275" s="10" t="str">
        <f>IF(COUNTIF('Top5'!I:I, D275) &gt; 0, "Yes", "No")</f>
        <v>No</v>
      </c>
      <c r="F275" s="10"/>
      <c r="G275">
        <v>45670</v>
      </c>
      <c r="H275">
        <v>2.7777777777777779E-3</v>
      </c>
      <c r="I275" t="s">
        <v>23</v>
      </c>
      <c r="J275" t="s">
        <v>60</v>
      </c>
      <c r="K275" t="s">
        <v>68</v>
      </c>
    </row>
    <row r="276" spans="1:11">
      <c r="A276" s="11">
        <v>45670</v>
      </c>
      <c r="B276" s="14">
        <v>2.7777777777777779E-3</v>
      </c>
      <c r="C276" s="10" t="s">
        <v>23</v>
      </c>
      <c r="D276" s="10" t="e" cm="1">
        <f t="array" ref="D276">INDEX($H$2:$H$35, MATCH(1, (A276 &gt;= $F$2:$F$35) * (A276 &lt;= $G$2:$G$35), 0))</f>
        <v>#N/A</v>
      </c>
      <c r="E276" s="10" t="str">
        <f>IF(COUNTIF('Top5'!I:I, D276) &gt; 0, "Yes", "No")</f>
        <v>No</v>
      </c>
      <c r="F276" s="10"/>
      <c r="G276">
        <v>45670</v>
      </c>
      <c r="H276">
        <v>2.7777777777777779E-3</v>
      </c>
      <c r="I276" t="s">
        <v>23</v>
      </c>
      <c r="J276" t="s">
        <v>60</v>
      </c>
      <c r="K276" t="s">
        <v>68</v>
      </c>
    </row>
    <row r="277" spans="1:11">
      <c r="A277" s="11">
        <v>45670</v>
      </c>
      <c r="B277" s="14">
        <v>3.472222222222222E-3</v>
      </c>
      <c r="C277" s="10" t="s">
        <v>23</v>
      </c>
      <c r="D277" s="10" t="e" cm="1">
        <f t="array" ref="D277">INDEX($H$2:$H$35, MATCH(1, (A277 &gt;= $F$2:$F$35) * (A277 &lt;= $G$2:$G$35), 0))</f>
        <v>#N/A</v>
      </c>
      <c r="E277" s="10" t="str">
        <f>IF(COUNTIF('Top5'!I:I, D277) &gt; 0, "Yes", "No")</f>
        <v>No</v>
      </c>
      <c r="F277" s="10"/>
      <c r="G277">
        <v>45670</v>
      </c>
      <c r="H277">
        <v>3.472222222222222E-3</v>
      </c>
      <c r="I277" t="s">
        <v>23</v>
      </c>
      <c r="J277" t="s">
        <v>60</v>
      </c>
      <c r="K277" t="s">
        <v>68</v>
      </c>
    </row>
    <row r="278" spans="1:11">
      <c r="A278" s="11">
        <v>45670</v>
      </c>
      <c r="B278" s="14">
        <v>4.1666666666666666E-3</v>
      </c>
      <c r="C278" s="10" t="s">
        <v>23</v>
      </c>
      <c r="D278" s="10" t="e" cm="1">
        <f t="array" ref="D278">INDEX($H$2:$H$35, MATCH(1, (A278 &gt;= $F$2:$F$35) * (A278 &lt;= $G$2:$G$35), 0))</f>
        <v>#N/A</v>
      </c>
      <c r="E278" s="10" t="str">
        <f>IF(COUNTIF('Top5'!I:I, D278) &gt; 0, "Yes", "No")</f>
        <v>No</v>
      </c>
      <c r="F278" s="10"/>
      <c r="G278">
        <v>45670</v>
      </c>
      <c r="H278">
        <v>4.1666666666666666E-3</v>
      </c>
      <c r="I278" t="s">
        <v>23</v>
      </c>
      <c r="J278" t="s">
        <v>60</v>
      </c>
      <c r="K278" t="s">
        <v>68</v>
      </c>
    </row>
    <row r="279" spans="1:11">
      <c r="A279" s="11">
        <v>45670</v>
      </c>
      <c r="B279" s="14">
        <v>4.1666666666666666E-3</v>
      </c>
      <c r="C279" s="10" t="s">
        <v>23</v>
      </c>
      <c r="D279" s="10" t="e" cm="1">
        <f t="array" ref="D279">INDEX($H$2:$H$35, MATCH(1, (A279 &gt;= $F$2:$F$35) * (A279 &lt;= $G$2:$G$35), 0))</f>
        <v>#N/A</v>
      </c>
      <c r="E279" s="10" t="str">
        <f>IF(COUNTIF('Top5'!I:I, D279) &gt; 0, "Yes", "No")</f>
        <v>No</v>
      </c>
      <c r="F279" s="10"/>
      <c r="G279">
        <v>45670</v>
      </c>
      <c r="H279">
        <v>4.1666666666666666E-3</v>
      </c>
      <c r="I279" t="s">
        <v>23</v>
      </c>
      <c r="J279" t="s">
        <v>60</v>
      </c>
      <c r="K279" t="s">
        <v>68</v>
      </c>
    </row>
    <row r="280" spans="1:11">
      <c r="A280" s="11">
        <v>45670</v>
      </c>
      <c r="B280" s="14">
        <v>4.1666666666666666E-3</v>
      </c>
      <c r="C280" s="10" t="s">
        <v>23</v>
      </c>
      <c r="D280" s="10" t="e" cm="1">
        <f t="array" ref="D280">INDEX($H$2:$H$35, MATCH(1, (A280 &gt;= $F$2:$F$35) * (A280 &lt;= $G$2:$G$35), 0))</f>
        <v>#N/A</v>
      </c>
      <c r="E280" s="10" t="str">
        <f>IF(COUNTIF('Top5'!I:I, D280) &gt; 0, "Yes", "No")</f>
        <v>No</v>
      </c>
      <c r="F280" s="10"/>
      <c r="G280">
        <v>45670</v>
      </c>
      <c r="H280">
        <v>4.1666666666666666E-3</v>
      </c>
      <c r="I280" t="s">
        <v>23</v>
      </c>
      <c r="J280" t="s">
        <v>60</v>
      </c>
      <c r="K280" t="s">
        <v>68</v>
      </c>
    </row>
    <row r="281" spans="1:11">
      <c r="A281" s="11">
        <v>45670</v>
      </c>
      <c r="B281" s="14">
        <v>4.1666666666666666E-3</v>
      </c>
      <c r="C281" s="10" t="s">
        <v>23</v>
      </c>
      <c r="D281" s="10" t="e" cm="1">
        <f t="array" ref="D281">INDEX($H$2:$H$35, MATCH(1, (A281 &gt;= $F$2:$F$35) * (A281 &lt;= $G$2:$G$35), 0))</f>
        <v>#N/A</v>
      </c>
      <c r="E281" s="10" t="str">
        <f>IF(COUNTIF('Top5'!I:I, D281) &gt; 0, "Yes", "No")</f>
        <v>No</v>
      </c>
      <c r="F281" s="10"/>
      <c r="G281">
        <v>45670</v>
      </c>
      <c r="H281">
        <v>4.1666666666666666E-3</v>
      </c>
      <c r="I281" t="s">
        <v>23</v>
      </c>
      <c r="J281" t="s">
        <v>60</v>
      </c>
      <c r="K281" t="s">
        <v>68</v>
      </c>
    </row>
    <row r="282" spans="1:11">
      <c r="A282" s="11">
        <v>45670</v>
      </c>
      <c r="B282" s="14">
        <v>4.8611111111111112E-3</v>
      </c>
      <c r="C282" s="10" t="s">
        <v>23</v>
      </c>
      <c r="D282" s="10" t="e" cm="1">
        <f t="array" ref="D282">INDEX($H$2:$H$35, MATCH(1, (A282 &gt;= $F$2:$F$35) * (A282 &lt;= $G$2:$G$35), 0))</f>
        <v>#N/A</v>
      </c>
      <c r="E282" s="10" t="str">
        <f>IF(COUNTIF('Top5'!I:I, D282) &gt; 0, "Yes", "No")</f>
        <v>No</v>
      </c>
      <c r="F282" s="10"/>
      <c r="G282">
        <v>45670</v>
      </c>
      <c r="H282">
        <v>4.8611111111111112E-3</v>
      </c>
      <c r="I282" t="s">
        <v>23</v>
      </c>
      <c r="J282" t="s">
        <v>60</v>
      </c>
      <c r="K282" t="s">
        <v>68</v>
      </c>
    </row>
    <row r="283" spans="1:11">
      <c r="A283" s="11">
        <v>45670</v>
      </c>
      <c r="B283" s="14">
        <v>5.5555555555555558E-3</v>
      </c>
      <c r="C283" s="10" t="s">
        <v>23</v>
      </c>
      <c r="D283" s="10" t="e" cm="1">
        <f t="array" ref="D283">INDEX($H$2:$H$35, MATCH(1, (A283 &gt;= $F$2:$F$35) * (A283 &lt;= $G$2:$G$35), 0))</f>
        <v>#N/A</v>
      </c>
      <c r="E283" s="10" t="str">
        <f>IF(COUNTIF('Top5'!I:I, D283) &gt; 0, "Yes", "No")</f>
        <v>No</v>
      </c>
      <c r="F283" s="10"/>
      <c r="G283">
        <v>45670</v>
      </c>
      <c r="H283">
        <v>5.5555555555555558E-3</v>
      </c>
      <c r="I283" t="s">
        <v>23</v>
      </c>
      <c r="J283" t="s">
        <v>60</v>
      </c>
      <c r="K283" t="s">
        <v>68</v>
      </c>
    </row>
    <row r="284" spans="1:11">
      <c r="A284" s="11">
        <v>45670</v>
      </c>
      <c r="B284" s="14">
        <v>6.2500000000000003E-3</v>
      </c>
      <c r="C284" s="10" t="s">
        <v>23</v>
      </c>
      <c r="D284" s="10" t="e" cm="1">
        <f t="array" ref="D284">INDEX($H$2:$H$35, MATCH(1, (A284 &gt;= $F$2:$F$35) * (A284 &lt;= $G$2:$G$35), 0))</f>
        <v>#N/A</v>
      </c>
      <c r="E284" s="10" t="str">
        <f>IF(COUNTIF('Top5'!I:I, D284) &gt; 0, "Yes", "No")</f>
        <v>No</v>
      </c>
      <c r="F284" s="10"/>
      <c r="G284">
        <v>45670</v>
      </c>
      <c r="H284">
        <v>6.2500000000000003E-3</v>
      </c>
      <c r="I284" t="s">
        <v>23</v>
      </c>
      <c r="J284" t="s">
        <v>60</v>
      </c>
      <c r="K284" t="s">
        <v>68</v>
      </c>
    </row>
    <row r="285" spans="1:11">
      <c r="A285" s="11">
        <v>45670</v>
      </c>
      <c r="B285" s="14">
        <v>6.9444444444444441E-3</v>
      </c>
      <c r="C285" s="10" t="s">
        <v>23</v>
      </c>
      <c r="D285" s="10" t="e" cm="1">
        <f t="array" ref="D285">INDEX($H$2:$H$35, MATCH(1, (A285 &gt;= $F$2:$F$35) * (A285 &lt;= $G$2:$G$35), 0))</f>
        <v>#N/A</v>
      </c>
      <c r="E285" s="10" t="str">
        <f>IF(COUNTIF('Top5'!I:I, D285) &gt; 0, "Yes", "No")</f>
        <v>No</v>
      </c>
      <c r="F285" s="10"/>
      <c r="G285">
        <v>45670</v>
      </c>
      <c r="H285">
        <v>6.9444444444444441E-3</v>
      </c>
      <c r="I285" t="s">
        <v>23</v>
      </c>
      <c r="J285" t="s">
        <v>60</v>
      </c>
      <c r="K285" t="s">
        <v>68</v>
      </c>
    </row>
    <row r="286" spans="1:11">
      <c r="A286" s="11">
        <v>45670</v>
      </c>
      <c r="B286" s="14">
        <v>6.9444444444444441E-3</v>
      </c>
      <c r="C286" s="10" t="s">
        <v>23</v>
      </c>
      <c r="D286" s="10" t="e" cm="1">
        <f t="array" ref="D286">INDEX($H$2:$H$35, MATCH(1, (A286 &gt;= $F$2:$F$35) * (A286 &lt;= $G$2:$G$35), 0))</f>
        <v>#N/A</v>
      </c>
      <c r="E286" s="10" t="str">
        <f>IF(COUNTIF('Top5'!I:I, D286) &gt; 0, "Yes", "No")</f>
        <v>No</v>
      </c>
      <c r="F286" s="10"/>
      <c r="G286">
        <v>45670</v>
      </c>
      <c r="H286">
        <v>6.9444444444444441E-3</v>
      </c>
      <c r="I286" t="s">
        <v>23</v>
      </c>
      <c r="J286" t="s">
        <v>60</v>
      </c>
      <c r="K286" t="s">
        <v>68</v>
      </c>
    </row>
    <row r="287" spans="1:11">
      <c r="A287" s="11">
        <v>45670</v>
      </c>
      <c r="B287" s="14">
        <v>7.6388888888888886E-3</v>
      </c>
      <c r="C287" s="10" t="s">
        <v>23</v>
      </c>
      <c r="D287" s="10" t="e" cm="1">
        <f t="array" ref="D287">INDEX($H$2:$H$35, MATCH(1, (A287 &gt;= $F$2:$F$35) * (A287 &lt;= $G$2:$G$35), 0))</f>
        <v>#N/A</v>
      </c>
      <c r="E287" s="10" t="str">
        <f>IF(COUNTIF('Top5'!I:I, D287) &gt; 0, "Yes", "No")</f>
        <v>No</v>
      </c>
      <c r="F287" s="10"/>
      <c r="G287">
        <v>45670</v>
      </c>
      <c r="H287">
        <v>7.6388888888888886E-3</v>
      </c>
      <c r="I287" t="s">
        <v>23</v>
      </c>
      <c r="J287" t="s">
        <v>60</v>
      </c>
      <c r="K287" t="s">
        <v>68</v>
      </c>
    </row>
    <row r="288" spans="1:11">
      <c r="A288" s="11">
        <v>45670</v>
      </c>
      <c r="B288" s="14">
        <v>7.6388888888888886E-3</v>
      </c>
      <c r="C288" s="10" t="s">
        <v>23</v>
      </c>
      <c r="D288" s="10" t="e" cm="1">
        <f t="array" ref="D288">INDEX($H$2:$H$35, MATCH(1, (A288 &gt;= $F$2:$F$35) * (A288 &lt;= $G$2:$G$35), 0))</f>
        <v>#N/A</v>
      </c>
      <c r="E288" s="10" t="str">
        <f>IF(COUNTIF('Top5'!I:I, D288) &gt; 0, "Yes", "No")</f>
        <v>No</v>
      </c>
      <c r="F288" s="10"/>
      <c r="G288">
        <v>45670</v>
      </c>
      <c r="H288">
        <v>7.6388888888888886E-3</v>
      </c>
      <c r="I288" t="s">
        <v>23</v>
      </c>
      <c r="J288" t="s">
        <v>60</v>
      </c>
      <c r="K288" t="s">
        <v>68</v>
      </c>
    </row>
    <row r="289" spans="1:11">
      <c r="A289" s="11">
        <v>45670</v>
      </c>
      <c r="B289" s="14">
        <v>7.6388888888888886E-3</v>
      </c>
      <c r="C289" s="10" t="s">
        <v>23</v>
      </c>
      <c r="D289" s="10" t="e" cm="1">
        <f t="array" ref="D289">INDEX($H$2:$H$35, MATCH(1, (A289 &gt;= $F$2:$F$35) * (A289 &lt;= $G$2:$G$35), 0))</f>
        <v>#N/A</v>
      </c>
      <c r="E289" s="10" t="str">
        <f>IF(COUNTIF('Top5'!I:I, D289) &gt; 0, "Yes", "No")</f>
        <v>No</v>
      </c>
      <c r="F289" s="10"/>
      <c r="G289">
        <v>45670</v>
      </c>
      <c r="H289">
        <v>7.6388888888888886E-3</v>
      </c>
      <c r="I289" t="s">
        <v>23</v>
      </c>
      <c r="J289" t="s">
        <v>60</v>
      </c>
      <c r="K289" t="s">
        <v>68</v>
      </c>
    </row>
    <row r="290" spans="1:11">
      <c r="A290" s="11">
        <v>45670</v>
      </c>
      <c r="B290" s="14">
        <v>9.0277777777777769E-3</v>
      </c>
      <c r="C290" s="10" t="s">
        <v>23</v>
      </c>
      <c r="D290" s="10" t="e" cm="1">
        <f t="array" ref="D290">INDEX($H$2:$H$35, MATCH(1, (A290 &gt;= $F$2:$F$35) * (A290 &lt;= $G$2:$G$35), 0))</f>
        <v>#N/A</v>
      </c>
      <c r="E290" s="10" t="str">
        <f>IF(COUNTIF('Top5'!I:I, D290) &gt; 0, "Yes", "No")</f>
        <v>No</v>
      </c>
      <c r="F290" s="10"/>
      <c r="G290">
        <v>45670</v>
      </c>
      <c r="H290">
        <v>9.0277777777777769E-3</v>
      </c>
      <c r="I290" t="s">
        <v>23</v>
      </c>
      <c r="J290" t="s">
        <v>60</v>
      </c>
      <c r="K290" t="s">
        <v>68</v>
      </c>
    </row>
    <row r="291" spans="1:11">
      <c r="A291" s="11">
        <v>45670</v>
      </c>
      <c r="B291" s="14">
        <v>9.7222222222222224E-3</v>
      </c>
      <c r="C291" s="10" t="s">
        <v>23</v>
      </c>
      <c r="D291" s="10" t="e" cm="1">
        <f t="array" ref="D291">INDEX($H$2:$H$35, MATCH(1, (A291 &gt;= $F$2:$F$35) * (A291 &lt;= $G$2:$G$35), 0))</f>
        <v>#N/A</v>
      </c>
      <c r="E291" s="10" t="str">
        <f>IF(COUNTIF('Top5'!I:I, D291) &gt; 0, "Yes", "No")</f>
        <v>No</v>
      </c>
      <c r="F291" s="10"/>
      <c r="G291">
        <v>45670</v>
      </c>
      <c r="H291">
        <v>9.7222222222222224E-3</v>
      </c>
      <c r="I291" t="s">
        <v>23</v>
      </c>
      <c r="J291" t="s">
        <v>60</v>
      </c>
      <c r="K291" t="s">
        <v>68</v>
      </c>
    </row>
    <row r="292" spans="1:11">
      <c r="A292" s="11">
        <v>45670</v>
      </c>
      <c r="B292" s="14">
        <v>9.7222222222222224E-3</v>
      </c>
      <c r="C292" s="10" t="s">
        <v>23</v>
      </c>
      <c r="D292" s="10" t="e" cm="1">
        <f t="array" ref="D292">INDEX($H$2:$H$35, MATCH(1, (A292 &gt;= $F$2:$F$35) * (A292 &lt;= $G$2:$G$35), 0))</f>
        <v>#N/A</v>
      </c>
      <c r="E292" s="10" t="str">
        <f>IF(COUNTIF('Top5'!I:I, D292) &gt; 0, "Yes", "No")</f>
        <v>No</v>
      </c>
      <c r="F292" s="10"/>
      <c r="G292">
        <v>45670</v>
      </c>
      <c r="H292">
        <v>9.7222222222222224E-3</v>
      </c>
      <c r="I292" t="s">
        <v>23</v>
      </c>
      <c r="J292" t="s">
        <v>60</v>
      </c>
      <c r="K292" t="s">
        <v>68</v>
      </c>
    </row>
    <row r="293" spans="1:11">
      <c r="A293" s="11">
        <v>45670</v>
      </c>
      <c r="B293" s="14">
        <v>1.0416666666666666E-2</v>
      </c>
      <c r="C293" s="10" t="s">
        <v>23</v>
      </c>
      <c r="D293" s="10" t="e" cm="1">
        <f t="array" ref="D293">INDEX($H$2:$H$35, MATCH(1, (A293 &gt;= $F$2:$F$35) * (A293 &lt;= $G$2:$G$35), 0))</f>
        <v>#N/A</v>
      </c>
      <c r="E293" s="10" t="str">
        <f>IF(COUNTIF('Top5'!I:I, D293) &gt; 0, "Yes", "No")</f>
        <v>No</v>
      </c>
      <c r="F293" s="10"/>
      <c r="G293">
        <v>45670</v>
      </c>
      <c r="H293">
        <v>1.0416666666666666E-2</v>
      </c>
      <c r="I293" t="s">
        <v>23</v>
      </c>
      <c r="J293" t="s">
        <v>60</v>
      </c>
      <c r="K293" t="s">
        <v>68</v>
      </c>
    </row>
    <row r="294" spans="1:11">
      <c r="A294" s="11">
        <v>45670</v>
      </c>
      <c r="B294" s="14">
        <v>1.1111111111111112E-2</v>
      </c>
      <c r="C294" s="10" t="s">
        <v>23</v>
      </c>
      <c r="D294" s="10" t="e" cm="1">
        <f t="array" ref="D294">INDEX($H$2:$H$35, MATCH(1, (A294 &gt;= $F$2:$F$35) * (A294 &lt;= $G$2:$G$35), 0))</f>
        <v>#N/A</v>
      </c>
      <c r="E294" s="10" t="str">
        <f>IF(COUNTIF('Top5'!I:I, D294) &gt; 0, "Yes", "No")</f>
        <v>No</v>
      </c>
      <c r="F294" s="10"/>
      <c r="G294">
        <v>45670</v>
      </c>
      <c r="H294">
        <v>1.1111111111111112E-2</v>
      </c>
      <c r="I294" t="s">
        <v>23</v>
      </c>
      <c r="J294" t="s">
        <v>60</v>
      </c>
      <c r="K294" t="s">
        <v>68</v>
      </c>
    </row>
    <row r="295" spans="1:11">
      <c r="A295" s="11">
        <v>45670</v>
      </c>
      <c r="B295" s="14">
        <v>1.3888888888888888E-2</v>
      </c>
      <c r="C295" s="10" t="s">
        <v>23</v>
      </c>
      <c r="D295" s="10" t="e" cm="1">
        <f t="array" ref="D295">INDEX($H$2:$H$35, MATCH(1, (A295 &gt;= $F$2:$F$35) * (A295 &lt;= $G$2:$G$35), 0))</f>
        <v>#N/A</v>
      </c>
      <c r="E295" s="10" t="str">
        <f>IF(COUNTIF('Top5'!I:I, D295) &gt; 0, "Yes", "No")</f>
        <v>No</v>
      </c>
      <c r="F295" s="10"/>
      <c r="G295">
        <v>45670</v>
      </c>
      <c r="H295">
        <v>1.3888888888888888E-2</v>
      </c>
      <c r="I295" t="s">
        <v>23</v>
      </c>
      <c r="J295" t="s">
        <v>60</v>
      </c>
      <c r="K295" t="s">
        <v>68</v>
      </c>
    </row>
    <row r="296" spans="1:11">
      <c r="A296" s="11">
        <v>45670</v>
      </c>
      <c r="B296" s="14">
        <v>1.8749999999999999E-2</v>
      </c>
      <c r="C296" s="10" t="s">
        <v>23</v>
      </c>
      <c r="D296" s="10" t="e" cm="1">
        <f t="array" ref="D296">INDEX($H$2:$H$35, MATCH(1, (A296 &gt;= $F$2:$F$35) * (A296 &lt;= $G$2:$G$35), 0))</f>
        <v>#N/A</v>
      </c>
      <c r="E296" s="10" t="str">
        <f>IF(COUNTIF('Top5'!I:I, D296) &gt; 0, "Yes", "No")</f>
        <v>No</v>
      </c>
      <c r="F296" s="10"/>
      <c r="G296">
        <v>45670</v>
      </c>
      <c r="H296">
        <v>1.8749999999999999E-2</v>
      </c>
      <c r="I296" t="s">
        <v>23</v>
      </c>
      <c r="J296" t="s">
        <v>60</v>
      </c>
      <c r="K296" t="s">
        <v>68</v>
      </c>
    </row>
    <row r="297" spans="1:11">
      <c r="A297" s="11">
        <v>45670</v>
      </c>
      <c r="B297" s="14">
        <v>2.2222222222222223E-2</v>
      </c>
      <c r="C297" s="10" t="s">
        <v>23</v>
      </c>
      <c r="D297" s="10" t="e" cm="1">
        <f t="array" ref="D297">INDEX($H$2:$H$35, MATCH(1, (A297 &gt;= $F$2:$F$35) * (A297 &lt;= $G$2:$G$35), 0))</f>
        <v>#N/A</v>
      </c>
      <c r="E297" s="10" t="str">
        <f>IF(COUNTIF('Top5'!I:I, D297) &gt; 0, "Yes", "No")</f>
        <v>No</v>
      </c>
      <c r="F297" s="10"/>
      <c r="G297">
        <v>45670</v>
      </c>
      <c r="H297">
        <v>2.2222222222222223E-2</v>
      </c>
      <c r="I297" t="s">
        <v>23</v>
      </c>
      <c r="J297" t="s">
        <v>60</v>
      </c>
      <c r="K297" t="s">
        <v>68</v>
      </c>
    </row>
    <row r="298" spans="1:11">
      <c r="A298" s="11">
        <v>45670</v>
      </c>
      <c r="B298" s="14">
        <v>2.6388888888888889E-2</v>
      </c>
      <c r="C298" s="10" t="s">
        <v>23</v>
      </c>
      <c r="D298" s="10" t="e" cm="1">
        <f t="array" ref="D298">INDEX($H$2:$H$35, MATCH(1, (A298 &gt;= $F$2:$F$35) * (A298 &lt;= $G$2:$G$35), 0))</f>
        <v>#N/A</v>
      </c>
      <c r="E298" s="10" t="str">
        <f>IF(COUNTIF('Top5'!I:I, D298) &gt; 0, "Yes", "No")</f>
        <v>No</v>
      </c>
      <c r="F298" s="10"/>
      <c r="G298">
        <v>45670</v>
      </c>
      <c r="H298">
        <v>2.6388888888888889E-2</v>
      </c>
      <c r="I298" t="s">
        <v>23</v>
      </c>
      <c r="J298" t="s">
        <v>60</v>
      </c>
      <c r="K298" t="s">
        <v>68</v>
      </c>
    </row>
    <row r="299" spans="1:11">
      <c r="A299" s="11">
        <v>45670</v>
      </c>
      <c r="B299" s="14">
        <v>2.8472222222222222E-2</v>
      </c>
      <c r="C299" s="10" t="s">
        <v>23</v>
      </c>
      <c r="D299" s="10" t="e" cm="1">
        <f t="array" ref="D299">INDEX($H$2:$H$35, MATCH(1, (A299 &gt;= $F$2:$F$35) * (A299 &lt;= $G$2:$G$35), 0))</f>
        <v>#N/A</v>
      </c>
      <c r="E299" s="10" t="str">
        <f>IF(COUNTIF('Top5'!I:I, D299) &gt; 0, "Yes", "No")</f>
        <v>No</v>
      </c>
      <c r="F299" s="10"/>
      <c r="G299">
        <v>45670</v>
      </c>
      <c r="H299">
        <v>2.8472222222222222E-2</v>
      </c>
      <c r="I299" t="s">
        <v>23</v>
      </c>
      <c r="J299" t="s">
        <v>60</v>
      </c>
      <c r="K299" t="s">
        <v>68</v>
      </c>
    </row>
    <row r="300" spans="1:11">
      <c r="A300" s="11">
        <v>45670</v>
      </c>
      <c r="B300" s="14">
        <v>0.53541666666666665</v>
      </c>
      <c r="C300" s="10" t="s">
        <v>22</v>
      </c>
      <c r="D300" s="10" t="e" cm="1">
        <f t="array" ref="D300">INDEX($H$2:$H$35, MATCH(1, (A300 &gt;= $F$2:$F$35) * (A300 &lt;= $G$2:$G$35), 0))</f>
        <v>#N/A</v>
      </c>
      <c r="E300" s="10" t="str">
        <f>IF(COUNTIF('Top5'!I:I, D300) &gt; 0, "Yes", "No")</f>
        <v>No</v>
      </c>
      <c r="F300" s="10"/>
      <c r="G300">
        <v>45670</v>
      </c>
      <c r="H300">
        <v>0.53541666666666665</v>
      </c>
      <c r="I300" t="s">
        <v>22</v>
      </c>
      <c r="J300" t="s">
        <v>60</v>
      </c>
      <c r="K300" t="s">
        <v>68</v>
      </c>
    </row>
    <row r="301" spans="1:11">
      <c r="A301" s="11">
        <v>45670</v>
      </c>
      <c r="B301" s="14">
        <v>0.53541666666666665</v>
      </c>
      <c r="C301" s="10" t="s">
        <v>22</v>
      </c>
      <c r="D301" s="10" t="e" cm="1">
        <f t="array" ref="D301">INDEX($H$2:$H$35, MATCH(1, (A301 &gt;= $F$2:$F$35) * (A301 &lt;= $G$2:$G$35), 0))</f>
        <v>#N/A</v>
      </c>
      <c r="E301" s="10" t="str">
        <f>IF(COUNTIF('Top5'!I:I, D301) &gt; 0, "Yes", "No")</f>
        <v>No</v>
      </c>
      <c r="F301" s="10"/>
      <c r="G301">
        <v>45670</v>
      </c>
      <c r="H301">
        <v>0.53541666666666665</v>
      </c>
      <c r="I301" t="s">
        <v>22</v>
      </c>
      <c r="J301" t="s">
        <v>60</v>
      </c>
      <c r="K301" t="s">
        <v>68</v>
      </c>
    </row>
    <row r="302" spans="1:11">
      <c r="A302" s="11">
        <v>45670</v>
      </c>
      <c r="B302" s="14">
        <v>0.55138888888888893</v>
      </c>
      <c r="C302" s="10" t="s">
        <v>22</v>
      </c>
      <c r="D302" s="10" t="e" cm="1">
        <f t="array" ref="D302">INDEX($H$2:$H$35, MATCH(1, (A302 &gt;= $F$2:$F$35) * (A302 &lt;= $G$2:$G$35), 0))</f>
        <v>#N/A</v>
      </c>
      <c r="E302" s="10" t="str">
        <f>IF(COUNTIF('Top5'!I:I, D302) &gt; 0, "Yes", "No")</f>
        <v>No</v>
      </c>
      <c r="F302" s="10"/>
      <c r="G302">
        <v>45670</v>
      </c>
      <c r="H302">
        <v>0.55138888888888893</v>
      </c>
      <c r="I302" t="s">
        <v>22</v>
      </c>
      <c r="J302" t="s">
        <v>60</v>
      </c>
      <c r="K302" t="s">
        <v>68</v>
      </c>
    </row>
    <row r="303" spans="1:11">
      <c r="A303" s="11">
        <v>45670</v>
      </c>
      <c r="B303" s="14">
        <v>0.55277777777777781</v>
      </c>
      <c r="C303" s="10" t="s">
        <v>22</v>
      </c>
      <c r="D303" s="10" t="e" cm="1">
        <f t="array" ref="D303">INDEX($H$2:$H$35, MATCH(1, (A303 &gt;= $F$2:$F$35) * (A303 &lt;= $G$2:$G$35), 0))</f>
        <v>#N/A</v>
      </c>
      <c r="E303" s="10" t="str">
        <f>IF(COUNTIF('Top5'!I:I, D303) &gt; 0, "Yes", "No")</f>
        <v>No</v>
      </c>
      <c r="F303" s="10"/>
      <c r="G303">
        <v>45670</v>
      </c>
      <c r="H303">
        <v>0.55277777777777781</v>
      </c>
      <c r="I303" t="s">
        <v>22</v>
      </c>
      <c r="J303" t="s">
        <v>60</v>
      </c>
      <c r="K303" t="s">
        <v>68</v>
      </c>
    </row>
    <row r="304" spans="1:11">
      <c r="A304" s="11">
        <v>45670</v>
      </c>
      <c r="B304" s="14">
        <v>0.7006944444444444</v>
      </c>
      <c r="C304" s="10" t="s">
        <v>22</v>
      </c>
      <c r="D304" s="10" t="e" cm="1">
        <f t="array" ref="D304">INDEX($H$2:$H$35, MATCH(1, (A304 &gt;= $F$2:$F$35) * (A304 &lt;= $G$2:$G$35), 0))</f>
        <v>#N/A</v>
      </c>
      <c r="E304" s="10" t="str">
        <f>IF(COUNTIF('Top5'!I:I, D304) &gt; 0, "Yes", "No")</f>
        <v>No</v>
      </c>
      <c r="F304" s="10"/>
      <c r="G304">
        <v>45670</v>
      </c>
      <c r="H304">
        <v>0.7006944444444444</v>
      </c>
      <c r="I304" t="s">
        <v>22</v>
      </c>
      <c r="J304" t="s">
        <v>60</v>
      </c>
      <c r="K304" t="s">
        <v>68</v>
      </c>
    </row>
    <row r="305" spans="1:11">
      <c r="A305" s="11">
        <v>45670</v>
      </c>
      <c r="B305" s="14">
        <v>0.70972222222222225</v>
      </c>
      <c r="C305" s="10" t="s">
        <v>23</v>
      </c>
      <c r="D305" s="10" t="e" cm="1">
        <f t="array" ref="D305">INDEX($H$2:$H$35, MATCH(1, (A305 &gt;= $F$2:$F$35) * (A305 &lt;= $G$2:$G$35), 0))</f>
        <v>#N/A</v>
      </c>
      <c r="E305" s="10" t="str">
        <f>IF(COUNTIF('Top5'!I:I, D305) &gt; 0, "Yes", "No")</f>
        <v>No</v>
      </c>
      <c r="F305" s="10"/>
      <c r="G305">
        <v>45670</v>
      </c>
      <c r="H305">
        <v>0.70972222222222225</v>
      </c>
      <c r="I305" t="s">
        <v>23</v>
      </c>
      <c r="J305" t="s">
        <v>60</v>
      </c>
      <c r="K305" t="s">
        <v>68</v>
      </c>
    </row>
    <row r="306" spans="1:11">
      <c r="A306" s="11">
        <v>45670</v>
      </c>
      <c r="B306" s="14">
        <v>0.80208333333333337</v>
      </c>
      <c r="C306" s="10" t="s">
        <v>23</v>
      </c>
      <c r="D306" s="10" t="e" cm="1">
        <f t="array" ref="D306">INDEX($H$2:$H$35, MATCH(1, (A306 &gt;= $F$2:$F$35) * (A306 &lt;= $G$2:$G$35), 0))</f>
        <v>#N/A</v>
      </c>
      <c r="E306" s="10" t="str">
        <f>IF(COUNTIF('Top5'!I:I, D306) &gt; 0, "Yes", "No")</f>
        <v>No</v>
      </c>
      <c r="F306" s="10"/>
      <c r="G306">
        <v>45670</v>
      </c>
      <c r="H306">
        <v>0.80208333333333337</v>
      </c>
      <c r="I306" t="s">
        <v>23</v>
      </c>
      <c r="J306" t="s">
        <v>60</v>
      </c>
      <c r="K306" t="s">
        <v>68</v>
      </c>
    </row>
    <row r="307" spans="1:11">
      <c r="A307" s="11">
        <v>45671</v>
      </c>
      <c r="B307" s="14">
        <v>0.50277777777777777</v>
      </c>
      <c r="C307" s="10" t="s">
        <v>22</v>
      </c>
      <c r="D307" s="10" t="e" cm="1">
        <f t="array" ref="D307">INDEX($H$2:$H$35, MATCH(1, (A307 &gt;= $F$2:$F$35) * (A307 &lt;= $G$2:$G$35), 0))</f>
        <v>#N/A</v>
      </c>
      <c r="E307" s="10" t="str">
        <f>IF(COUNTIF('Top5'!I:I, D307) &gt; 0, "Yes", "No")</f>
        <v>No</v>
      </c>
      <c r="F307" s="10"/>
      <c r="G307">
        <v>45671</v>
      </c>
      <c r="H307">
        <v>0.50277777777777777</v>
      </c>
      <c r="I307" t="s">
        <v>22</v>
      </c>
      <c r="J307" t="s">
        <v>60</v>
      </c>
      <c r="K307" t="s">
        <v>68</v>
      </c>
    </row>
    <row r="308" spans="1:11">
      <c r="A308" s="11">
        <v>45671</v>
      </c>
      <c r="B308" s="14">
        <v>0.50277777777777777</v>
      </c>
      <c r="C308" s="10" t="s">
        <v>22</v>
      </c>
      <c r="D308" s="10" t="e" cm="1">
        <f t="array" ref="D308">INDEX($H$2:$H$35, MATCH(1, (A308 &gt;= $F$2:$F$35) * (A308 &lt;= $G$2:$G$35), 0))</f>
        <v>#N/A</v>
      </c>
      <c r="E308" s="10" t="str">
        <f>IF(COUNTIF('Top5'!I:I, D308) &gt; 0, "Yes", "No")</f>
        <v>No</v>
      </c>
      <c r="F308" s="10"/>
      <c r="G308">
        <v>45671</v>
      </c>
      <c r="H308">
        <v>0.50277777777777777</v>
      </c>
      <c r="I308" t="s">
        <v>22</v>
      </c>
      <c r="J308" t="s">
        <v>60</v>
      </c>
      <c r="K308" t="s">
        <v>68</v>
      </c>
    </row>
    <row r="309" spans="1:11">
      <c r="A309" s="11">
        <v>45671</v>
      </c>
      <c r="B309" s="14">
        <v>0.50277777777777777</v>
      </c>
      <c r="C309" s="10" t="s">
        <v>22</v>
      </c>
      <c r="D309" s="10" t="e" cm="1">
        <f t="array" ref="D309">INDEX($H$2:$H$35, MATCH(1, (A309 &gt;= $F$2:$F$35) * (A309 &lt;= $G$2:$G$35), 0))</f>
        <v>#N/A</v>
      </c>
      <c r="E309" s="10" t="str">
        <f>IF(COUNTIF('Top5'!I:I, D309) &gt; 0, "Yes", "No")</f>
        <v>No</v>
      </c>
      <c r="F309" s="10"/>
      <c r="G309">
        <v>45671</v>
      </c>
      <c r="H309">
        <v>0.50277777777777777</v>
      </c>
      <c r="I309" t="s">
        <v>22</v>
      </c>
      <c r="J309" t="s">
        <v>60</v>
      </c>
      <c r="K309" t="s">
        <v>68</v>
      </c>
    </row>
    <row r="310" spans="1:11">
      <c r="A310" s="11">
        <v>45671</v>
      </c>
      <c r="B310" s="14">
        <v>0.50277777777777777</v>
      </c>
      <c r="C310" s="10" t="s">
        <v>22</v>
      </c>
      <c r="D310" s="10" t="e" cm="1">
        <f t="array" ref="D310">INDEX($H$2:$H$35, MATCH(1, (A310 &gt;= $F$2:$F$35) * (A310 &lt;= $G$2:$G$35), 0))</f>
        <v>#N/A</v>
      </c>
      <c r="E310" s="10" t="str">
        <f>IF(COUNTIF('Top5'!I:I, D310) &gt; 0, "Yes", "No")</f>
        <v>No</v>
      </c>
      <c r="F310" s="10"/>
      <c r="G310">
        <v>45671</v>
      </c>
      <c r="H310">
        <v>0.50277777777777777</v>
      </c>
      <c r="I310" t="s">
        <v>22</v>
      </c>
      <c r="J310" t="s">
        <v>60</v>
      </c>
      <c r="K310" t="s">
        <v>68</v>
      </c>
    </row>
    <row r="311" spans="1:11">
      <c r="A311" s="11">
        <v>45671</v>
      </c>
      <c r="B311" s="14">
        <v>0.53680555555555554</v>
      </c>
      <c r="C311" s="10" t="s">
        <v>22</v>
      </c>
      <c r="D311" s="10" t="e" cm="1">
        <f t="array" ref="D311">INDEX($H$2:$H$35, MATCH(1, (A311 &gt;= $F$2:$F$35) * (A311 &lt;= $G$2:$G$35), 0))</f>
        <v>#N/A</v>
      </c>
      <c r="E311" s="10" t="str">
        <f>IF(COUNTIF('Top5'!I:I, D311) &gt; 0, "Yes", "No")</f>
        <v>No</v>
      </c>
      <c r="F311" s="10"/>
      <c r="G311">
        <v>45671</v>
      </c>
      <c r="H311">
        <v>0.53680555555555554</v>
      </c>
      <c r="I311" t="s">
        <v>22</v>
      </c>
      <c r="J311" t="s">
        <v>60</v>
      </c>
      <c r="K311" t="s">
        <v>68</v>
      </c>
    </row>
    <row r="312" spans="1:11">
      <c r="A312" s="11">
        <v>45671</v>
      </c>
      <c r="B312" s="14">
        <v>0.53749999999999998</v>
      </c>
      <c r="C312" s="10" t="s">
        <v>22</v>
      </c>
      <c r="D312" s="10" t="e" cm="1">
        <f t="array" ref="D312">INDEX($H$2:$H$35, MATCH(1, (A312 &gt;= $F$2:$F$35) * (A312 &lt;= $G$2:$G$35), 0))</f>
        <v>#N/A</v>
      </c>
      <c r="E312" s="10" t="str">
        <f>IF(COUNTIF('Top5'!I:I, D312) &gt; 0, "Yes", "No")</f>
        <v>No</v>
      </c>
      <c r="F312" s="10"/>
      <c r="G312">
        <v>45671</v>
      </c>
      <c r="H312">
        <v>0.53749999999999998</v>
      </c>
      <c r="I312" t="s">
        <v>22</v>
      </c>
      <c r="J312" t="s">
        <v>60</v>
      </c>
      <c r="K312" t="s">
        <v>68</v>
      </c>
    </row>
    <row r="313" spans="1:11">
      <c r="A313" s="11">
        <v>45671</v>
      </c>
      <c r="B313" s="14">
        <v>0.62569444444444444</v>
      </c>
      <c r="C313" s="10" t="s">
        <v>22</v>
      </c>
      <c r="D313" s="10" t="e" cm="1">
        <f t="array" ref="D313">INDEX($H$2:$H$35, MATCH(1, (A313 &gt;= $F$2:$F$35) * (A313 &lt;= $G$2:$G$35), 0))</f>
        <v>#N/A</v>
      </c>
      <c r="E313" s="10" t="str">
        <f>IF(COUNTIF('Top5'!I:I, D313) &gt; 0, "Yes", "No")</f>
        <v>No</v>
      </c>
      <c r="F313" s="10"/>
      <c r="G313">
        <v>45671</v>
      </c>
      <c r="H313">
        <v>0.62569444444444444</v>
      </c>
      <c r="I313" t="s">
        <v>22</v>
      </c>
      <c r="J313" t="s">
        <v>60</v>
      </c>
      <c r="K313" t="s">
        <v>68</v>
      </c>
    </row>
    <row r="314" spans="1:11">
      <c r="A314" s="11">
        <v>45671</v>
      </c>
      <c r="B314" s="14">
        <v>0.9868055555555556</v>
      </c>
      <c r="C314" s="10" t="s">
        <v>23</v>
      </c>
      <c r="D314" s="10" t="e" cm="1">
        <f t="array" ref="D314">INDEX($H$2:$H$35, MATCH(1, (A314 &gt;= $F$2:$F$35) * (A314 &lt;= $G$2:$G$35), 0))</f>
        <v>#N/A</v>
      </c>
      <c r="E314" s="10" t="str">
        <f>IF(COUNTIF('Top5'!I:I, D314) &gt; 0, "Yes", "No")</f>
        <v>No</v>
      </c>
      <c r="F314" s="10"/>
      <c r="G314">
        <v>45671</v>
      </c>
      <c r="H314">
        <v>0.9868055555555556</v>
      </c>
      <c r="I314" t="s">
        <v>23</v>
      </c>
      <c r="J314" t="s">
        <v>60</v>
      </c>
      <c r="K314" t="s">
        <v>68</v>
      </c>
    </row>
    <row r="315" spans="1:11">
      <c r="A315" s="11">
        <v>45671</v>
      </c>
      <c r="B315" s="14">
        <v>0.98750000000000004</v>
      </c>
      <c r="C315" s="10" t="s">
        <v>23</v>
      </c>
      <c r="D315" s="10" t="e" cm="1">
        <f t="array" ref="D315">INDEX($H$2:$H$35, MATCH(1, (A315 &gt;= $F$2:$F$35) * (A315 &lt;= $G$2:$G$35), 0))</f>
        <v>#N/A</v>
      </c>
      <c r="E315" s="10" t="str">
        <f>IF(COUNTIF('Top5'!I:I, D315) &gt; 0, "Yes", "No")</f>
        <v>No</v>
      </c>
      <c r="F315" s="10"/>
      <c r="G315">
        <v>45671</v>
      </c>
      <c r="H315">
        <v>0.98750000000000004</v>
      </c>
      <c r="I315" t="s">
        <v>23</v>
      </c>
      <c r="J315" t="s">
        <v>60</v>
      </c>
      <c r="K315" t="s">
        <v>68</v>
      </c>
    </row>
    <row r="316" spans="1:11">
      <c r="A316" s="11">
        <v>45672</v>
      </c>
      <c r="B316" s="14">
        <v>3.472222222222222E-3</v>
      </c>
      <c r="C316" s="10" t="s">
        <v>23</v>
      </c>
      <c r="D316" s="10" t="e" cm="1">
        <f t="array" ref="D316">INDEX($H$2:$H$35, MATCH(1, (A316 &gt;= $F$2:$F$35) * (A316 &lt;= $G$2:$G$35), 0))</f>
        <v>#N/A</v>
      </c>
      <c r="E316" s="10" t="str">
        <f>IF(COUNTIF('Top5'!I:I, D316) &gt; 0, "Yes", "No")</f>
        <v>No</v>
      </c>
      <c r="F316" s="10"/>
      <c r="G316">
        <v>45672</v>
      </c>
      <c r="H316">
        <v>3.472222222222222E-3</v>
      </c>
      <c r="I316" t="s">
        <v>23</v>
      </c>
      <c r="J316" t="s">
        <v>45</v>
      </c>
      <c r="K316" t="s">
        <v>68</v>
      </c>
    </row>
    <row r="317" spans="1:11">
      <c r="A317" s="11">
        <v>45672</v>
      </c>
      <c r="B317" s="14">
        <v>6.2500000000000003E-3</v>
      </c>
      <c r="C317" s="10" t="s">
        <v>23</v>
      </c>
      <c r="D317" s="10" t="e" cm="1">
        <f t="array" ref="D317">INDEX($H$2:$H$35, MATCH(1, (A317 &gt;= $F$2:$F$35) * (A317 &lt;= $G$2:$G$35), 0))</f>
        <v>#N/A</v>
      </c>
      <c r="E317" s="10" t="str">
        <f>IF(COUNTIF('Top5'!I:I, D317) &gt; 0, "Yes", "No")</f>
        <v>No</v>
      </c>
      <c r="F317" s="10"/>
      <c r="G317">
        <v>45672</v>
      </c>
      <c r="H317">
        <v>6.2500000000000003E-3</v>
      </c>
      <c r="I317" t="s">
        <v>23</v>
      </c>
      <c r="J317" t="s">
        <v>45</v>
      </c>
      <c r="K317" t="s">
        <v>68</v>
      </c>
    </row>
    <row r="318" spans="1:11">
      <c r="A318" s="11">
        <v>45672</v>
      </c>
      <c r="B318" s="14">
        <v>1.8749999999999999E-2</v>
      </c>
      <c r="C318" s="10" t="s">
        <v>23</v>
      </c>
      <c r="D318" s="10" t="e" cm="1">
        <f t="array" ref="D318">INDEX($H$2:$H$35, MATCH(1, (A318 &gt;= $F$2:$F$35) * (A318 &lt;= $G$2:$G$35), 0))</f>
        <v>#N/A</v>
      </c>
      <c r="E318" s="10" t="str">
        <f>IF(COUNTIF('Top5'!I:I, D318) &gt; 0, "Yes", "No")</f>
        <v>No</v>
      </c>
      <c r="F318" s="10"/>
      <c r="G318">
        <v>45672</v>
      </c>
      <c r="H318">
        <v>1.8749999999999999E-2</v>
      </c>
      <c r="I318" t="s">
        <v>23</v>
      </c>
      <c r="J318" t="s">
        <v>45</v>
      </c>
      <c r="K318" t="s">
        <v>68</v>
      </c>
    </row>
    <row r="319" spans="1:11">
      <c r="A319" s="11">
        <v>45672</v>
      </c>
      <c r="B319" s="14">
        <v>1.8749999999999999E-2</v>
      </c>
      <c r="C319" s="10" t="s">
        <v>23</v>
      </c>
      <c r="D319" s="10" t="e" cm="1">
        <f t="array" ref="D319">INDEX($H$2:$H$35, MATCH(1, (A319 &gt;= $F$2:$F$35) * (A319 &lt;= $G$2:$G$35), 0))</f>
        <v>#N/A</v>
      </c>
      <c r="E319" s="10" t="str">
        <f>IF(COUNTIF('Top5'!I:I, D319) &gt; 0, "Yes", "No")</f>
        <v>No</v>
      </c>
      <c r="F319" s="10"/>
      <c r="G319">
        <v>45672</v>
      </c>
      <c r="H319">
        <v>1.8749999999999999E-2</v>
      </c>
      <c r="I319" t="s">
        <v>23</v>
      </c>
      <c r="J319" t="s">
        <v>45</v>
      </c>
      <c r="K319" t="s">
        <v>68</v>
      </c>
    </row>
    <row r="320" spans="1:11">
      <c r="A320" s="11">
        <v>45672</v>
      </c>
      <c r="B320" s="14">
        <v>1.8749999999999999E-2</v>
      </c>
      <c r="C320" s="10" t="s">
        <v>23</v>
      </c>
      <c r="D320" s="10" t="e" cm="1">
        <f t="array" ref="D320">INDEX($H$2:$H$35, MATCH(1, (A320 &gt;= $F$2:$F$35) * (A320 &lt;= $G$2:$G$35), 0))</f>
        <v>#N/A</v>
      </c>
      <c r="E320" s="10" t="str">
        <f>IF(COUNTIF('Top5'!I:I, D320) &gt; 0, "Yes", "No")</f>
        <v>No</v>
      </c>
      <c r="F320" s="10"/>
      <c r="G320">
        <v>45672</v>
      </c>
      <c r="H320">
        <v>1.8749999999999999E-2</v>
      </c>
      <c r="I320" t="s">
        <v>23</v>
      </c>
      <c r="J320" t="s">
        <v>45</v>
      </c>
      <c r="K320" t="s">
        <v>68</v>
      </c>
    </row>
    <row r="321" spans="1:11">
      <c r="A321" s="11">
        <v>45672</v>
      </c>
      <c r="B321" s="14">
        <v>1.8749999999999999E-2</v>
      </c>
      <c r="C321" s="10" t="s">
        <v>23</v>
      </c>
      <c r="D321" s="10" t="e" cm="1">
        <f t="array" ref="D321">INDEX($H$2:$H$35, MATCH(1, (A321 &gt;= $F$2:$F$35) * (A321 &lt;= $G$2:$G$35), 0))</f>
        <v>#N/A</v>
      </c>
      <c r="E321" s="10" t="str">
        <f>IF(COUNTIF('Top5'!I:I, D321) &gt; 0, "Yes", "No")</f>
        <v>No</v>
      </c>
      <c r="F321" s="10"/>
      <c r="G321">
        <v>45672</v>
      </c>
      <c r="H321">
        <v>1.8749999999999999E-2</v>
      </c>
      <c r="I321" t="s">
        <v>23</v>
      </c>
      <c r="J321" t="s">
        <v>45</v>
      </c>
      <c r="K321" t="s">
        <v>68</v>
      </c>
    </row>
    <row r="322" spans="1:11">
      <c r="A322" s="11">
        <v>45672</v>
      </c>
      <c r="B322" s="14">
        <v>1.8749999999999999E-2</v>
      </c>
      <c r="C322" s="10" t="s">
        <v>23</v>
      </c>
      <c r="D322" s="10" t="e" cm="1">
        <f t="array" ref="D322">INDEX($H$2:$H$35, MATCH(1, (A322 &gt;= $F$2:$F$35) * (A322 &lt;= $G$2:$G$35), 0))</f>
        <v>#N/A</v>
      </c>
      <c r="E322" s="10" t="str">
        <f>IF(COUNTIF('Top5'!I:I, D322) &gt; 0, "Yes", "No")</f>
        <v>No</v>
      </c>
      <c r="F322" s="10"/>
      <c r="G322">
        <v>45672</v>
      </c>
      <c r="H322">
        <v>1.8749999999999999E-2</v>
      </c>
      <c r="I322" t="s">
        <v>23</v>
      </c>
      <c r="J322" t="s">
        <v>45</v>
      </c>
      <c r="K322" t="s">
        <v>68</v>
      </c>
    </row>
    <row r="323" spans="1:11">
      <c r="A323" s="11">
        <v>45672</v>
      </c>
      <c r="B323" s="14">
        <v>1.8749999999999999E-2</v>
      </c>
      <c r="C323" s="10" t="s">
        <v>23</v>
      </c>
      <c r="D323" s="10" t="e" cm="1">
        <f t="array" ref="D323">INDEX($H$2:$H$35, MATCH(1, (A323 &gt;= $F$2:$F$35) * (A323 &lt;= $G$2:$G$35), 0))</f>
        <v>#N/A</v>
      </c>
      <c r="E323" s="10" t="str">
        <f>IF(COUNTIF('Top5'!I:I, D323) &gt; 0, "Yes", "No")</f>
        <v>No</v>
      </c>
      <c r="F323" s="10"/>
      <c r="G323">
        <v>45672</v>
      </c>
      <c r="H323">
        <v>1.8749999999999999E-2</v>
      </c>
      <c r="I323" t="s">
        <v>23</v>
      </c>
      <c r="J323" t="s">
        <v>45</v>
      </c>
      <c r="K323" t="s">
        <v>68</v>
      </c>
    </row>
    <row r="324" spans="1:11">
      <c r="A324" s="11">
        <v>45672</v>
      </c>
      <c r="B324" s="14">
        <v>1.8749999999999999E-2</v>
      </c>
      <c r="C324" s="10" t="s">
        <v>23</v>
      </c>
      <c r="D324" s="10" t="e" cm="1">
        <f t="array" ref="D324">INDEX($H$2:$H$35, MATCH(1, (A324 &gt;= $F$2:$F$35) * (A324 &lt;= $G$2:$G$35), 0))</f>
        <v>#N/A</v>
      </c>
      <c r="E324" s="10" t="str">
        <f>IF(COUNTIF('Top5'!I:I, D324) &gt; 0, "Yes", "No")</f>
        <v>No</v>
      </c>
      <c r="F324" s="10"/>
      <c r="G324">
        <v>45672</v>
      </c>
      <c r="H324">
        <v>1.8749999999999999E-2</v>
      </c>
      <c r="I324" t="s">
        <v>23</v>
      </c>
      <c r="J324" t="s">
        <v>45</v>
      </c>
      <c r="K324" t="s">
        <v>68</v>
      </c>
    </row>
    <row r="325" spans="1:11">
      <c r="A325" s="11">
        <v>45672</v>
      </c>
      <c r="B325" s="14">
        <v>1.8749999999999999E-2</v>
      </c>
      <c r="C325" s="10" t="s">
        <v>23</v>
      </c>
      <c r="D325" s="10" t="e" cm="1">
        <f t="array" ref="D325">INDEX($H$2:$H$35, MATCH(1, (A325 &gt;= $F$2:$F$35) * (A325 &lt;= $G$2:$G$35), 0))</f>
        <v>#N/A</v>
      </c>
      <c r="E325" s="10" t="str">
        <f>IF(COUNTIF('Top5'!I:I, D325) &gt; 0, "Yes", "No")</f>
        <v>No</v>
      </c>
      <c r="F325" s="10"/>
      <c r="G325">
        <v>45672</v>
      </c>
      <c r="H325">
        <v>1.8749999999999999E-2</v>
      </c>
      <c r="I325" t="s">
        <v>23</v>
      </c>
      <c r="J325" t="s">
        <v>45</v>
      </c>
      <c r="K325" t="s">
        <v>68</v>
      </c>
    </row>
    <row r="326" spans="1:11">
      <c r="A326" s="11">
        <v>45672</v>
      </c>
      <c r="B326" s="14">
        <v>1.8749999999999999E-2</v>
      </c>
      <c r="C326" s="10" t="s">
        <v>23</v>
      </c>
      <c r="D326" s="10" t="e" cm="1">
        <f t="array" ref="D326">INDEX($H$2:$H$35, MATCH(1, (A326 &gt;= $F$2:$F$35) * (A326 &lt;= $G$2:$G$35), 0))</f>
        <v>#N/A</v>
      </c>
      <c r="E326" s="10" t="str">
        <f>IF(COUNTIF('Top5'!I:I, D326) &gt; 0, "Yes", "No")</f>
        <v>No</v>
      </c>
      <c r="F326" s="10"/>
      <c r="G326">
        <v>45672</v>
      </c>
      <c r="H326">
        <v>1.8749999999999999E-2</v>
      </c>
      <c r="I326" t="s">
        <v>23</v>
      </c>
      <c r="J326" t="s">
        <v>45</v>
      </c>
      <c r="K326" t="s">
        <v>68</v>
      </c>
    </row>
    <row r="327" spans="1:11">
      <c r="A327" s="11">
        <v>45672</v>
      </c>
      <c r="B327" s="14">
        <v>0.51458333333333328</v>
      </c>
      <c r="C327" s="10" t="s">
        <v>22</v>
      </c>
      <c r="D327" s="10" t="e" cm="1">
        <f t="array" ref="D327">INDEX($H$2:$H$35, MATCH(1, (A327 &gt;= $F$2:$F$35) * (A327 &lt;= $G$2:$G$35), 0))</f>
        <v>#N/A</v>
      </c>
      <c r="E327" s="10" t="str">
        <f>IF(COUNTIF('Top5'!I:I, D327) &gt; 0, "Yes", "No")</f>
        <v>No</v>
      </c>
      <c r="F327" s="10"/>
      <c r="G327">
        <v>45672</v>
      </c>
      <c r="H327">
        <v>0.51458333333333328</v>
      </c>
      <c r="I327" t="s">
        <v>22</v>
      </c>
      <c r="J327" t="s">
        <v>45</v>
      </c>
      <c r="K327" t="s">
        <v>68</v>
      </c>
    </row>
    <row r="328" spans="1:11">
      <c r="A328" s="11">
        <v>45672</v>
      </c>
      <c r="B328" s="14">
        <v>0.52569444444444446</v>
      </c>
      <c r="C328" s="10" t="s">
        <v>22</v>
      </c>
      <c r="D328" s="10" t="e" cm="1">
        <f t="array" ref="D328">INDEX($H$2:$H$35, MATCH(1, (A328 &gt;= $F$2:$F$35) * (A328 &lt;= $G$2:$G$35), 0))</f>
        <v>#N/A</v>
      </c>
      <c r="E328" s="10" t="str">
        <f>IF(COUNTIF('Top5'!I:I, D328) &gt; 0, "Yes", "No")</f>
        <v>No</v>
      </c>
      <c r="F328" s="10"/>
      <c r="G328">
        <v>45672</v>
      </c>
      <c r="H328">
        <v>0.52569444444444446</v>
      </c>
      <c r="I328" t="s">
        <v>22</v>
      </c>
      <c r="J328" t="s">
        <v>45</v>
      </c>
      <c r="K328" t="s">
        <v>68</v>
      </c>
    </row>
    <row r="329" spans="1:11">
      <c r="A329" s="11">
        <v>45672</v>
      </c>
      <c r="B329" s="14">
        <v>0.93055555555555558</v>
      </c>
      <c r="C329" s="10" t="s">
        <v>23</v>
      </c>
      <c r="D329" s="10" t="e" cm="1">
        <f t="array" ref="D329">INDEX($H$2:$H$35, MATCH(1, (A329 &gt;= $F$2:$F$35) * (A329 &lt;= $G$2:$G$35), 0))</f>
        <v>#N/A</v>
      </c>
      <c r="E329" s="10" t="str">
        <f>IF(COUNTIF('Top5'!I:I, D329) &gt; 0, "Yes", "No")</f>
        <v>No</v>
      </c>
      <c r="F329" s="10"/>
      <c r="G329">
        <v>45672</v>
      </c>
      <c r="H329">
        <v>0.93055555555555558</v>
      </c>
      <c r="I329" t="s">
        <v>23</v>
      </c>
      <c r="J329" t="s">
        <v>45</v>
      </c>
      <c r="K329" t="s">
        <v>68</v>
      </c>
    </row>
    <row r="330" spans="1:11">
      <c r="A330" s="11">
        <v>45672</v>
      </c>
      <c r="B330" s="14">
        <v>0.93055555555555558</v>
      </c>
      <c r="C330" s="10" t="s">
        <v>23</v>
      </c>
      <c r="D330" s="10" t="e" cm="1">
        <f t="array" ref="D330">INDEX($H$2:$H$35, MATCH(1, (A330 &gt;= $F$2:$F$35) * (A330 &lt;= $G$2:$G$35), 0))</f>
        <v>#N/A</v>
      </c>
      <c r="E330" s="10" t="str">
        <f>IF(COUNTIF('Top5'!I:I, D330) &gt; 0, "Yes", "No")</f>
        <v>No</v>
      </c>
      <c r="F330" s="10"/>
      <c r="G330">
        <v>45672</v>
      </c>
      <c r="H330">
        <v>0.93055555555555558</v>
      </c>
      <c r="I330" t="s">
        <v>23</v>
      </c>
      <c r="J330" t="s">
        <v>45</v>
      </c>
      <c r="K330" t="s">
        <v>68</v>
      </c>
    </row>
    <row r="331" spans="1:11">
      <c r="A331" s="11">
        <v>45672</v>
      </c>
      <c r="B331" s="14">
        <v>0.93194444444444446</v>
      </c>
      <c r="C331" s="10" t="s">
        <v>23</v>
      </c>
      <c r="D331" s="10" t="e" cm="1">
        <f t="array" ref="D331">INDEX($H$2:$H$35, MATCH(1, (A331 &gt;= $F$2:$F$35) * (A331 &lt;= $G$2:$G$35), 0))</f>
        <v>#N/A</v>
      </c>
      <c r="E331" s="10" t="str">
        <f>IF(COUNTIF('Top5'!I:I, D331) &gt; 0, "Yes", "No")</f>
        <v>No</v>
      </c>
      <c r="F331" s="10"/>
      <c r="G331">
        <v>45672</v>
      </c>
      <c r="H331">
        <v>0.93194444444444446</v>
      </c>
      <c r="I331" t="s">
        <v>23</v>
      </c>
      <c r="J331" t="s">
        <v>45</v>
      </c>
      <c r="K331" t="s">
        <v>68</v>
      </c>
    </row>
    <row r="332" spans="1:11">
      <c r="A332" s="11">
        <v>45672</v>
      </c>
      <c r="B332" s="14">
        <v>0.93263888888888891</v>
      </c>
      <c r="C332" s="10" t="s">
        <v>23</v>
      </c>
      <c r="D332" s="10" t="e" cm="1">
        <f t="array" ref="D332">INDEX($H$2:$H$35, MATCH(1, (A332 &gt;= $F$2:$F$35) * (A332 &lt;= $G$2:$G$35), 0))</f>
        <v>#N/A</v>
      </c>
      <c r="E332" s="10" t="str">
        <f>IF(COUNTIF('Top5'!I:I, D332) &gt; 0, "Yes", "No")</f>
        <v>No</v>
      </c>
      <c r="F332" s="10"/>
      <c r="G332">
        <v>45672</v>
      </c>
      <c r="H332">
        <v>0.93263888888888891</v>
      </c>
      <c r="I332" t="s">
        <v>23</v>
      </c>
      <c r="J332" t="s">
        <v>45</v>
      </c>
      <c r="K332" t="s">
        <v>68</v>
      </c>
    </row>
    <row r="333" spans="1:11">
      <c r="A333" s="11">
        <v>45673</v>
      </c>
      <c r="B333" s="14">
        <v>0.57361111111111107</v>
      </c>
      <c r="C333" s="10" t="s">
        <v>22</v>
      </c>
      <c r="D333" s="10" t="e" cm="1">
        <f t="array" ref="D333">INDEX($H$2:$H$35, MATCH(1, (A333 &gt;= $F$2:$F$35) * (A333 &lt;= $G$2:$G$35), 0))</f>
        <v>#N/A</v>
      </c>
      <c r="E333" s="10" t="str">
        <f>IF(COUNTIF('Top5'!I:I, D333) &gt; 0, "Yes", "No")</f>
        <v>No</v>
      </c>
      <c r="F333" s="10"/>
      <c r="G333">
        <v>45673</v>
      </c>
      <c r="H333">
        <v>0.57361111111111107</v>
      </c>
      <c r="I333" t="s">
        <v>22</v>
      </c>
      <c r="J333" t="s">
        <v>45</v>
      </c>
      <c r="K333" t="s">
        <v>68</v>
      </c>
    </row>
    <row r="334" spans="1:11">
      <c r="A334" s="11">
        <v>45673</v>
      </c>
      <c r="B334" s="14">
        <v>0.72222222222222221</v>
      </c>
      <c r="C334" s="10" t="s">
        <v>23</v>
      </c>
      <c r="D334" s="10" t="e" cm="1">
        <f t="array" ref="D334">INDEX($H$2:$H$35, MATCH(1, (A334 &gt;= $F$2:$F$35) * (A334 &lt;= $G$2:$G$35), 0))</f>
        <v>#N/A</v>
      </c>
      <c r="E334" s="10" t="str">
        <f>IF(COUNTIF('Top5'!I:I, D334) &gt; 0, "Yes", "No")</f>
        <v>No</v>
      </c>
      <c r="F334" s="10"/>
      <c r="G334">
        <v>45673</v>
      </c>
      <c r="H334">
        <v>0.72222222222222221</v>
      </c>
      <c r="I334" t="s">
        <v>23</v>
      </c>
      <c r="J334" t="s">
        <v>45</v>
      </c>
      <c r="K334" t="s">
        <v>68</v>
      </c>
    </row>
    <row r="335" spans="1:11">
      <c r="A335" s="11">
        <v>45673</v>
      </c>
      <c r="B335" s="14">
        <v>0.72222222222222221</v>
      </c>
      <c r="C335" s="10" t="s">
        <v>23</v>
      </c>
      <c r="D335" s="10" t="e" cm="1">
        <f t="array" ref="D335">INDEX($H$2:$H$35, MATCH(1, (A335 &gt;= $F$2:$F$35) * (A335 &lt;= $G$2:$G$35), 0))</f>
        <v>#N/A</v>
      </c>
      <c r="E335" s="10" t="str">
        <f>IF(COUNTIF('Top5'!I:I, D335) &gt; 0, "Yes", "No")</f>
        <v>No</v>
      </c>
      <c r="F335" s="10"/>
      <c r="G335">
        <v>45673</v>
      </c>
      <c r="H335">
        <v>0.72222222222222221</v>
      </c>
      <c r="I335" t="s">
        <v>23</v>
      </c>
      <c r="J335" t="s">
        <v>45</v>
      </c>
      <c r="K335" t="s">
        <v>68</v>
      </c>
    </row>
    <row r="336" spans="1:11">
      <c r="A336" s="11">
        <v>45673</v>
      </c>
      <c r="B336" s="14">
        <v>0.8</v>
      </c>
      <c r="C336" s="10" t="s">
        <v>23</v>
      </c>
      <c r="D336" s="10" t="e" cm="1">
        <f t="array" ref="D336">INDEX($H$2:$H$35, MATCH(1, (A336 &gt;= $F$2:$F$35) * (A336 &lt;= $G$2:$G$35), 0))</f>
        <v>#N/A</v>
      </c>
      <c r="E336" s="10" t="str">
        <f>IF(COUNTIF('Top5'!I:I, D336) &gt; 0, "Yes", "No")</f>
        <v>No</v>
      </c>
      <c r="F336" s="10"/>
      <c r="G336">
        <v>45673</v>
      </c>
      <c r="H336">
        <v>0.8</v>
      </c>
      <c r="I336" t="s">
        <v>23</v>
      </c>
      <c r="J336" t="s">
        <v>45</v>
      </c>
      <c r="K336" t="s">
        <v>68</v>
      </c>
    </row>
    <row r="337" spans="1:11">
      <c r="A337" s="11">
        <v>45674</v>
      </c>
      <c r="B337" s="14">
        <v>0.78541666666666665</v>
      </c>
      <c r="C337" s="10" t="s">
        <v>23</v>
      </c>
      <c r="D337" s="10" t="e" cm="1">
        <f t="array" ref="D337">INDEX($H$2:$H$35, MATCH(1, (A337 &gt;= $F$2:$F$35) * (A337 &lt;= $G$2:$G$35), 0))</f>
        <v>#N/A</v>
      </c>
      <c r="E337" s="10" t="str">
        <f>IF(COUNTIF('Top5'!I:I, D337) &gt; 0, "Yes", "No")</f>
        <v>No</v>
      </c>
      <c r="F337" s="10"/>
      <c r="G337">
        <v>45674</v>
      </c>
      <c r="H337">
        <v>0.78541666666666665</v>
      </c>
      <c r="I337" t="s">
        <v>23</v>
      </c>
      <c r="J337" t="s">
        <v>45</v>
      </c>
      <c r="K337" t="s">
        <v>68</v>
      </c>
    </row>
    <row r="338" spans="1:11">
      <c r="A338" s="11">
        <v>45674</v>
      </c>
      <c r="B338" s="14">
        <v>0.92500000000000004</v>
      </c>
      <c r="C338" s="10" t="s">
        <v>23</v>
      </c>
      <c r="D338" s="10" t="e" cm="1">
        <f t="array" ref="D338">INDEX($H$2:$H$35, MATCH(1, (A338 &gt;= $F$2:$F$35) * (A338 &lt;= $G$2:$G$35), 0))</f>
        <v>#N/A</v>
      </c>
      <c r="E338" s="10" t="str">
        <f>IF(COUNTIF('Top5'!I:I, D338) &gt; 0, "Yes", "No")</f>
        <v>No</v>
      </c>
      <c r="F338" s="10"/>
      <c r="G338">
        <v>45674</v>
      </c>
      <c r="H338">
        <v>0.92500000000000004</v>
      </c>
      <c r="I338" t="s">
        <v>23</v>
      </c>
      <c r="J338" t="s">
        <v>45</v>
      </c>
      <c r="K338" t="s">
        <v>68</v>
      </c>
    </row>
    <row r="339" spans="1:11">
      <c r="A339" s="11">
        <v>45675</v>
      </c>
      <c r="B339" s="14">
        <v>0.5756944444444444</v>
      </c>
      <c r="C339" s="10" t="s">
        <v>22</v>
      </c>
      <c r="D339" s="10" t="e" cm="1">
        <f t="array" ref="D339">INDEX($H$2:$H$35, MATCH(1, (A339 &gt;= $F$2:$F$35) * (A339 &lt;= $G$2:$G$35), 0))</f>
        <v>#N/A</v>
      </c>
      <c r="E339" s="10" t="str">
        <f>IF(COUNTIF('Top5'!I:I, D339) &gt; 0, "Yes", "No")</f>
        <v>No</v>
      </c>
      <c r="F339" s="10"/>
      <c r="G339">
        <v>45675</v>
      </c>
      <c r="H339">
        <v>0.5756944444444444</v>
      </c>
      <c r="I339" t="s">
        <v>22</v>
      </c>
      <c r="J339" t="s">
        <v>45</v>
      </c>
      <c r="K339" t="s">
        <v>68</v>
      </c>
    </row>
    <row r="340" spans="1:11">
      <c r="A340" s="11">
        <v>45675</v>
      </c>
      <c r="B340" s="14">
        <v>0.5756944444444444</v>
      </c>
      <c r="C340" s="10" t="s">
        <v>22</v>
      </c>
      <c r="D340" s="10" t="e" cm="1">
        <f t="array" ref="D340">INDEX($H$2:$H$35, MATCH(1, (A340 &gt;= $F$2:$F$35) * (A340 &lt;= $G$2:$G$35), 0))</f>
        <v>#N/A</v>
      </c>
      <c r="E340" s="10" t="str">
        <f>IF(COUNTIF('Top5'!I:I, D340) &gt; 0, "Yes", "No")</f>
        <v>No</v>
      </c>
      <c r="F340" s="10"/>
      <c r="G340">
        <v>45675</v>
      </c>
      <c r="H340">
        <v>0.5756944444444444</v>
      </c>
      <c r="I340" t="s">
        <v>22</v>
      </c>
      <c r="J340" t="s">
        <v>45</v>
      </c>
      <c r="K340" t="s">
        <v>68</v>
      </c>
    </row>
    <row r="341" spans="1:11">
      <c r="A341" s="11">
        <v>45675</v>
      </c>
      <c r="B341" s="14">
        <v>0.57777777777777772</v>
      </c>
      <c r="C341" s="10" t="s">
        <v>22</v>
      </c>
      <c r="D341" s="10" t="e" cm="1">
        <f t="array" ref="D341">INDEX($H$2:$H$35, MATCH(1, (A341 &gt;= $F$2:$F$35) * (A341 &lt;= $G$2:$G$35), 0))</f>
        <v>#N/A</v>
      </c>
      <c r="E341" s="10" t="str">
        <f>IF(COUNTIF('Top5'!I:I, D341) &gt; 0, "Yes", "No")</f>
        <v>No</v>
      </c>
      <c r="F341" s="10"/>
      <c r="G341">
        <v>45675</v>
      </c>
      <c r="H341">
        <v>0.57777777777777772</v>
      </c>
      <c r="I341" t="s">
        <v>22</v>
      </c>
      <c r="J341" t="s">
        <v>45</v>
      </c>
      <c r="K341" t="s">
        <v>68</v>
      </c>
    </row>
    <row r="342" spans="1:11">
      <c r="A342" s="11">
        <v>45675</v>
      </c>
      <c r="B342" s="14">
        <v>0.77152777777777781</v>
      </c>
      <c r="C342" s="10" t="s">
        <v>23</v>
      </c>
      <c r="D342" s="10" t="e" cm="1">
        <f t="array" ref="D342">INDEX($H$2:$H$35, MATCH(1, (A342 &gt;= $F$2:$F$35) * (A342 &lt;= $G$2:$G$35), 0))</f>
        <v>#N/A</v>
      </c>
      <c r="E342" s="10" t="str">
        <f>IF(COUNTIF('Top5'!I:I, D342) &gt; 0, "Yes", "No")</f>
        <v>No</v>
      </c>
      <c r="F342" s="10"/>
      <c r="G342">
        <v>45675</v>
      </c>
      <c r="H342">
        <v>0.77152777777777781</v>
      </c>
      <c r="I342" t="s">
        <v>23</v>
      </c>
      <c r="J342" t="s">
        <v>45</v>
      </c>
      <c r="K342" t="s">
        <v>68</v>
      </c>
    </row>
    <row r="343" spans="1:11">
      <c r="A343" s="11">
        <v>45675</v>
      </c>
      <c r="B343" s="14">
        <v>0.84097222222222223</v>
      </c>
      <c r="C343" s="10" t="s">
        <v>23</v>
      </c>
      <c r="D343" s="10" t="e" cm="1">
        <f t="array" ref="D343">INDEX($H$2:$H$35, MATCH(1, (A343 &gt;= $F$2:$F$35) * (A343 &lt;= $G$2:$G$35), 0))</f>
        <v>#N/A</v>
      </c>
      <c r="E343" s="10" t="str">
        <f>IF(COUNTIF('Top5'!I:I, D343) &gt; 0, "Yes", "No")</f>
        <v>No</v>
      </c>
      <c r="F343" s="10"/>
      <c r="G343">
        <v>45675</v>
      </c>
      <c r="H343">
        <v>0.84097222222222223</v>
      </c>
      <c r="I343" t="s">
        <v>23</v>
      </c>
      <c r="J343" t="s">
        <v>45</v>
      </c>
      <c r="K343" t="s">
        <v>68</v>
      </c>
    </row>
    <row r="344" spans="1:11">
      <c r="A344" s="11">
        <v>45675</v>
      </c>
      <c r="B344" s="14">
        <v>0.84583333333333333</v>
      </c>
      <c r="C344" s="10" t="s">
        <v>23</v>
      </c>
      <c r="D344" s="10" t="e" cm="1">
        <f t="array" ref="D344">INDEX($H$2:$H$35, MATCH(1, (A344 &gt;= $F$2:$F$35) * (A344 &lt;= $G$2:$G$35), 0))</f>
        <v>#N/A</v>
      </c>
      <c r="E344" s="10" t="str">
        <f>IF(COUNTIF('Top5'!I:I, D344) &gt; 0, "Yes", "No")</f>
        <v>No</v>
      </c>
      <c r="F344" s="10"/>
      <c r="G344">
        <v>45675</v>
      </c>
      <c r="H344">
        <v>0.84583333333333333</v>
      </c>
      <c r="I344" t="s">
        <v>23</v>
      </c>
      <c r="J344" t="s">
        <v>45</v>
      </c>
      <c r="K344" t="s">
        <v>68</v>
      </c>
    </row>
    <row r="345" spans="1:11">
      <c r="A345" s="11">
        <v>45675</v>
      </c>
      <c r="B345" s="14">
        <v>0.84791666666666665</v>
      </c>
      <c r="C345" s="10" t="s">
        <v>23</v>
      </c>
      <c r="D345" s="10" t="e" cm="1">
        <f t="array" ref="D345">INDEX($H$2:$H$35, MATCH(1, (A345 &gt;= $F$2:$F$35) * (A345 &lt;= $G$2:$G$35), 0))</f>
        <v>#N/A</v>
      </c>
      <c r="E345" s="10" t="str">
        <f>IF(COUNTIF('Top5'!I:I, D345) &gt; 0, "Yes", "No")</f>
        <v>No</v>
      </c>
      <c r="F345" s="10"/>
      <c r="G345">
        <v>45675</v>
      </c>
      <c r="H345">
        <v>0.84791666666666665</v>
      </c>
      <c r="I345" t="s">
        <v>23</v>
      </c>
      <c r="J345" t="s">
        <v>45</v>
      </c>
      <c r="K345" t="s">
        <v>68</v>
      </c>
    </row>
    <row r="346" spans="1:11">
      <c r="A346" s="11">
        <v>45675</v>
      </c>
      <c r="B346" s="14">
        <v>0.84861111111111109</v>
      </c>
      <c r="C346" s="10" t="s">
        <v>23</v>
      </c>
      <c r="D346" s="10" t="e" cm="1">
        <f t="array" ref="D346">INDEX($H$2:$H$35, MATCH(1, (A346 &gt;= $F$2:$F$35) * (A346 &lt;= $G$2:$G$35), 0))</f>
        <v>#N/A</v>
      </c>
      <c r="E346" s="10" t="str">
        <f>IF(COUNTIF('Top5'!I:I, D346) &gt; 0, "Yes", "No")</f>
        <v>No</v>
      </c>
      <c r="F346" s="10"/>
      <c r="G346">
        <v>45675</v>
      </c>
      <c r="H346">
        <v>0.84861111111111109</v>
      </c>
      <c r="I346" t="s">
        <v>23</v>
      </c>
      <c r="J346" t="s">
        <v>45</v>
      </c>
      <c r="K346" t="s">
        <v>68</v>
      </c>
    </row>
    <row r="347" spans="1:11">
      <c r="A347" s="11">
        <v>45675</v>
      </c>
      <c r="B347" s="14">
        <v>0.93819444444444444</v>
      </c>
      <c r="C347" s="10" t="s">
        <v>23</v>
      </c>
      <c r="D347" s="10" t="e" cm="1">
        <f t="array" ref="D347">INDEX($H$2:$H$35, MATCH(1, (A347 &gt;= $F$2:$F$35) * (A347 &lt;= $G$2:$G$35), 0))</f>
        <v>#N/A</v>
      </c>
      <c r="E347" s="10" t="str">
        <f>IF(COUNTIF('Top5'!I:I, D347) &gt; 0, "Yes", "No")</f>
        <v>No</v>
      </c>
      <c r="F347" s="10"/>
      <c r="G347">
        <v>45675</v>
      </c>
      <c r="H347">
        <v>0.93819444444444444</v>
      </c>
      <c r="I347" t="s">
        <v>23</v>
      </c>
      <c r="J347" t="s">
        <v>45</v>
      </c>
      <c r="K347" t="s">
        <v>68</v>
      </c>
    </row>
    <row r="348" spans="1:11">
      <c r="A348" s="11">
        <v>45676</v>
      </c>
      <c r="B348" s="14">
        <v>1.0416666666666666E-2</v>
      </c>
      <c r="C348" s="10" t="s">
        <v>23</v>
      </c>
      <c r="D348" s="10" t="e" cm="1">
        <f t="array" ref="D348">INDEX($H$2:$H$35, MATCH(1, (A348 &gt;= $F$2:$F$35) * (A348 &lt;= $G$2:$G$35), 0))</f>
        <v>#N/A</v>
      </c>
      <c r="E348" s="10" t="str">
        <f>IF(COUNTIF('Top5'!I:I, D348) &gt; 0, "Yes", "No")</f>
        <v>No</v>
      </c>
      <c r="F348" s="10"/>
      <c r="G348">
        <v>45676</v>
      </c>
      <c r="H348">
        <v>1.0416666666666666E-2</v>
      </c>
      <c r="I348" t="s">
        <v>23</v>
      </c>
      <c r="J348" t="s">
        <v>45</v>
      </c>
      <c r="K348" t="s">
        <v>68</v>
      </c>
    </row>
    <row r="349" spans="1:11">
      <c r="A349" s="11">
        <v>45676</v>
      </c>
      <c r="B349" s="14">
        <v>1.0416666666666666E-2</v>
      </c>
      <c r="C349" s="10" t="s">
        <v>23</v>
      </c>
      <c r="D349" s="10" t="e" cm="1">
        <f t="array" ref="D349">INDEX($H$2:$H$35, MATCH(1, (A349 &gt;= $F$2:$F$35) * (A349 &lt;= $G$2:$G$35), 0))</f>
        <v>#N/A</v>
      </c>
      <c r="E349" s="10" t="str">
        <f>IF(COUNTIF('Top5'!I:I, D349) &gt; 0, "Yes", "No")</f>
        <v>No</v>
      </c>
      <c r="F349" s="10"/>
      <c r="G349">
        <v>45676</v>
      </c>
      <c r="H349">
        <v>1.0416666666666666E-2</v>
      </c>
      <c r="I349" t="s">
        <v>23</v>
      </c>
      <c r="J349" t="s">
        <v>45</v>
      </c>
      <c r="K349" t="s">
        <v>68</v>
      </c>
    </row>
    <row r="350" spans="1:11">
      <c r="A350" s="11">
        <v>45676</v>
      </c>
      <c r="B350" s="14">
        <v>1.0416666666666666E-2</v>
      </c>
      <c r="C350" s="10" t="s">
        <v>23</v>
      </c>
      <c r="D350" s="10" t="e" cm="1">
        <f t="array" ref="D350">INDEX($H$2:$H$35, MATCH(1, (A350 &gt;= $F$2:$F$35) * (A350 &lt;= $G$2:$G$35), 0))</f>
        <v>#N/A</v>
      </c>
      <c r="E350" s="10" t="str">
        <f>IF(COUNTIF('Top5'!I:I, D350) &gt; 0, "Yes", "No")</f>
        <v>No</v>
      </c>
      <c r="F350" s="10"/>
      <c r="G350">
        <v>45676</v>
      </c>
      <c r="H350">
        <v>1.0416666666666666E-2</v>
      </c>
      <c r="I350" t="s">
        <v>23</v>
      </c>
      <c r="J350" t="s">
        <v>45</v>
      </c>
      <c r="K350" t="s">
        <v>68</v>
      </c>
    </row>
    <row r="351" spans="1:11">
      <c r="A351" s="11">
        <v>45676</v>
      </c>
      <c r="B351" s="14">
        <v>1.0416666666666666E-2</v>
      </c>
      <c r="C351" s="10" t="s">
        <v>23</v>
      </c>
      <c r="D351" s="10" t="e" cm="1">
        <f t="array" ref="D351">INDEX($H$2:$H$35, MATCH(1, (A351 &gt;= $F$2:$F$35) * (A351 &lt;= $G$2:$G$35), 0))</f>
        <v>#N/A</v>
      </c>
      <c r="E351" s="10" t="str">
        <f>IF(COUNTIF('Top5'!I:I, D351) &gt; 0, "Yes", "No")</f>
        <v>No</v>
      </c>
      <c r="F351" s="10"/>
      <c r="G351">
        <v>45676</v>
      </c>
      <c r="H351">
        <v>1.0416666666666666E-2</v>
      </c>
      <c r="I351" t="s">
        <v>23</v>
      </c>
      <c r="J351" t="s">
        <v>45</v>
      </c>
      <c r="K351" t="s">
        <v>68</v>
      </c>
    </row>
    <row r="352" spans="1:11">
      <c r="A352" s="11">
        <v>45676</v>
      </c>
      <c r="B352" s="14">
        <v>1.3888888888888888E-2</v>
      </c>
      <c r="C352" s="10" t="s">
        <v>23</v>
      </c>
      <c r="D352" s="10" t="e" cm="1">
        <f t="array" ref="D352">INDEX($H$2:$H$35, MATCH(1, (A352 &gt;= $F$2:$F$35) * (A352 &lt;= $G$2:$G$35), 0))</f>
        <v>#N/A</v>
      </c>
      <c r="E352" s="10" t="str">
        <f>IF(COUNTIF('Top5'!I:I, D352) &gt; 0, "Yes", "No")</f>
        <v>No</v>
      </c>
      <c r="F352" s="10"/>
      <c r="G352">
        <v>45676</v>
      </c>
      <c r="H352">
        <v>1.3888888888888888E-2</v>
      </c>
      <c r="I352" t="s">
        <v>23</v>
      </c>
      <c r="J352" t="s">
        <v>45</v>
      </c>
      <c r="K352" t="s">
        <v>68</v>
      </c>
    </row>
    <row r="353" spans="1:11">
      <c r="A353" s="11">
        <v>45676</v>
      </c>
      <c r="B353" s="14">
        <v>1.5277777777777777E-2</v>
      </c>
      <c r="C353" s="10" t="s">
        <v>23</v>
      </c>
      <c r="D353" s="10" t="e" cm="1">
        <f t="array" ref="D353">INDEX($H$2:$H$35, MATCH(1, (A353 &gt;= $F$2:$F$35) * (A353 &lt;= $G$2:$G$35), 0))</f>
        <v>#N/A</v>
      </c>
      <c r="E353" s="10" t="str">
        <f>IF(COUNTIF('Top5'!I:I, D353) &gt; 0, "Yes", "No")</f>
        <v>No</v>
      </c>
      <c r="F353" s="10"/>
      <c r="G353">
        <v>45676</v>
      </c>
      <c r="H353">
        <v>1.5277777777777777E-2</v>
      </c>
      <c r="I353" t="s">
        <v>23</v>
      </c>
      <c r="J353" t="s">
        <v>45</v>
      </c>
      <c r="K353" t="s">
        <v>68</v>
      </c>
    </row>
    <row r="354" spans="1:11">
      <c r="A354" s="11">
        <v>45676</v>
      </c>
      <c r="B354" s="14">
        <v>0.67083333333333328</v>
      </c>
      <c r="C354" s="10" t="s">
        <v>22</v>
      </c>
      <c r="D354" s="10" t="e" cm="1">
        <f t="array" ref="D354">INDEX($H$2:$H$35, MATCH(1, (A354 &gt;= $F$2:$F$35) * (A354 &lt;= $G$2:$G$35), 0))</f>
        <v>#N/A</v>
      </c>
      <c r="E354" s="10" t="str">
        <f>IF(COUNTIF('Top5'!I:I, D354) &gt; 0, "Yes", "No")</f>
        <v>No</v>
      </c>
      <c r="F354" s="10"/>
      <c r="G354">
        <v>45676</v>
      </c>
      <c r="H354">
        <v>0.67083333333333328</v>
      </c>
      <c r="I354" t="s">
        <v>22</v>
      </c>
      <c r="J354" t="s">
        <v>45</v>
      </c>
      <c r="K354" t="s">
        <v>68</v>
      </c>
    </row>
    <row r="355" spans="1:11">
      <c r="A355" s="11">
        <v>45676</v>
      </c>
      <c r="B355" s="14">
        <v>0.75277777777777777</v>
      </c>
      <c r="C355" s="10" t="s">
        <v>23</v>
      </c>
      <c r="D355" s="10" t="e" cm="1">
        <f t="array" ref="D355">INDEX($H$2:$H$35, MATCH(1, (A355 &gt;= $F$2:$F$35) * (A355 &lt;= $G$2:$G$35), 0))</f>
        <v>#N/A</v>
      </c>
      <c r="E355" s="10" t="str">
        <f>IF(COUNTIF('Top5'!I:I, D355) &gt; 0, "Yes", "No")</f>
        <v>No</v>
      </c>
      <c r="F355" s="10"/>
      <c r="G355">
        <v>45676</v>
      </c>
      <c r="H355">
        <v>0.75277777777777777</v>
      </c>
      <c r="I355" t="s">
        <v>23</v>
      </c>
      <c r="J355" t="s">
        <v>45</v>
      </c>
      <c r="K355" t="s">
        <v>68</v>
      </c>
    </row>
    <row r="356" spans="1:11">
      <c r="A356" s="11">
        <v>45678</v>
      </c>
      <c r="B356" s="14">
        <v>0.48958333333333331</v>
      </c>
      <c r="C356" s="10" t="s">
        <v>22</v>
      </c>
      <c r="D356" s="10" t="e" cm="1">
        <f t="array" ref="D356">INDEX($H$2:$H$35, MATCH(1, (A356 &gt;= $F$2:$F$35) * (A356 &lt;= $G$2:$G$35), 0))</f>
        <v>#N/A</v>
      </c>
      <c r="E356" s="10" t="str">
        <f>IF(COUNTIF('Top5'!I:I, D356) &gt; 0, "Yes", "No")</f>
        <v>No</v>
      </c>
      <c r="F356" s="10"/>
      <c r="G356">
        <v>45678</v>
      </c>
      <c r="H356">
        <v>0.48958333333333331</v>
      </c>
      <c r="I356" t="s">
        <v>22</v>
      </c>
      <c r="J356" t="s">
        <v>45</v>
      </c>
      <c r="K356" t="s">
        <v>68</v>
      </c>
    </row>
    <row r="357" spans="1:11">
      <c r="A357" s="11">
        <v>45681</v>
      </c>
      <c r="B357" s="14">
        <v>0.77013888888888893</v>
      </c>
      <c r="C357" s="10" t="s">
        <v>23</v>
      </c>
      <c r="D357" s="10" t="e" cm="1">
        <f t="array" ref="D357">INDEX($H$2:$H$35, MATCH(1, (A357 &gt;= $F$2:$F$35) * (A357 &lt;= $G$2:$G$35), 0))</f>
        <v>#N/A</v>
      </c>
      <c r="E357" s="10" t="str">
        <f>IF(COUNTIF('Top5'!I:I, D357) &gt; 0, "Yes", "No")</f>
        <v>No</v>
      </c>
      <c r="F357" s="10"/>
      <c r="G357">
        <v>45681</v>
      </c>
      <c r="H357">
        <v>0.77013888888888893</v>
      </c>
      <c r="I357" t="s">
        <v>23</v>
      </c>
      <c r="J357" t="s">
        <v>61</v>
      </c>
      <c r="K357" t="s">
        <v>68</v>
      </c>
    </row>
    <row r="358" spans="1:11">
      <c r="A358" s="11">
        <v>45683</v>
      </c>
      <c r="B358" s="14">
        <v>0.46388888888888891</v>
      </c>
      <c r="C358" s="10" t="s">
        <v>22</v>
      </c>
      <c r="D358" s="10" t="e" cm="1">
        <f t="array" ref="D358">INDEX($H$2:$H$35, MATCH(1, (A358 &gt;= $F$2:$F$35) * (A358 &lt;= $G$2:$G$35), 0))</f>
        <v>#N/A</v>
      </c>
      <c r="E358" s="10" t="str">
        <f>IF(COUNTIF('Top5'!I:I, D358) &gt; 0, "Yes", "No")</f>
        <v>No</v>
      </c>
      <c r="F358" s="10"/>
      <c r="G358">
        <v>45683</v>
      </c>
      <c r="H358">
        <v>0.46388888888888891</v>
      </c>
      <c r="I358" t="s">
        <v>22</v>
      </c>
      <c r="J358" t="s">
        <v>61</v>
      </c>
      <c r="K358" t="s">
        <v>68</v>
      </c>
    </row>
    <row r="359" spans="1:11">
      <c r="A359" s="11">
        <v>45683</v>
      </c>
      <c r="B359" s="14">
        <v>0.46875</v>
      </c>
      <c r="C359" s="10" t="s">
        <v>22</v>
      </c>
      <c r="D359" s="10" t="e" cm="1">
        <f t="array" ref="D359">INDEX($H$2:$H$35, MATCH(1, (A359 &gt;= $F$2:$F$35) * (A359 &lt;= $G$2:$G$35), 0))</f>
        <v>#N/A</v>
      </c>
      <c r="E359" s="10" t="str">
        <f>IF(COUNTIF('Top5'!I:I, D359) &gt; 0, "Yes", "No")</f>
        <v>No</v>
      </c>
      <c r="F359" s="10"/>
      <c r="G359">
        <v>45683</v>
      </c>
      <c r="H359">
        <v>0.46875</v>
      </c>
      <c r="I359" t="s">
        <v>22</v>
      </c>
      <c r="J359" t="s">
        <v>61</v>
      </c>
      <c r="K359" t="s">
        <v>68</v>
      </c>
    </row>
    <row r="360" spans="1:11">
      <c r="A360" s="11">
        <v>45683</v>
      </c>
      <c r="B360" s="14">
        <v>0.98541666666666672</v>
      </c>
      <c r="C360" s="10" t="s">
        <v>23</v>
      </c>
      <c r="D360" s="10" t="e" cm="1">
        <f t="array" ref="D360">INDEX($H$2:$H$35, MATCH(1, (A360 &gt;= $F$2:$F$35) * (A360 &lt;= $G$2:$G$35), 0))</f>
        <v>#N/A</v>
      </c>
      <c r="E360" s="10" t="str">
        <f>IF(COUNTIF('Top5'!I:I, D360) &gt; 0, "Yes", "No")</f>
        <v>No</v>
      </c>
      <c r="F360" s="10"/>
      <c r="G360">
        <v>45683</v>
      </c>
      <c r="H360">
        <v>0.98541666666666672</v>
      </c>
      <c r="I360" t="s">
        <v>23</v>
      </c>
      <c r="J360" t="s">
        <v>61</v>
      </c>
      <c r="K360" t="s">
        <v>68</v>
      </c>
    </row>
    <row r="361" spans="1:11">
      <c r="A361" s="11">
        <v>45683</v>
      </c>
      <c r="B361" s="14">
        <v>0.98611111111111116</v>
      </c>
      <c r="C361" s="10" t="s">
        <v>23</v>
      </c>
      <c r="D361" s="10" t="e" cm="1">
        <f t="array" ref="D361">INDEX($H$2:$H$35, MATCH(1, (A361 &gt;= $F$2:$F$35) * (A361 &lt;= $G$2:$G$35), 0))</f>
        <v>#N/A</v>
      </c>
      <c r="E361" s="10" t="str">
        <f>IF(COUNTIF('Top5'!I:I, D361) &gt; 0, "Yes", "No")</f>
        <v>No</v>
      </c>
      <c r="F361" s="10"/>
      <c r="G361">
        <v>45683</v>
      </c>
      <c r="H361">
        <v>0.98611111111111116</v>
      </c>
      <c r="I361" t="s">
        <v>23</v>
      </c>
      <c r="J361" t="s">
        <v>61</v>
      </c>
      <c r="K361" t="s">
        <v>68</v>
      </c>
    </row>
    <row r="362" spans="1:11">
      <c r="A362" s="11">
        <v>45684</v>
      </c>
      <c r="B362" s="14">
        <v>2.0833333333333333E-3</v>
      </c>
      <c r="C362" s="10" t="s">
        <v>23</v>
      </c>
      <c r="D362" s="10" t="e" cm="1">
        <f t="array" ref="D362">INDEX($H$2:$H$35, MATCH(1, (A362 &gt;= $F$2:$F$35) * (A362 &lt;= $G$2:$G$35), 0))</f>
        <v>#N/A</v>
      </c>
      <c r="E362" s="10" t="str">
        <f>IF(COUNTIF('Top5'!I:I, D362) &gt; 0, "Yes", "No")</f>
        <v>No</v>
      </c>
      <c r="F362" s="10"/>
      <c r="G362">
        <v>45684</v>
      </c>
      <c r="H362">
        <v>2.0833333333333333E-3</v>
      </c>
      <c r="I362" t="s">
        <v>23</v>
      </c>
      <c r="J362" t="s">
        <v>61</v>
      </c>
      <c r="K362" t="s">
        <v>68</v>
      </c>
    </row>
    <row r="363" spans="1:11">
      <c r="A363" s="11">
        <v>45684</v>
      </c>
      <c r="B363" s="14">
        <v>2.7777777777777779E-3</v>
      </c>
      <c r="C363" s="10" t="s">
        <v>23</v>
      </c>
      <c r="D363" s="10" t="e" cm="1">
        <f t="array" ref="D363">INDEX($H$2:$H$35, MATCH(1, (A363 &gt;= $F$2:$F$35) * (A363 &lt;= $G$2:$G$35), 0))</f>
        <v>#N/A</v>
      </c>
      <c r="E363" s="10" t="str">
        <f>IF(COUNTIF('Top5'!I:I, D363) &gt; 0, "Yes", "No")</f>
        <v>No</v>
      </c>
      <c r="F363" s="10"/>
      <c r="G363">
        <v>45684</v>
      </c>
      <c r="H363">
        <v>2.7777777777777779E-3</v>
      </c>
      <c r="I363" t="s">
        <v>23</v>
      </c>
      <c r="J363" t="s">
        <v>61</v>
      </c>
      <c r="K363" t="s">
        <v>68</v>
      </c>
    </row>
    <row r="364" spans="1:11">
      <c r="A364" s="11">
        <v>45685</v>
      </c>
      <c r="B364" s="14">
        <v>0.53263888888888888</v>
      </c>
      <c r="C364" s="10" t="s">
        <v>22</v>
      </c>
      <c r="D364" s="10" t="e" cm="1">
        <f t="array" ref="D364">INDEX($H$2:$H$35, MATCH(1, (A364 &gt;= $F$2:$F$35) * (A364 &lt;= $G$2:$G$35), 0))</f>
        <v>#N/A</v>
      </c>
      <c r="E364" s="10" t="str">
        <f>IF(COUNTIF('Top5'!I:I, D364) &gt; 0, "Yes", "No")</f>
        <v>No</v>
      </c>
      <c r="F364" s="10"/>
      <c r="G364">
        <v>45685</v>
      </c>
      <c r="H364">
        <v>0.53263888888888888</v>
      </c>
      <c r="I364" t="s">
        <v>22</v>
      </c>
      <c r="J364" t="s">
        <v>61</v>
      </c>
      <c r="K364" t="s">
        <v>68</v>
      </c>
    </row>
    <row r="365" spans="1:11">
      <c r="A365" s="11">
        <v>45686</v>
      </c>
      <c r="B365" s="14">
        <v>7.6388888888888886E-3</v>
      </c>
      <c r="C365" s="10" t="s">
        <v>23</v>
      </c>
      <c r="D365" s="10" t="e" cm="1">
        <f t="array" ref="D365">INDEX($H$2:$H$35, MATCH(1, (A365 &gt;= $F$2:$F$35) * (A365 &lt;= $G$2:$G$35), 0))</f>
        <v>#N/A</v>
      </c>
      <c r="E365" s="10" t="str">
        <f>IF(COUNTIF('Top5'!I:I, D365) &gt; 0, "Yes", "No")</f>
        <v>No</v>
      </c>
      <c r="F365" s="10"/>
      <c r="G365">
        <v>45686</v>
      </c>
      <c r="H365">
        <v>7.6388888888888886E-3</v>
      </c>
      <c r="I365" t="s">
        <v>23</v>
      </c>
      <c r="J365" t="s">
        <v>62</v>
      </c>
      <c r="K365" t="s">
        <v>68</v>
      </c>
    </row>
    <row r="366" spans="1:11">
      <c r="A366" s="11">
        <v>45686</v>
      </c>
      <c r="B366" s="14">
        <v>7.6388888888888886E-3</v>
      </c>
      <c r="C366" s="10" t="s">
        <v>23</v>
      </c>
      <c r="D366" s="10" t="e" cm="1">
        <f t="array" ref="D366">INDEX($H$2:$H$35, MATCH(1, (A366 &gt;= $F$2:$F$35) * (A366 &lt;= $G$2:$G$35), 0))</f>
        <v>#N/A</v>
      </c>
      <c r="E366" s="10" t="str">
        <f>IF(COUNTIF('Top5'!I:I, D366) &gt; 0, "Yes", "No")</f>
        <v>No</v>
      </c>
      <c r="F366" s="10"/>
      <c r="G366">
        <v>45686</v>
      </c>
      <c r="H366">
        <v>7.6388888888888886E-3</v>
      </c>
      <c r="I366" t="s">
        <v>23</v>
      </c>
      <c r="J366" t="s">
        <v>62</v>
      </c>
      <c r="K366" t="s">
        <v>68</v>
      </c>
    </row>
    <row r="367" spans="1:11">
      <c r="A367" s="11">
        <v>45686</v>
      </c>
      <c r="B367" s="14">
        <v>7.6388888888888886E-3</v>
      </c>
      <c r="C367" s="10" t="s">
        <v>23</v>
      </c>
      <c r="D367" s="10" t="e" cm="1">
        <f t="array" ref="D367">INDEX($H$2:$H$35, MATCH(1, (A367 &gt;= $F$2:$F$35) * (A367 &lt;= $G$2:$G$35), 0))</f>
        <v>#N/A</v>
      </c>
      <c r="E367" s="10" t="str">
        <f>IF(COUNTIF('Top5'!I:I, D367) &gt; 0, "Yes", "No")</f>
        <v>No</v>
      </c>
      <c r="F367" s="10"/>
      <c r="G367">
        <v>45686</v>
      </c>
      <c r="H367">
        <v>7.6388888888888886E-3</v>
      </c>
      <c r="I367" t="s">
        <v>23</v>
      </c>
      <c r="J367" t="s">
        <v>62</v>
      </c>
      <c r="K367" t="s">
        <v>68</v>
      </c>
    </row>
    <row r="368" spans="1:11">
      <c r="A368" s="11">
        <v>45686</v>
      </c>
      <c r="B368" s="14">
        <v>7.6388888888888886E-3</v>
      </c>
      <c r="C368" s="10" t="s">
        <v>23</v>
      </c>
      <c r="D368" s="10" t="e" cm="1">
        <f t="array" ref="D368">INDEX($H$2:$H$35, MATCH(1, (A368 &gt;= $F$2:$F$35) * (A368 &lt;= $G$2:$G$35), 0))</f>
        <v>#N/A</v>
      </c>
      <c r="E368" s="10" t="str">
        <f>IF(COUNTIF('Top5'!I:I, D368) &gt; 0, "Yes", "No")</f>
        <v>No</v>
      </c>
      <c r="F368" s="10"/>
      <c r="G368">
        <v>45686</v>
      </c>
      <c r="H368">
        <v>7.6388888888888886E-3</v>
      </c>
      <c r="I368" t="s">
        <v>23</v>
      </c>
      <c r="J368" t="s">
        <v>62</v>
      </c>
      <c r="K368" t="s">
        <v>68</v>
      </c>
    </row>
    <row r="369" spans="1:11">
      <c r="A369" s="11">
        <v>45686</v>
      </c>
      <c r="B369" s="14">
        <v>9.0277777777777769E-3</v>
      </c>
      <c r="C369" s="10" t="s">
        <v>23</v>
      </c>
      <c r="D369" s="10" t="e" cm="1">
        <f t="array" ref="D369">INDEX($H$2:$H$35, MATCH(1, (A369 &gt;= $F$2:$F$35) * (A369 &lt;= $G$2:$G$35), 0))</f>
        <v>#N/A</v>
      </c>
      <c r="E369" s="10" t="str">
        <f>IF(COUNTIF('Top5'!I:I, D369) &gt; 0, "Yes", "No")</f>
        <v>No</v>
      </c>
      <c r="F369" s="10"/>
      <c r="G369">
        <v>45686</v>
      </c>
      <c r="H369">
        <v>9.0277777777777769E-3</v>
      </c>
      <c r="I369" t="s">
        <v>23</v>
      </c>
      <c r="J369" t="s">
        <v>62</v>
      </c>
      <c r="K369" t="s">
        <v>68</v>
      </c>
    </row>
    <row r="370" spans="1:11">
      <c r="A370" s="11">
        <v>45686</v>
      </c>
      <c r="B370" s="14">
        <v>9.0277777777777769E-3</v>
      </c>
      <c r="C370" s="10" t="s">
        <v>23</v>
      </c>
      <c r="D370" s="10" t="e" cm="1">
        <f t="array" ref="D370">INDEX($H$2:$H$35, MATCH(1, (A370 &gt;= $F$2:$F$35) * (A370 &lt;= $G$2:$G$35), 0))</f>
        <v>#N/A</v>
      </c>
      <c r="E370" s="10" t="str">
        <f>IF(COUNTIF('Top5'!I:I, D370) &gt; 0, "Yes", "No")</f>
        <v>No</v>
      </c>
      <c r="F370" s="10"/>
      <c r="G370">
        <v>45686</v>
      </c>
      <c r="H370">
        <v>9.0277777777777769E-3</v>
      </c>
      <c r="I370" t="s">
        <v>23</v>
      </c>
      <c r="J370" t="s">
        <v>62</v>
      </c>
      <c r="K370" t="s">
        <v>68</v>
      </c>
    </row>
    <row r="371" spans="1:11">
      <c r="A371" s="11">
        <v>45686</v>
      </c>
      <c r="B371" s="14">
        <v>0.79583333333333328</v>
      </c>
      <c r="C371" s="10" t="s">
        <v>23</v>
      </c>
      <c r="D371" s="10" t="e" cm="1">
        <f t="array" ref="D371">INDEX($H$2:$H$35, MATCH(1, (A371 &gt;= $F$2:$F$35) * (A371 &lt;= $G$2:$G$35), 0))</f>
        <v>#N/A</v>
      </c>
      <c r="E371" s="10" t="str">
        <f>IF(COUNTIF('Top5'!I:I, D371) &gt; 0, "Yes", "No")</f>
        <v>No</v>
      </c>
      <c r="F371" s="10"/>
      <c r="G371">
        <v>45686</v>
      </c>
      <c r="H371">
        <v>0.79583333333333328</v>
      </c>
      <c r="I371" t="s">
        <v>23</v>
      </c>
      <c r="J371" t="s">
        <v>62</v>
      </c>
      <c r="K371" t="s">
        <v>68</v>
      </c>
    </row>
    <row r="372" spans="1:11">
      <c r="A372" s="11">
        <v>45687</v>
      </c>
      <c r="B372" s="14">
        <v>0.65486111111111112</v>
      </c>
      <c r="C372" s="10" t="s">
        <v>22</v>
      </c>
      <c r="D372" s="10" t="e" cm="1">
        <f t="array" ref="D372">INDEX($H$2:$H$35, MATCH(1, (A372 &gt;= $F$2:$F$35) * (A372 &lt;= $G$2:$G$35), 0))</f>
        <v>#N/A</v>
      </c>
      <c r="E372" s="10" t="str">
        <f>IF(COUNTIF('Top5'!I:I, D372) &gt; 0, "Yes", "No")</f>
        <v>No</v>
      </c>
      <c r="F372" s="10"/>
      <c r="G372">
        <v>45687</v>
      </c>
      <c r="H372">
        <v>0.65486111111111112</v>
      </c>
      <c r="I372" t="s">
        <v>22</v>
      </c>
      <c r="J372" t="s">
        <v>62</v>
      </c>
      <c r="K372" t="s">
        <v>68</v>
      </c>
    </row>
    <row r="373" spans="1:11">
      <c r="A373" s="11">
        <v>45687</v>
      </c>
      <c r="B373" s="14">
        <v>0.65486111111111112</v>
      </c>
      <c r="C373" s="10" t="s">
        <v>22</v>
      </c>
      <c r="D373" s="10" t="e" cm="1">
        <f t="array" ref="D373">INDEX($H$2:$H$35, MATCH(1, (A373 &gt;= $F$2:$F$35) * (A373 &lt;= $G$2:$G$35), 0))</f>
        <v>#N/A</v>
      </c>
      <c r="E373" s="10" t="str">
        <f>IF(COUNTIF('Top5'!I:I, D373) &gt; 0, "Yes", "No")</f>
        <v>No</v>
      </c>
      <c r="F373" s="10"/>
      <c r="G373">
        <v>45687</v>
      </c>
      <c r="H373">
        <v>0.65486111111111112</v>
      </c>
      <c r="I373" t="s">
        <v>22</v>
      </c>
      <c r="J373" t="s">
        <v>62</v>
      </c>
      <c r="K373" t="s">
        <v>68</v>
      </c>
    </row>
    <row r="374" spans="1:11">
      <c r="A374" s="11">
        <v>45687</v>
      </c>
      <c r="B374" s="14">
        <v>0.65555555555555556</v>
      </c>
      <c r="C374" s="10" t="s">
        <v>22</v>
      </c>
      <c r="D374" s="10" t="e" cm="1">
        <f t="array" ref="D374">INDEX($H$2:$H$35, MATCH(1, (A374 &gt;= $F$2:$F$35) * (A374 &lt;= $G$2:$G$35), 0))</f>
        <v>#N/A</v>
      </c>
      <c r="E374" s="10" t="str">
        <f>IF(COUNTIF('Top5'!I:I, D374) &gt; 0, "Yes", "No")</f>
        <v>No</v>
      </c>
      <c r="F374" s="10"/>
      <c r="G374">
        <v>45687</v>
      </c>
      <c r="H374">
        <v>0.65555555555555556</v>
      </c>
      <c r="I374" t="s">
        <v>22</v>
      </c>
      <c r="J374" t="s">
        <v>62</v>
      </c>
      <c r="K374" t="s">
        <v>68</v>
      </c>
    </row>
    <row r="375" spans="1:11">
      <c r="A375" s="11">
        <v>45687</v>
      </c>
      <c r="B375" s="14">
        <v>0.68472222222222223</v>
      </c>
      <c r="C375" s="10" t="s">
        <v>22</v>
      </c>
      <c r="D375" s="10" t="e" cm="1">
        <f t="array" ref="D375">INDEX($H$2:$H$35, MATCH(1, (A375 &gt;= $F$2:$F$35) * (A375 &lt;= $G$2:$G$35), 0))</f>
        <v>#N/A</v>
      </c>
      <c r="E375" s="10" t="str">
        <f>IF(COUNTIF('Top5'!I:I, D375) &gt; 0, "Yes", "No")</f>
        <v>No</v>
      </c>
      <c r="F375" s="10"/>
      <c r="G375">
        <v>45687</v>
      </c>
      <c r="H375">
        <v>0.68472222222222223</v>
      </c>
      <c r="I375" t="s">
        <v>22</v>
      </c>
      <c r="J375" t="s">
        <v>62</v>
      </c>
      <c r="K375" t="s">
        <v>68</v>
      </c>
    </row>
    <row r="376" spans="1:11">
      <c r="A376" s="11">
        <v>45687</v>
      </c>
      <c r="B376" s="14">
        <v>0.92222222222222228</v>
      </c>
      <c r="C376" s="10" t="s">
        <v>23</v>
      </c>
      <c r="D376" s="10" t="e" cm="1">
        <f t="array" ref="D376">INDEX($H$2:$H$35, MATCH(1, (A376 &gt;= $F$2:$F$35) * (A376 &lt;= $G$2:$G$35), 0))</f>
        <v>#N/A</v>
      </c>
      <c r="E376" s="10" t="str">
        <f>IF(COUNTIF('Top5'!I:I, D376) &gt; 0, "Yes", "No")</f>
        <v>No</v>
      </c>
      <c r="F376" s="10"/>
      <c r="G376">
        <v>45687</v>
      </c>
      <c r="H376">
        <v>0.92222222222222228</v>
      </c>
      <c r="I376" t="s">
        <v>23</v>
      </c>
      <c r="J376" t="s">
        <v>62</v>
      </c>
      <c r="K376" t="s">
        <v>68</v>
      </c>
    </row>
    <row r="377" spans="1:11">
      <c r="A377" s="11">
        <v>45688</v>
      </c>
      <c r="B377" s="14">
        <v>0.58611111111111114</v>
      </c>
      <c r="C377" s="10" t="s">
        <v>22</v>
      </c>
      <c r="D377" s="10" t="e" cm="1">
        <f t="array" ref="D377">INDEX($H$2:$H$35, MATCH(1, (A377 &gt;= $F$2:$F$35) * (A377 &lt;= $G$2:$G$35), 0))</f>
        <v>#N/A</v>
      </c>
      <c r="E377" s="10" t="str">
        <f>IF(COUNTIF('Top5'!I:I, D377) &gt; 0, "Yes", "No")</f>
        <v>No</v>
      </c>
      <c r="F377" s="10"/>
      <c r="G377">
        <v>45688</v>
      </c>
      <c r="H377">
        <v>0.58611111111111114</v>
      </c>
      <c r="I377" t="s">
        <v>22</v>
      </c>
      <c r="J377" t="s">
        <v>62</v>
      </c>
      <c r="K377" t="s">
        <v>68</v>
      </c>
    </row>
    <row r="378" spans="1:11">
      <c r="A378" s="11">
        <v>45688</v>
      </c>
      <c r="B378" s="14">
        <v>0.61250000000000004</v>
      </c>
      <c r="C378" s="10" t="s">
        <v>22</v>
      </c>
      <c r="D378" s="10" t="e" cm="1">
        <f t="array" ref="D378">INDEX($H$2:$H$35, MATCH(1, (A378 &gt;= $F$2:$F$35) * (A378 &lt;= $G$2:$G$35), 0))</f>
        <v>#N/A</v>
      </c>
      <c r="E378" s="10" t="str">
        <f>IF(COUNTIF('Top5'!I:I, D378) &gt; 0, "Yes", "No")</f>
        <v>No</v>
      </c>
      <c r="F378" s="10"/>
      <c r="G378">
        <v>45688</v>
      </c>
      <c r="H378">
        <v>0.61250000000000004</v>
      </c>
      <c r="I378" t="s">
        <v>22</v>
      </c>
      <c r="J378" t="s">
        <v>62</v>
      </c>
      <c r="K378" t="s">
        <v>68</v>
      </c>
    </row>
    <row r="379" spans="1:11">
      <c r="A379" s="11">
        <v>45689</v>
      </c>
      <c r="B379" s="14">
        <v>0.36249999999999999</v>
      </c>
      <c r="C379" s="10" t="s">
        <v>22</v>
      </c>
      <c r="D379" s="10" t="e" cm="1">
        <f t="array" ref="D379">INDEX($H$2:$H$35, MATCH(1, (A379 &gt;= $F$2:$F$35) * (A379 &lt;= $G$2:$G$35), 0))</f>
        <v>#N/A</v>
      </c>
      <c r="E379" s="10" t="str">
        <f>IF(COUNTIF('Top5'!I:I, D379) &gt; 0, "Yes", "No")</f>
        <v>No</v>
      </c>
      <c r="F379" s="10"/>
      <c r="G379">
        <v>45689</v>
      </c>
      <c r="H379">
        <v>0.36249999999999999</v>
      </c>
      <c r="I379" t="s">
        <v>22</v>
      </c>
      <c r="J379" t="s">
        <v>37</v>
      </c>
      <c r="K379" t="s">
        <v>68</v>
      </c>
    </row>
    <row r="380" spans="1:11">
      <c r="A380" s="11">
        <v>45689</v>
      </c>
      <c r="B380" s="14">
        <v>0.36249999999999999</v>
      </c>
      <c r="C380" s="10" t="s">
        <v>22</v>
      </c>
      <c r="D380" s="10" t="e" cm="1">
        <f t="array" ref="D380">INDEX($H$2:$H$35, MATCH(1, (A380 &gt;= $F$2:$F$35) * (A380 &lt;= $G$2:$G$35), 0))</f>
        <v>#N/A</v>
      </c>
      <c r="E380" s="10" t="str">
        <f>IF(COUNTIF('Top5'!I:I, D380) &gt; 0, "Yes", "No")</f>
        <v>No</v>
      </c>
      <c r="F380" s="10"/>
      <c r="G380">
        <v>45689</v>
      </c>
      <c r="H380">
        <v>0.36249999999999999</v>
      </c>
      <c r="I380" t="s">
        <v>22</v>
      </c>
      <c r="J380" t="s">
        <v>37</v>
      </c>
      <c r="K380" t="s">
        <v>68</v>
      </c>
    </row>
    <row r="381" spans="1:11">
      <c r="A381" s="11">
        <v>45689</v>
      </c>
      <c r="B381" s="14">
        <v>0.40416666666666667</v>
      </c>
      <c r="C381" s="10" t="s">
        <v>22</v>
      </c>
      <c r="D381" s="10" t="e" cm="1">
        <f t="array" ref="D381">INDEX($H$2:$H$35, MATCH(1, (A381 &gt;= $F$2:$F$35) * (A381 &lt;= $G$2:$G$35), 0))</f>
        <v>#N/A</v>
      </c>
      <c r="E381" s="10" t="str">
        <f>IF(COUNTIF('Top5'!I:I, D381) &gt; 0, "Yes", "No")</f>
        <v>No</v>
      </c>
      <c r="F381" s="10"/>
      <c r="G381">
        <v>45689</v>
      </c>
      <c r="H381">
        <v>0.40416666666666667</v>
      </c>
      <c r="I381" t="s">
        <v>22</v>
      </c>
      <c r="J381" t="s">
        <v>37</v>
      </c>
      <c r="K381" t="s">
        <v>68</v>
      </c>
    </row>
    <row r="382" spans="1:11">
      <c r="A382" s="11">
        <v>45689</v>
      </c>
      <c r="B382" s="14">
        <v>0.44583333333333336</v>
      </c>
      <c r="C382" s="10" t="s">
        <v>22</v>
      </c>
      <c r="D382" s="10" t="e" cm="1">
        <f t="array" ref="D382">INDEX($H$2:$H$35, MATCH(1, (A382 &gt;= $F$2:$F$35) * (A382 &lt;= $G$2:$G$35), 0))</f>
        <v>#N/A</v>
      </c>
      <c r="E382" s="10" t="str">
        <f>IF(COUNTIF('Top5'!I:I, D382) &gt; 0, "Yes", "No")</f>
        <v>No</v>
      </c>
      <c r="F382" s="10"/>
      <c r="G382">
        <v>45689</v>
      </c>
      <c r="H382">
        <v>0.44583333333333336</v>
      </c>
      <c r="I382" t="s">
        <v>22</v>
      </c>
      <c r="J382" t="s">
        <v>37</v>
      </c>
      <c r="K382" t="s">
        <v>68</v>
      </c>
    </row>
    <row r="383" spans="1:11">
      <c r="A383" s="11">
        <v>45689</v>
      </c>
      <c r="B383" s="14">
        <v>0.44583333333333336</v>
      </c>
      <c r="C383" s="10" t="s">
        <v>22</v>
      </c>
      <c r="D383" s="10" t="e" cm="1">
        <f t="array" ref="D383">INDEX($H$2:$H$35, MATCH(1, (A383 &gt;= $F$2:$F$35) * (A383 &lt;= $G$2:$G$35), 0))</f>
        <v>#N/A</v>
      </c>
      <c r="E383" s="10" t="str">
        <f>IF(COUNTIF('Top5'!I:I, D383) &gt; 0, "Yes", "No")</f>
        <v>No</v>
      </c>
      <c r="F383" s="10"/>
      <c r="G383">
        <v>45689</v>
      </c>
      <c r="H383">
        <v>0.44583333333333336</v>
      </c>
      <c r="I383" t="s">
        <v>22</v>
      </c>
      <c r="J383" t="s">
        <v>37</v>
      </c>
      <c r="K383" t="s">
        <v>68</v>
      </c>
    </row>
    <row r="384" spans="1:11">
      <c r="A384" s="11">
        <v>45689</v>
      </c>
      <c r="B384" s="14">
        <v>0.4513888888888889</v>
      </c>
      <c r="C384" s="10" t="s">
        <v>22</v>
      </c>
      <c r="D384" s="10" t="e" cm="1">
        <f t="array" ref="D384">INDEX($H$2:$H$35, MATCH(1, (A384 &gt;= $F$2:$F$35) * (A384 &lt;= $G$2:$G$35), 0))</f>
        <v>#N/A</v>
      </c>
      <c r="E384" s="10" t="str">
        <f>IF(COUNTIF('Top5'!I:I, D384) &gt; 0, "Yes", "No")</f>
        <v>No</v>
      </c>
      <c r="F384" s="10"/>
      <c r="G384">
        <v>45689</v>
      </c>
      <c r="H384">
        <v>0.4513888888888889</v>
      </c>
      <c r="I384" t="s">
        <v>22</v>
      </c>
      <c r="J384" t="s">
        <v>37</v>
      </c>
      <c r="K384" t="s">
        <v>68</v>
      </c>
    </row>
    <row r="385" spans="1:11">
      <c r="A385" s="11">
        <v>45689</v>
      </c>
      <c r="B385" s="14">
        <v>0.64027777777777772</v>
      </c>
      <c r="C385" s="10" t="s">
        <v>22</v>
      </c>
      <c r="D385" s="10" t="e" cm="1">
        <f t="array" ref="D385">INDEX($H$2:$H$35, MATCH(1, (A385 &gt;= $F$2:$F$35) * (A385 &lt;= $G$2:$G$35), 0))</f>
        <v>#N/A</v>
      </c>
      <c r="E385" s="10" t="str">
        <f>IF(COUNTIF('Top5'!I:I, D385) &gt; 0, "Yes", "No")</f>
        <v>No</v>
      </c>
      <c r="F385" s="10"/>
      <c r="G385">
        <v>45689</v>
      </c>
      <c r="H385">
        <v>0.64027777777777772</v>
      </c>
      <c r="I385" t="s">
        <v>22</v>
      </c>
      <c r="J385" t="s">
        <v>37</v>
      </c>
      <c r="K385" t="s">
        <v>68</v>
      </c>
    </row>
    <row r="386" spans="1:11">
      <c r="A386" s="11">
        <v>45690</v>
      </c>
      <c r="B386" s="14">
        <v>0.39791666666666664</v>
      </c>
      <c r="C386" s="10" t="s">
        <v>22</v>
      </c>
      <c r="D386" s="10" t="e" cm="1">
        <f t="array" ref="D386">INDEX($H$2:$H$35, MATCH(1, (A386 &gt;= $F$2:$F$35) * (A386 &lt;= $G$2:$G$35), 0))</f>
        <v>#N/A</v>
      </c>
      <c r="E386" s="10" t="str">
        <f>IF(COUNTIF('Top5'!I:I, D386) &gt; 0, "Yes", "No")</f>
        <v>No</v>
      </c>
      <c r="F386" s="10"/>
      <c r="G386">
        <v>45690</v>
      </c>
      <c r="H386">
        <v>0.39791666666666664</v>
      </c>
      <c r="I386" t="s">
        <v>22</v>
      </c>
      <c r="J386" t="s">
        <v>37</v>
      </c>
      <c r="K386" t="s">
        <v>68</v>
      </c>
    </row>
    <row r="387" spans="1:11">
      <c r="A387" s="11">
        <v>45690</v>
      </c>
      <c r="B387" s="14">
        <v>0.4</v>
      </c>
      <c r="C387" s="10" t="s">
        <v>22</v>
      </c>
      <c r="D387" s="10" t="e" cm="1">
        <f t="array" ref="D387">INDEX($H$2:$H$35, MATCH(1, (A387 &gt;= $F$2:$F$35) * (A387 &lt;= $G$2:$G$35), 0))</f>
        <v>#N/A</v>
      </c>
      <c r="E387" s="10" t="str">
        <f>IF(COUNTIF('Top5'!I:I, D387) &gt; 0, "Yes", "No")</f>
        <v>No</v>
      </c>
      <c r="F387" s="10"/>
      <c r="G387">
        <v>45690</v>
      </c>
      <c r="H387">
        <v>0.4</v>
      </c>
      <c r="I387" t="s">
        <v>22</v>
      </c>
      <c r="J387" t="s">
        <v>37</v>
      </c>
      <c r="K387" t="s">
        <v>68</v>
      </c>
    </row>
    <row r="388" spans="1:11">
      <c r="A388" s="11">
        <v>45690</v>
      </c>
      <c r="B388" s="14">
        <v>0.4</v>
      </c>
      <c r="C388" s="10" t="s">
        <v>22</v>
      </c>
      <c r="D388" s="10" t="e" cm="1">
        <f t="array" ref="D388">INDEX($H$2:$H$35, MATCH(1, (A388 &gt;= $F$2:$F$35) * (A388 &lt;= $G$2:$G$35), 0))</f>
        <v>#N/A</v>
      </c>
      <c r="E388" s="10" t="str">
        <f>IF(COUNTIF('Top5'!I:I, D388) &gt; 0, "Yes", "No")</f>
        <v>No</v>
      </c>
      <c r="F388" s="10"/>
      <c r="G388">
        <v>45690</v>
      </c>
      <c r="H388">
        <v>0.4</v>
      </c>
      <c r="I388" t="s">
        <v>22</v>
      </c>
      <c r="J388" t="s">
        <v>37</v>
      </c>
      <c r="K388" t="s">
        <v>68</v>
      </c>
    </row>
    <row r="389" spans="1:11">
      <c r="A389" s="11">
        <v>45690</v>
      </c>
      <c r="B389" s="14">
        <v>0.40972222222222221</v>
      </c>
      <c r="C389" s="10" t="s">
        <v>22</v>
      </c>
      <c r="D389" s="10" t="e" cm="1">
        <f t="array" ref="D389">INDEX($H$2:$H$35, MATCH(1, (A389 &gt;= $F$2:$F$35) * (A389 &lt;= $G$2:$G$35), 0))</f>
        <v>#N/A</v>
      </c>
      <c r="E389" s="10" t="str">
        <f>IF(COUNTIF('Top5'!I:I, D389) &gt; 0, "Yes", "No")</f>
        <v>No</v>
      </c>
      <c r="F389" s="10"/>
      <c r="G389">
        <v>45690</v>
      </c>
      <c r="H389">
        <v>0.40972222222222221</v>
      </c>
      <c r="I389" t="s">
        <v>22</v>
      </c>
      <c r="J389" t="s">
        <v>37</v>
      </c>
      <c r="K389" t="s">
        <v>68</v>
      </c>
    </row>
    <row r="390" spans="1:11">
      <c r="A390" s="11">
        <v>45692</v>
      </c>
      <c r="B390" s="14">
        <v>0.49652777777777779</v>
      </c>
      <c r="C390" s="10" t="s">
        <v>22</v>
      </c>
      <c r="D390" s="10" t="e" cm="1">
        <f t="array" ref="D390">INDEX($H$2:$H$35, MATCH(1, (A390 &gt;= $F$2:$F$35) * (A390 &lt;= $G$2:$G$35), 0))</f>
        <v>#N/A</v>
      </c>
      <c r="E390" s="10" t="str">
        <f>IF(COUNTIF('Top5'!I:I, D390) &gt; 0, "Yes", "No")</f>
        <v>No</v>
      </c>
      <c r="F390" s="10"/>
      <c r="G390">
        <v>45692</v>
      </c>
      <c r="H390">
        <v>0.49652777777777779</v>
      </c>
      <c r="I390" t="s">
        <v>22</v>
      </c>
      <c r="J390" t="s">
        <v>37</v>
      </c>
      <c r="K390" t="s">
        <v>68</v>
      </c>
    </row>
    <row r="391" spans="1:11">
      <c r="A391" s="11">
        <v>45692</v>
      </c>
      <c r="B391" s="14">
        <v>0.97986111111111107</v>
      </c>
      <c r="C391" s="10" t="s">
        <v>23</v>
      </c>
      <c r="D391" s="10" t="e" cm="1">
        <f t="array" ref="D391">INDEX($H$2:$H$35, MATCH(1, (A391 &gt;= $F$2:$F$35) * (A391 &lt;= $G$2:$G$35), 0))</f>
        <v>#N/A</v>
      </c>
      <c r="E391" s="10" t="str">
        <f>IF(COUNTIF('Top5'!I:I, D391) &gt; 0, "Yes", "No")</f>
        <v>No</v>
      </c>
      <c r="F391" s="10"/>
      <c r="G391">
        <v>45692</v>
      </c>
      <c r="H391">
        <v>0.97986111111111107</v>
      </c>
      <c r="I391" t="s">
        <v>23</v>
      </c>
      <c r="J391" t="s">
        <v>37</v>
      </c>
      <c r="K391" t="s">
        <v>68</v>
      </c>
    </row>
    <row r="392" spans="1:11">
      <c r="A392" s="11">
        <v>45693</v>
      </c>
      <c r="B392" s="14">
        <v>2.7777777777777779E-3</v>
      </c>
      <c r="C392" s="10" t="s">
        <v>23</v>
      </c>
      <c r="D392" s="10" t="e" cm="1">
        <f t="array" ref="D392">INDEX($H$2:$H$35, MATCH(1, (A392 &gt;= $F$2:$F$35) * (A392 &lt;= $G$2:$G$35), 0))</f>
        <v>#N/A</v>
      </c>
      <c r="E392" s="10" t="str">
        <f>IF(COUNTIF('Top5'!I:I, D392) &gt; 0, "Yes", "No")</f>
        <v>No</v>
      </c>
      <c r="F392" s="10"/>
      <c r="G392">
        <v>45693</v>
      </c>
      <c r="H392">
        <v>2.7777777777777779E-3</v>
      </c>
      <c r="I392" t="s">
        <v>23</v>
      </c>
      <c r="J392" t="s">
        <v>37</v>
      </c>
      <c r="K392" t="s">
        <v>68</v>
      </c>
    </row>
    <row r="393" spans="1:11">
      <c r="A393" s="11">
        <v>45693</v>
      </c>
      <c r="B393" s="14">
        <v>0.39791666666666664</v>
      </c>
      <c r="C393" s="10" t="s">
        <v>22</v>
      </c>
      <c r="D393" s="10" t="e" cm="1">
        <f t="array" ref="D393">INDEX($H$2:$H$35, MATCH(1, (A393 &gt;= $F$2:$F$35) * (A393 &lt;= $G$2:$G$35), 0))</f>
        <v>#N/A</v>
      </c>
      <c r="E393" s="10" t="str">
        <f>IF(COUNTIF('Top5'!I:I, D393) &gt; 0, "Yes", "No")</f>
        <v>No</v>
      </c>
      <c r="F393" s="10"/>
      <c r="G393">
        <v>45693</v>
      </c>
      <c r="H393">
        <v>0.39791666666666664</v>
      </c>
      <c r="I393" t="s">
        <v>22</v>
      </c>
      <c r="J393" t="s">
        <v>37</v>
      </c>
      <c r="K393" t="s">
        <v>68</v>
      </c>
    </row>
    <row r="394" spans="1:11">
      <c r="A394" s="11">
        <v>45693</v>
      </c>
      <c r="B394" s="14">
        <v>0.62430555555555556</v>
      </c>
      <c r="C394" s="10" t="s">
        <v>22</v>
      </c>
      <c r="D394" s="10" t="e" cm="1">
        <f t="array" ref="D394">INDEX($H$2:$H$35, MATCH(1, (A394 &gt;= $F$2:$F$35) * (A394 &lt;= $G$2:$G$35), 0))</f>
        <v>#N/A</v>
      </c>
      <c r="E394" s="10" t="str">
        <f>IF(COUNTIF('Top5'!I:I, D394) &gt; 0, "Yes", "No")</f>
        <v>No</v>
      </c>
      <c r="F394" s="10"/>
      <c r="G394">
        <v>45693</v>
      </c>
      <c r="H394">
        <v>0.62430555555555556</v>
      </c>
      <c r="I394" t="s">
        <v>22</v>
      </c>
      <c r="J394" t="s">
        <v>37</v>
      </c>
      <c r="K394" t="s">
        <v>68</v>
      </c>
    </row>
    <row r="395" spans="1:11">
      <c r="A395" s="11">
        <v>45694</v>
      </c>
      <c r="B395" s="14">
        <v>0.42986111111111114</v>
      </c>
      <c r="C395" s="10" t="s">
        <v>22</v>
      </c>
      <c r="D395" s="10" t="e" cm="1">
        <f t="array" ref="D395">INDEX($H$2:$H$35, MATCH(1, (A395 &gt;= $F$2:$F$35) * (A395 &lt;= $G$2:$G$35), 0))</f>
        <v>#N/A</v>
      </c>
      <c r="E395" s="10" t="str">
        <f>IF(COUNTIF('Top5'!I:I, D395) &gt; 0, "Yes", "No")</f>
        <v>No</v>
      </c>
      <c r="F395" s="10"/>
      <c r="G395">
        <v>45694</v>
      </c>
      <c r="H395">
        <v>0.42986111111111114</v>
      </c>
      <c r="I395" t="s">
        <v>22</v>
      </c>
      <c r="J395" t="s">
        <v>37</v>
      </c>
      <c r="K395" t="s">
        <v>68</v>
      </c>
    </row>
    <row r="396" spans="1:11">
      <c r="A396" s="11">
        <v>45694</v>
      </c>
      <c r="B396" s="14">
        <v>0.86597222222222225</v>
      </c>
      <c r="C396" s="10" t="s">
        <v>23</v>
      </c>
      <c r="D396" s="10" t="e" cm="1">
        <f t="array" ref="D396">INDEX($H$2:$H$35, MATCH(1, (A396 &gt;= $F$2:$F$35) * (A396 &lt;= $G$2:$G$35), 0))</f>
        <v>#N/A</v>
      </c>
      <c r="E396" s="10" t="str">
        <f>IF(COUNTIF('Top5'!I:I, D396) &gt; 0, "Yes", "No")</f>
        <v>No</v>
      </c>
      <c r="F396" s="10"/>
      <c r="G396">
        <v>45694</v>
      </c>
      <c r="H396">
        <v>0.86597222222222225</v>
      </c>
      <c r="I396" t="s">
        <v>23</v>
      </c>
      <c r="J396" t="s">
        <v>37</v>
      </c>
      <c r="K396" t="s">
        <v>68</v>
      </c>
    </row>
    <row r="397" spans="1:11">
      <c r="A397" s="11">
        <v>45694</v>
      </c>
      <c r="B397" s="14">
        <v>0.88958333333333328</v>
      </c>
      <c r="C397" s="10" t="s">
        <v>23</v>
      </c>
      <c r="D397" s="10" t="e" cm="1">
        <f t="array" ref="D397">INDEX($H$2:$H$35, MATCH(1, (A397 &gt;= $F$2:$F$35) * (A397 &lt;= $G$2:$G$35), 0))</f>
        <v>#N/A</v>
      </c>
      <c r="E397" s="10" t="str">
        <f>IF(COUNTIF('Top5'!I:I, D397) &gt; 0, "Yes", "No")</f>
        <v>No</v>
      </c>
      <c r="F397" s="10"/>
      <c r="G397">
        <v>45694</v>
      </c>
      <c r="H397">
        <v>0.88958333333333328</v>
      </c>
      <c r="I397" t="s">
        <v>23</v>
      </c>
      <c r="J397" t="s">
        <v>37</v>
      </c>
      <c r="K397" t="s">
        <v>68</v>
      </c>
    </row>
    <row r="398" spans="1:11">
      <c r="A398" s="11">
        <v>45694</v>
      </c>
      <c r="B398" s="14">
        <v>0.89027777777777772</v>
      </c>
      <c r="C398" s="10" t="s">
        <v>23</v>
      </c>
      <c r="D398" s="10" t="e" cm="1">
        <f t="array" ref="D398">INDEX($H$2:$H$35, MATCH(1, (A398 &gt;= $F$2:$F$35) * (A398 &lt;= $G$2:$G$35), 0))</f>
        <v>#N/A</v>
      </c>
      <c r="E398" s="10" t="str">
        <f>IF(COUNTIF('Top5'!I:I, D398) &gt; 0, "Yes", "No")</f>
        <v>No</v>
      </c>
      <c r="F398" s="10"/>
      <c r="G398">
        <v>45694</v>
      </c>
      <c r="H398">
        <v>0.89027777777777772</v>
      </c>
      <c r="I398" t="s">
        <v>23</v>
      </c>
      <c r="J398" t="s">
        <v>37</v>
      </c>
      <c r="K398" t="s">
        <v>68</v>
      </c>
    </row>
    <row r="399" spans="1:11">
      <c r="A399" s="11">
        <v>45694</v>
      </c>
      <c r="B399" s="14">
        <v>0.95</v>
      </c>
      <c r="C399" s="10" t="s">
        <v>23</v>
      </c>
      <c r="D399" s="10" t="e" cm="1">
        <f t="array" ref="D399">INDEX($H$2:$H$35, MATCH(1, (A399 &gt;= $F$2:$F$35) * (A399 &lt;= $G$2:$G$35), 0))</f>
        <v>#N/A</v>
      </c>
      <c r="E399" s="10" t="str">
        <f>IF(COUNTIF('Top5'!I:I, D399) &gt; 0, "Yes", "No")</f>
        <v>No</v>
      </c>
      <c r="F399" s="10"/>
      <c r="G399">
        <v>45694</v>
      </c>
      <c r="H399">
        <v>0.95</v>
      </c>
      <c r="I399" t="s">
        <v>23</v>
      </c>
      <c r="J399" t="s">
        <v>37</v>
      </c>
      <c r="K399" t="s">
        <v>68</v>
      </c>
    </row>
    <row r="400" spans="1:11">
      <c r="A400" s="11">
        <v>45695</v>
      </c>
      <c r="B400" s="14">
        <v>0.44027777777777777</v>
      </c>
      <c r="C400" s="10" t="s">
        <v>22</v>
      </c>
      <c r="D400" s="10" t="e" cm="1">
        <f t="array" ref="D400">INDEX($H$2:$H$35, MATCH(1, (A400 &gt;= $F$2:$F$35) * (A400 &lt;= $G$2:$G$35), 0))</f>
        <v>#N/A</v>
      </c>
      <c r="E400" s="10" t="str">
        <f>IF(COUNTIF('Top5'!I:I, D400) &gt; 0, "Yes", "No")</f>
        <v>No</v>
      </c>
      <c r="F400" s="10"/>
      <c r="G400">
        <v>45695</v>
      </c>
      <c r="H400">
        <v>0.44027777777777777</v>
      </c>
      <c r="I400" t="s">
        <v>22</v>
      </c>
      <c r="J400" t="s">
        <v>37</v>
      </c>
      <c r="K400" t="s">
        <v>68</v>
      </c>
    </row>
    <row r="401" spans="1:11">
      <c r="A401" s="11">
        <v>45695</v>
      </c>
      <c r="B401" s="14">
        <v>0.60902777777777772</v>
      </c>
      <c r="C401" s="10" t="s">
        <v>22</v>
      </c>
      <c r="D401" s="10" t="e" cm="1">
        <f t="array" ref="D401">INDEX($H$2:$H$35, MATCH(1, (A401 &gt;= $F$2:$F$35) * (A401 &lt;= $G$2:$G$35), 0))</f>
        <v>#N/A</v>
      </c>
      <c r="E401" s="10" t="str">
        <f>IF(COUNTIF('Top5'!I:I, D401) &gt; 0, "Yes", "No")</f>
        <v>No</v>
      </c>
      <c r="F401" s="10"/>
      <c r="G401">
        <v>45695</v>
      </c>
      <c r="H401">
        <v>0.60902777777777772</v>
      </c>
      <c r="I401" t="s">
        <v>22</v>
      </c>
      <c r="J401" t="s">
        <v>37</v>
      </c>
      <c r="K401" t="s">
        <v>68</v>
      </c>
    </row>
    <row r="402" spans="1:11">
      <c r="A402" s="11">
        <v>45695</v>
      </c>
      <c r="B402" s="14">
        <v>0.83819444444444446</v>
      </c>
      <c r="C402" s="10" t="s">
        <v>23</v>
      </c>
      <c r="D402" s="10" t="e" cm="1">
        <f t="array" ref="D402">INDEX($H$2:$H$35, MATCH(1, (A402 &gt;= $F$2:$F$35) * (A402 &lt;= $G$2:$G$35), 0))</f>
        <v>#N/A</v>
      </c>
      <c r="E402" s="10" t="str">
        <f>IF(COUNTIF('Top5'!I:I, D402) &gt; 0, "Yes", "No")</f>
        <v>No</v>
      </c>
      <c r="F402" s="10"/>
      <c r="G402">
        <v>45695</v>
      </c>
      <c r="H402">
        <v>0.83819444444444446</v>
      </c>
      <c r="I402" t="s">
        <v>23</v>
      </c>
      <c r="J402" t="s">
        <v>37</v>
      </c>
      <c r="K402" t="s">
        <v>68</v>
      </c>
    </row>
    <row r="403" spans="1:11">
      <c r="A403" s="11">
        <v>45695</v>
      </c>
      <c r="B403" s="14">
        <v>0.94930555555555551</v>
      </c>
      <c r="C403" s="10" t="s">
        <v>23</v>
      </c>
      <c r="D403" s="10" t="e" cm="1">
        <f t="array" ref="D403">INDEX($H$2:$H$35, MATCH(1, (A403 &gt;= $F$2:$F$35) * (A403 &lt;= $G$2:$G$35), 0))</f>
        <v>#N/A</v>
      </c>
      <c r="E403" s="10" t="str">
        <f>IF(COUNTIF('Top5'!I:I, D403) &gt; 0, "Yes", "No")</f>
        <v>No</v>
      </c>
      <c r="F403" s="10"/>
      <c r="G403">
        <v>45695</v>
      </c>
      <c r="H403">
        <v>0.94930555555555551</v>
      </c>
      <c r="I403" t="s">
        <v>23</v>
      </c>
      <c r="J403" t="s">
        <v>37</v>
      </c>
      <c r="K403" t="s">
        <v>68</v>
      </c>
    </row>
    <row r="404" spans="1:11">
      <c r="A404" s="11">
        <v>45695</v>
      </c>
      <c r="B404" s="14">
        <v>0.9506944444444444</v>
      </c>
      <c r="C404" s="10" t="s">
        <v>23</v>
      </c>
      <c r="D404" s="10" t="e" cm="1">
        <f t="array" ref="D404">INDEX($H$2:$H$35, MATCH(1, (A404 &gt;= $F$2:$F$35) * (A404 &lt;= $G$2:$G$35), 0))</f>
        <v>#N/A</v>
      </c>
      <c r="E404" s="10" t="str">
        <f>IF(COUNTIF('Top5'!I:I, D404) &gt; 0, "Yes", "No")</f>
        <v>No</v>
      </c>
      <c r="F404" s="10"/>
      <c r="G404">
        <v>45695</v>
      </c>
      <c r="H404">
        <v>0.9506944444444444</v>
      </c>
      <c r="I404" t="s">
        <v>23</v>
      </c>
      <c r="J404" t="s">
        <v>37</v>
      </c>
      <c r="K404" t="s">
        <v>68</v>
      </c>
    </row>
    <row r="405" spans="1:11">
      <c r="A405" s="11">
        <v>45695</v>
      </c>
      <c r="B405" s="14">
        <v>0.95486111111111116</v>
      </c>
      <c r="C405" s="10" t="s">
        <v>23</v>
      </c>
      <c r="D405" s="10" t="e" cm="1">
        <f t="array" ref="D405">INDEX($H$2:$H$35, MATCH(1, (A405 &gt;= $F$2:$F$35) * (A405 &lt;= $G$2:$G$35), 0))</f>
        <v>#N/A</v>
      </c>
      <c r="E405" s="10" t="str">
        <f>IF(COUNTIF('Top5'!I:I, D405) &gt; 0, "Yes", "No")</f>
        <v>No</v>
      </c>
      <c r="F405" s="10"/>
      <c r="G405">
        <v>45695</v>
      </c>
      <c r="H405">
        <v>0.95486111111111116</v>
      </c>
      <c r="I405" t="s">
        <v>23</v>
      </c>
      <c r="J405" t="s">
        <v>37</v>
      </c>
      <c r="K405" t="s">
        <v>68</v>
      </c>
    </row>
    <row r="406" spans="1:11">
      <c r="A406" s="11">
        <v>45695</v>
      </c>
      <c r="B406" s="14">
        <v>0.98541666666666672</v>
      </c>
      <c r="C406" s="10" t="s">
        <v>23</v>
      </c>
      <c r="D406" s="10" t="e" cm="1">
        <f t="array" ref="D406">INDEX($H$2:$H$35, MATCH(1, (A406 &gt;= $F$2:$F$35) * (A406 &lt;= $G$2:$G$35), 0))</f>
        <v>#N/A</v>
      </c>
      <c r="E406" s="10" t="str">
        <f>IF(COUNTIF('Top5'!I:I, D406) &gt; 0, "Yes", "No")</f>
        <v>No</v>
      </c>
      <c r="F406" s="10"/>
      <c r="G406">
        <v>45695</v>
      </c>
      <c r="H406">
        <v>0.98541666666666672</v>
      </c>
      <c r="I406" t="s">
        <v>23</v>
      </c>
      <c r="J406" t="s">
        <v>37</v>
      </c>
      <c r="K406" t="s">
        <v>68</v>
      </c>
    </row>
    <row r="407" spans="1:11">
      <c r="A407" s="11">
        <v>45696</v>
      </c>
      <c r="B407" s="14">
        <v>0.97013888888888888</v>
      </c>
      <c r="C407" s="10" t="s">
        <v>23</v>
      </c>
      <c r="D407" s="10" t="e" cm="1">
        <f t="array" ref="D407">INDEX($H$2:$H$35, MATCH(1, (A407 &gt;= $F$2:$F$35) * (A407 &lt;= $G$2:$G$35), 0))</f>
        <v>#N/A</v>
      </c>
      <c r="E407" s="10" t="str">
        <f>IF(COUNTIF('Top5'!I:I, D407) &gt; 0, "Yes", "No")</f>
        <v>No</v>
      </c>
      <c r="F407" s="10"/>
      <c r="G407">
        <v>45696</v>
      </c>
      <c r="H407">
        <v>0.97013888888888888</v>
      </c>
      <c r="I407" t="s">
        <v>23</v>
      </c>
      <c r="J407" t="s">
        <v>41</v>
      </c>
      <c r="K407" t="s">
        <v>68</v>
      </c>
    </row>
    <row r="408" spans="1:11">
      <c r="A408" s="11">
        <v>45696</v>
      </c>
      <c r="B408" s="14">
        <v>0.9770833333333333</v>
      </c>
      <c r="C408" s="10" t="s">
        <v>23</v>
      </c>
      <c r="D408" s="10" t="e" cm="1">
        <f t="array" ref="D408">INDEX($H$2:$H$35, MATCH(1, (A408 &gt;= $F$2:$F$35) * (A408 &lt;= $G$2:$G$35), 0))</f>
        <v>#N/A</v>
      </c>
      <c r="E408" s="10" t="str">
        <f>IF(COUNTIF('Top5'!I:I, D408) &gt; 0, "Yes", "No")</f>
        <v>No</v>
      </c>
      <c r="F408" s="10"/>
      <c r="G408">
        <v>45696</v>
      </c>
      <c r="H408">
        <v>0.9770833333333333</v>
      </c>
      <c r="I408" t="s">
        <v>23</v>
      </c>
      <c r="J408" t="s">
        <v>41</v>
      </c>
      <c r="K408" t="s">
        <v>68</v>
      </c>
    </row>
    <row r="409" spans="1:11">
      <c r="A409" s="11">
        <v>45697</v>
      </c>
      <c r="B409" s="14">
        <v>5.5555555555555558E-3</v>
      </c>
      <c r="C409" s="10" t="s">
        <v>23</v>
      </c>
      <c r="D409" s="10" t="e" cm="1">
        <f t="array" ref="D409">INDEX($H$2:$H$35, MATCH(1, (A409 &gt;= $F$2:$F$35) * (A409 &lt;= $G$2:$G$35), 0))</f>
        <v>#N/A</v>
      </c>
      <c r="E409" s="10" t="str">
        <f>IF(COUNTIF('Top5'!I:I, D409) &gt; 0, "Yes", "No")</f>
        <v>No</v>
      </c>
      <c r="F409" s="10"/>
      <c r="G409">
        <v>45697</v>
      </c>
      <c r="H409">
        <v>5.5555555555555558E-3</v>
      </c>
      <c r="I409" t="s">
        <v>23</v>
      </c>
      <c r="J409" t="s">
        <v>41</v>
      </c>
      <c r="K409" t="s">
        <v>68</v>
      </c>
    </row>
    <row r="410" spans="1:11">
      <c r="A410" s="11">
        <v>45697</v>
      </c>
      <c r="B410" s="14">
        <v>1.0416666666666666E-2</v>
      </c>
      <c r="C410" s="10" t="s">
        <v>23</v>
      </c>
      <c r="D410" s="10" t="e" cm="1">
        <f t="array" ref="D410">INDEX($H$2:$H$35, MATCH(1, (A410 &gt;= $F$2:$F$35) * (A410 &lt;= $G$2:$G$35), 0))</f>
        <v>#N/A</v>
      </c>
      <c r="E410" s="10" t="str">
        <f>IF(COUNTIF('Top5'!I:I, D410) &gt; 0, "Yes", "No")</f>
        <v>No</v>
      </c>
      <c r="F410" s="10"/>
      <c r="G410">
        <v>45697</v>
      </c>
      <c r="H410">
        <v>1.0416666666666666E-2</v>
      </c>
      <c r="I410" t="s">
        <v>23</v>
      </c>
      <c r="J410" t="s">
        <v>41</v>
      </c>
      <c r="K410" t="s">
        <v>68</v>
      </c>
    </row>
    <row r="411" spans="1:11">
      <c r="A411" s="11">
        <v>45697</v>
      </c>
      <c r="B411" s="14">
        <v>1.1111111111111112E-2</v>
      </c>
      <c r="C411" s="10" t="s">
        <v>23</v>
      </c>
      <c r="D411" s="10" t="e" cm="1">
        <f t="array" ref="D411">INDEX($H$2:$H$35, MATCH(1, (A411 &gt;= $F$2:$F$35) * (A411 &lt;= $G$2:$G$35), 0))</f>
        <v>#N/A</v>
      </c>
      <c r="E411" s="10" t="str">
        <f>IF(COUNTIF('Top5'!I:I, D411) &gt; 0, "Yes", "No")</f>
        <v>No</v>
      </c>
      <c r="F411" s="10"/>
      <c r="G411">
        <v>45697</v>
      </c>
      <c r="H411">
        <v>1.1111111111111112E-2</v>
      </c>
      <c r="I411" t="s">
        <v>23</v>
      </c>
      <c r="J411" t="s">
        <v>41</v>
      </c>
      <c r="K411" t="s">
        <v>68</v>
      </c>
    </row>
    <row r="412" spans="1:11">
      <c r="A412" s="11">
        <v>45697</v>
      </c>
      <c r="B412" s="14">
        <v>1.1111111111111112E-2</v>
      </c>
      <c r="C412" s="10" t="s">
        <v>23</v>
      </c>
      <c r="D412" s="10" t="e" cm="1">
        <f t="array" ref="D412">INDEX($H$2:$H$35, MATCH(1, (A412 &gt;= $F$2:$F$35) * (A412 &lt;= $G$2:$G$35), 0))</f>
        <v>#N/A</v>
      </c>
      <c r="E412" s="10" t="str">
        <f>IF(COUNTIF('Top5'!I:I, D412) &gt; 0, "Yes", "No")</f>
        <v>No</v>
      </c>
      <c r="F412" s="10"/>
      <c r="G412">
        <v>45697</v>
      </c>
      <c r="H412">
        <v>1.1111111111111112E-2</v>
      </c>
      <c r="I412" t="s">
        <v>23</v>
      </c>
      <c r="J412" t="s">
        <v>41</v>
      </c>
      <c r="K412" t="s">
        <v>68</v>
      </c>
    </row>
    <row r="413" spans="1:11">
      <c r="A413" s="11">
        <v>45697</v>
      </c>
      <c r="B413" s="14">
        <v>1.5277777777777777E-2</v>
      </c>
      <c r="C413" s="10" t="s">
        <v>23</v>
      </c>
      <c r="D413" s="10" t="e" cm="1">
        <f t="array" ref="D413">INDEX($H$2:$H$35, MATCH(1, (A413 &gt;= $F$2:$F$35) * (A413 &lt;= $G$2:$G$35), 0))</f>
        <v>#N/A</v>
      </c>
      <c r="E413" s="10" t="str">
        <f>IF(COUNTIF('Top5'!I:I, D413) &gt; 0, "Yes", "No")</f>
        <v>No</v>
      </c>
      <c r="F413" s="10"/>
      <c r="G413">
        <v>45697</v>
      </c>
      <c r="H413">
        <v>1.5277777777777777E-2</v>
      </c>
      <c r="I413" t="s">
        <v>23</v>
      </c>
      <c r="J413" t="s">
        <v>41</v>
      </c>
      <c r="K413" t="s">
        <v>68</v>
      </c>
    </row>
    <row r="414" spans="1:11">
      <c r="A414" s="11">
        <v>45697</v>
      </c>
      <c r="B414" s="14">
        <v>0.63888888888888884</v>
      </c>
      <c r="C414" s="10" t="s">
        <v>22</v>
      </c>
      <c r="D414" s="10" t="e" cm="1">
        <f t="array" ref="D414">INDEX($H$2:$H$35, MATCH(1, (A414 &gt;= $F$2:$F$35) * (A414 &lt;= $G$2:$G$35), 0))</f>
        <v>#N/A</v>
      </c>
      <c r="E414" s="10" t="str">
        <f>IF(COUNTIF('Top5'!I:I, D414) &gt; 0, "Yes", "No")</f>
        <v>No</v>
      </c>
      <c r="F414" s="10"/>
      <c r="G414">
        <v>45697</v>
      </c>
      <c r="H414">
        <v>0.63888888888888884</v>
      </c>
      <c r="I414" t="s">
        <v>22</v>
      </c>
      <c r="J414" t="s">
        <v>41</v>
      </c>
      <c r="K414" t="s">
        <v>68</v>
      </c>
    </row>
    <row r="415" spans="1:11">
      <c r="A415" s="11">
        <v>45697</v>
      </c>
      <c r="B415" s="14">
        <v>0.95625000000000004</v>
      </c>
      <c r="C415" s="10" t="s">
        <v>23</v>
      </c>
      <c r="D415" s="10" t="e" cm="1">
        <f t="array" ref="D415">INDEX($H$2:$H$35, MATCH(1, (A415 &gt;= $F$2:$F$35) * (A415 &lt;= $G$2:$G$35), 0))</f>
        <v>#N/A</v>
      </c>
      <c r="E415" s="10" t="str">
        <f>IF(COUNTIF('Top5'!I:I, D415) &gt; 0, "Yes", "No")</f>
        <v>No</v>
      </c>
      <c r="F415" s="10"/>
      <c r="G415">
        <v>45697</v>
      </c>
      <c r="H415">
        <v>0.95625000000000004</v>
      </c>
      <c r="I415" t="s">
        <v>23</v>
      </c>
      <c r="J415" t="s">
        <v>41</v>
      </c>
      <c r="K415" t="s">
        <v>68</v>
      </c>
    </row>
    <row r="416" spans="1:11">
      <c r="A416" s="11">
        <v>45698</v>
      </c>
      <c r="B416" s="14">
        <v>0.89097222222222228</v>
      </c>
      <c r="C416" s="10" t="s">
        <v>23</v>
      </c>
      <c r="D416" s="10" t="e" cm="1">
        <f t="array" ref="D416">INDEX($H$2:$H$35, MATCH(1, (A416 &gt;= $F$2:$F$35) * (A416 &lt;= $G$2:$G$35), 0))</f>
        <v>#N/A</v>
      </c>
      <c r="E416" s="10" t="str">
        <f>IF(COUNTIF('Top5'!I:I, D416) &gt; 0, "Yes", "No")</f>
        <v>No</v>
      </c>
      <c r="F416" s="10"/>
      <c r="G416">
        <v>45698</v>
      </c>
      <c r="H416">
        <v>0.89097222222222228</v>
      </c>
      <c r="I416" t="s">
        <v>23</v>
      </c>
      <c r="J416" t="s">
        <v>41</v>
      </c>
      <c r="K416" t="s">
        <v>68</v>
      </c>
    </row>
    <row r="417" spans="1:11">
      <c r="A417" s="11">
        <v>45699</v>
      </c>
      <c r="B417" s="14">
        <v>0.50624999999999998</v>
      </c>
      <c r="C417" s="10" t="s">
        <v>22</v>
      </c>
      <c r="D417" s="10" t="e" cm="1">
        <f t="array" ref="D417">INDEX($H$2:$H$35, MATCH(1, (A417 &gt;= $F$2:$F$35) * (A417 &lt;= $G$2:$G$35), 0))</f>
        <v>#N/A</v>
      </c>
      <c r="E417" s="10" t="str">
        <f>IF(COUNTIF('Top5'!I:I, D417) &gt; 0, "Yes", "No")</f>
        <v>No</v>
      </c>
      <c r="F417" s="10"/>
      <c r="G417">
        <v>45699</v>
      </c>
      <c r="H417">
        <v>0.50624999999999998</v>
      </c>
      <c r="I417" t="s">
        <v>22</v>
      </c>
      <c r="J417" t="s">
        <v>41</v>
      </c>
      <c r="K417" t="s">
        <v>68</v>
      </c>
    </row>
    <row r="418" spans="1:11">
      <c r="A418" s="11">
        <v>45700</v>
      </c>
      <c r="B418" s="14">
        <v>1.6666666666666666E-2</v>
      </c>
      <c r="C418" s="10" t="s">
        <v>23</v>
      </c>
      <c r="D418" s="10" t="e" cm="1">
        <f t="array" ref="D418">INDEX($H$2:$H$35, MATCH(1, (A418 &gt;= $F$2:$F$35) * (A418 &lt;= $G$2:$G$35), 0))</f>
        <v>#N/A</v>
      </c>
      <c r="E418" s="10" t="str">
        <f>IF(COUNTIF('Top5'!I:I, D418) &gt; 0, "Yes", "No")</f>
        <v>No</v>
      </c>
      <c r="F418" s="10"/>
      <c r="G418">
        <v>45700</v>
      </c>
      <c r="H418">
        <v>1.6666666666666666E-2</v>
      </c>
      <c r="I418" t="s">
        <v>23</v>
      </c>
      <c r="J418" t="s">
        <v>41</v>
      </c>
      <c r="K418" t="s">
        <v>68</v>
      </c>
    </row>
    <row r="419" spans="1:11">
      <c r="A419" s="11">
        <v>45700</v>
      </c>
      <c r="B419" s="14">
        <v>1.9444444444444445E-2</v>
      </c>
      <c r="C419" s="10" t="s">
        <v>23</v>
      </c>
      <c r="D419" s="10" t="e" cm="1">
        <f t="array" ref="D419">INDEX($H$2:$H$35, MATCH(1, (A419 &gt;= $F$2:$F$35) * (A419 &lt;= $G$2:$G$35), 0))</f>
        <v>#N/A</v>
      </c>
      <c r="E419" s="10" t="str">
        <f>IF(COUNTIF('Top5'!I:I, D419) &gt; 0, "Yes", "No")</f>
        <v>No</v>
      </c>
      <c r="F419" s="10"/>
      <c r="G419">
        <v>45700</v>
      </c>
      <c r="H419">
        <v>1.9444444444444445E-2</v>
      </c>
      <c r="I419" t="s">
        <v>23</v>
      </c>
      <c r="J419" t="s">
        <v>41</v>
      </c>
      <c r="K419" t="s">
        <v>68</v>
      </c>
    </row>
    <row r="420" spans="1:11">
      <c r="A420" s="11">
        <v>45700</v>
      </c>
      <c r="B420" s="14">
        <v>0.50138888888888888</v>
      </c>
      <c r="C420" s="10" t="s">
        <v>22</v>
      </c>
      <c r="D420" s="10" t="e" cm="1">
        <f t="array" ref="D420">INDEX($H$2:$H$35, MATCH(1, (A420 &gt;= $F$2:$F$35) * (A420 &lt;= $G$2:$G$35), 0))</f>
        <v>#N/A</v>
      </c>
      <c r="E420" s="10" t="str">
        <f>IF(COUNTIF('Top5'!I:I, D420) &gt; 0, "Yes", "No")</f>
        <v>No</v>
      </c>
      <c r="F420" s="10"/>
      <c r="G420">
        <v>45700</v>
      </c>
      <c r="H420">
        <v>0.50138888888888888</v>
      </c>
      <c r="I420" t="s">
        <v>22</v>
      </c>
      <c r="J420" t="s">
        <v>41</v>
      </c>
      <c r="K420" t="s">
        <v>68</v>
      </c>
    </row>
    <row r="421" spans="1:11">
      <c r="A421" s="11">
        <v>45700</v>
      </c>
      <c r="B421" s="14">
        <v>0.52430555555555558</v>
      </c>
      <c r="C421" s="10" t="s">
        <v>22</v>
      </c>
      <c r="D421" s="10" t="e" cm="1">
        <f t="array" ref="D421">INDEX($H$2:$H$35, MATCH(1, (A421 &gt;= $F$2:$F$35) * (A421 &lt;= $G$2:$G$35), 0))</f>
        <v>#N/A</v>
      </c>
      <c r="E421" s="10" t="str">
        <f>IF(COUNTIF('Top5'!I:I, D421) &gt; 0, "Yes", "No")</f>
        <v>No</v>
      </c>
      <c r="F421" s="10"/>
      <c r="G421">
        <v>45700</v>
      </c>
      <c r="H421">
        <v>0.52430555555555558</v>
      </c>
      <c r="I421" t="s">
        <v>22</v>
      </c>
      <c r="J421" t="s">
        <v>41</v>
      </c>
      <c r="K421" t="s">
        <v>68</v>
      </c>
    </row>
    <row r="422" spans="1:11">
      <c r="A422" s="11">
        <v>45700</v>
      </c>
      <c r="B422" s="14">
        <v>0.54374999999999996</v>
      </c>
      <c r="C422" s="10" t="s">
        <v>22</v>
      </c>
      <c r="D422" s="10" t="e" cm="1">
        <f t="array" ref="D422">INDEX($H$2:$H$35, MATCH(1, (A422 &gt;= $F$2:$F$35) * (A422 &lt;= $G$2:$G$35), 0))</f>
        <v>#N/A</v>
      </c>
      <c r="E422" s="10" t="str">
        <f>IF(COUNTIF('Top5'!I:I, D422) &gt; 0, "Yes", "No")</f>
        <v>No</v>
      </c>
      <c r="F422" s="10"/>
      <c r="G422">
        <v>45700</v>
      </c>
      <c r="H422">
        <v>0.54374999999999996</v>
      </c>
      <c r="I422" t="s">
        <v>22</v>
      </c>
      <c r="J422" t="s">
        <v>41</v>
      </c>
      <c r="K422" t="s">
        <v>68</v>
      </c>
    </row>
    <row r="423" spans="1:11">
      <c r="A423" s="11">
        <v>45700</v>
      </c>
      <c r="B423" s="14">
        <v>0.61527777777777781</v>
      </c>
      <c r="C423" s="10" t="s">
        <v>22</v>
      </c>
      <c r="D423" s="10" t="e" cm="1">
        <f t="array" ref="D423">INDEX($H$2:$H$35, MATCH(1, (A423 &gt;= $F$2:$F$35) * (A423 &lt;= $G$2:$G$35), 0))</f>
        <v>#N/A</v>
      </c>
      <c r="E423" s="10" t="str">
        <f>IF(COUNTIF('Top5'!I:I, D423) &gt; 0, "Yes", "No")</f>
        <v>No</v>
      </c>
      <c r="F423" s="10"/>
      <c r="G423">
        <v>45700</v>
      </c>
      <c r="H423">
        <v>0.61527777777777781</v>
      </c>
      <c r="I423" t="s">
        <v>22</v>
      </c>
      <c r="J423" t="s">
        <v>41</v>
      </c>
      <c r="K423" t="s">
        <v>68</v>
      </c>
    </row>
    <row r="424" spans="1:11">
      <c r="A424" s="11">
        <v>45700</v>
      </c>
      <c r="B424" s="14">
        <v>0.9458333333333333</v>
      </c>
      <c r="C424" s="10" t="s">
        <v>23</v>
      </c>
      <c r="D424" s="10" t="e" cm="1">
        <f t="array" ref="D424">INDEX($H$2:$H$35, MATCH(1, (A424 &gt;= $F$2:$F$35) * (A424 &lt;= $G$2:$G$35), 0))</f>
        <v>#N/A</v>
      </c>
      <c r="E424" s="10" t="str">
        <f>IF(COUNTIF('Top5'!I:I, D424) &gt; 0, "Yes", "No")</f>
        <v>No</v>
      </c>
      <c r="F424" s="10"/>
      <c r="G424">
        <v>45700</v>
      </c>
      <c r="H424">
        <v>0.9458333333333333</v>
      </c>
      <c r="I424" t="s">
        <v>23</v>
      </c>
      <c r="J424" t="s">
        <v>41</v>
      </c>
      <c r="K424" t="s">
        <v>68</v>
      </c>
    </row>
    <row r="425" spans="1:11">
      <c r="A425" s="11">
        <v>45700</v>
      </c>
      <c r="B425" s="14">
        <v>0.99236111111111114</v>
      </c>
      <c r="C425" s="10" t="s">
        <v>23</v>
      </c>
      <c r="D425" s="10" t="e" cm="1">
        <f t="array" ref="D425">INDEX($H$2:$H$35, MATCH(1, (A425 &gt;= $F$2:$F$35) * (A425 &lt;= $G$2:$G$35), 0))</f>
        <v>#N/A</v>
      </c>
      <c r="E425" s="10" t="str">
        <f>IF(COUNTIF('Top5'!I:I, D425) &gt; 0, "Yes", "No")</f>
        <v>No</v>
      </c>
      <c r="F425" s="10"/>
      <c r="G425">
        <v>45700</v>
      </c>
      <c r="H425">
        <v>0.99236111111111114</v>
      </c>
      <c r="I425" t="s">
        <v>23</v>
      </c>
      <c r="J425" t="s">
        <v>41</v>
      </c>
      <c r="K425" t="s">
        <v>68</v>
      </c>
    </row>
    <row r="426" spans="1:11">
      <c r="A426" s="11">
        <v>45701</v>
      </c>
      <c r="B426" s="14">
        <v>0.42708333333333331</v>
      </c>
      <c r="C426" s="10" t="s">
        <v>22</v>
      </c>
      <c r="D426" s="10" t="e" cm="1">
        <f t="array" ref="D426">INDEX($H$2:$H$35, MATCH(1, (A426 &gt;= $F$2:$F$35) * (A426 &lt;= $G$2:$G$35), 0))</f>
        <v>#N/A</v>
      </c>
      <c r="E426" s="10" t="str">
        <f>IF(COUNTIF('Top5'!I:I, D426) &gt; 0, "Yes", "No")</f>
        <v>No</v>
      </c>
      <c r="F426" s="10"/>
      <c r="G426">
        <v>45701</v>
      </c>
      <c r="H426">
        <v>0.42708333333333331</v>
      </c>
      <c r="I426" t="s">
        <v>22</v>
      </c>
      <c r="J426" t="s">
        <v>41</v>
      </c>
      <c r="K426" t="s">
        <v>68</v>
      </c>
    </row>
    <row r="427" spans="1:11">
      <c r="A427" s="11">
        <v>45701</v>
      </c>
      <c r="B427" s="14">
        <v>0.86041666666666672</v>
      </c>
      <c r="C427" s="10" t="s">
        <v>23</v>
      </c>
      <c r="D427" s="10" t="e" cm="1">
        <f t="array" ref="D427">INDEX($H$2:$H$35, MATCH(1, (A427 &gt;= $F$2:$F$35) * (A427 &lt;= $G$2:$G$35), 0))</f>
        <v>#N/A</v>
      </c>
      <c r="E427" s="10" t="str">
        <f>IF(COUNTIF('Top5'!I:I, D427) &gt; 0, "Yes", "No")</f>
        <v>No</v>
      </c>
      <c r="F427" s="10"/>
      <c r="G427">
        <v>45701</v>
      </c>
      <c r="H427">
        <v>0.86041666666666672</v>
      </c>
      <c r="I427" t="s">
        <v>23</v>
      </c>
      <c r="J427" t="s">
        <v>41</v>
      </c>
      <c r="K427" t="s">
        <v>68</v>
      </c>
    </row>
    <row r="428" spans="1:11">
      <c r="A428" s="11">
        <v>45701</v>
      </c>
      <c r="B428" s="14">
        <v>0.86458333333333337</v>
      </c>
      <c r="C428" s="10" t="s">
        <v>23</v>
      </c>
      <c r="D428" s="10" t="e" cm="1">
        <f t="array" ref="D428">INDEX($H$2:$H$35, MATCH(1, (A428 &gt;= $F$2:$F$35) * (A428 &lt;= $G$2:$G$35), 0))</f>
        <v>#N/A</v>
      </c>
      <c r="E428" s="10" t="str">
        <f>IF(COUNTIF('Top5'!I:I, D428) &gt; 0, "Yes", "No")</f>
        <v>No</v>
      </c>
      <c r="F428" s="10"/>
      <c r="G428">
        <v>45701</v>
      </c>
      <c r="H428">
        <v>0.86458333333333337</v>
      </c>
      <c r="I428" t="s">
        <v>23</v>
      </c>
      <c r="J428" t="s">
        <v>41</v>
      </c>
      <c r="K428" t="s">
        <v>68</v>
      </c>
    </row>
    <row r="429" spans="1:11">
      <c r="A429" s="11">
        <v>45701</v>
      </c>
      <c r="B429" s="14">
        <v>0.86458333333333337</v>
      </c>
      <c r="C429" s="10" t="s">
        <v>23</v>
      </c>
      <c r="D429" s="10" t="e" cm="1">
        <f t="array" ref="D429">INDEX($H$2:$H$35, MATCH(1, (A429 &gt;= $F$2:$F$35) * (A429 &lt;= $G$2:$G$35), 0))</f>
        <v>#N/A</v>
      </c>
      <c r="E429" s="10" t="str">
        <f>IF(COUNTIF('Top5'!I:I, D429) &gt; 0, "Yes", "No")</f>
        <v>No</v>
      </c>
      <c r="F429" s="10"/>
      <c r="G429">
        <v>45701</v>
      </c>
      <c r="H429">
        <v>0.86458333333333337</v>
      </c>
      <c r="I429" t="s">
        <v>23</v>
      </c>
      <c r="J429" t="s">
        <v>41</v>
      </c>
      <c r="K429" t="s">
        <v>68</v>
      </c>
    </row>
    <row r="430" spans="1:11">
      <c r="A430" s="11">
        <v>45701</v>
      </c>
      <c r="B430" s="14">
        <v>0.88680555555555551</v>
      </c>
      <c r="C430" s="10" t="s">
        <v>23</v>
      </c>
      <c r="D430" s="10" t="e" cm="1">
        <f t="array" ref="D430">INDEX($H$2:$H$35, MATCH(1, (A430 &gt;= $F$2:$F$35) * (A430 &lt;= $G$2:$G$35), 0))</f>
        <v>#N/A</v>
      </c>
      <c r="E430" s="10" t="str">
        <f>IF(COUNTIF('Top5'!I:I, D430) &gt; 0, "Yes", "No")</f>
        <v>No</v>
      </c>
      <c r="F430" s="10"/>
      <c r="G430">
        <v>45701</v>
      </c>
      <c r="H430">
        <v>0.88680555555555551</v>
      </c>
      <c r="I430" t="s">
        <v>23</v>
      </c>
      <c r="J430" t="s">
        <v>41</v>
      </c>
      <c r="K430" t="s">
        <v>68</v>
      </c>
    </row>
    <row r="431" spans="1:11">
      <c r="A431" s="11">
        <v>45702</v>
      </c>
      <c r="B431" s="14">
        <v>0.37847222222222221</v>
      </c>
      <c r="C431" s="10" t="s">
        <v>22</v>
      </c>
      <c r="D431" s="10" t="e" cm="1">
        <f t="array" ref="D431">INDEX($H$2:$H$35, MATCH(1, (A431 &gt;= $F$2:$F$35) * (A431 &lt;= $G$2:$G$35), 0))</f>
        <v>#N/A</v>
      </c>
      <c r="E431" s="10" t="str">
        <f>IF(COUNTIF('Top5'!I:I, D431) &gt; 0, "Yes", "No")</f>
        <v>No</v>
      </c>
      <c r="F431" s="10"/>
      <c r="G431">
        <v>45702</v>
      </c>
      <c r="H431">
        <v>0.37847222222222221</v>
      </c>
      <c r="I431" t="s">
        <v>22</v>
      </c>
      <c r="J431" t="s">
        <v>41</v>
      </c>
      <c r="K431" t="s">
        <v>68</v>
      </c>
    </row>
    <row r="432" spans="1:11">
      <c r="A432" s="11">
        <v>45702</v>
      </c>
      <c r="B432" s="14">
        <v>0.38472222222222224</v>
      </c>
      <c r="C432" s="10" t="s">
        <v>22</v>
      </c>
      <c r="D432" s="10" t="e" cm="1">
        <f t="array" ref="D432">INDEX($H$2:$H$35, MATCH(1, (A432 &gt;= $F$2:$F$35) * (A432 &lt;= $G$2:$G$35), 0))</f>
        <v>#N/A</v>
      </c>
      <c r="E432" s="10" t="str">
        <f>IF(COUNTIF('Top5'!I:I, D432) &gt; 0, "Yes", "No")</f>
        <v>No</v>
      </c>
      <c r="F432" s="10"/>
      <c r="G432">
        <v>45702</v>
      </c>
      <c r="H432">
        <v>0.38472222222222224</v>
      </c>
      <c r="I432" t="s">
        <v>22</v>
      </c>
      <c r="J432" t="s">
        <v>41</v>
      </c>
      <c r="K432" t="s">
        <v>68</v>
      </c>
    </row>
    <row r="433" spans="1:11">
      <c r="A433" s="11">
        <v>45702</v>
      </c>
      <c r="B433" s="14">
        <v>0.39444444444444443</v>
      </c>
      <c r="C433" s="10" t="s">
        <v>22</v>
      </c>
      <c r="D433" s="10" t="e" cm="1">
        <f t="array" ref="D433">INDEX($H$2:$H$35, MATCH(1, (A433 &gt;= $F$2:$F$35) * (A433 &lt;= $G$2:$G$35), 0))</f>
        <v>#N/A</v>
      </c>
      <c r="E433" s="10" t="str">
        <f>IF(COUNTIF('Top5'!I:I, D433) &gt; 0, "Yes", "No")</f>
        <v>No</v>
      </c>
      <c r="F433" s="10"/>
      <c r="G433">
        <v>45702</v>
      </c>
      <c r="H433">
        <v>0.39444444444444443</v>
      </c>
      <c r="I433" t="s">
        <v>22</v>
      </c>
      <c r="J433" t="s">
        <v>41</v>
      </c>
      <c r="K433" t="s">
        <v>68</v>
      </c>
    </row>
    <row r="434" spans="1:11">
      <c r="A434" s="11">
        <v>45702</v>
      </c>
      <c r="B434" s="14">
        <v>0.40833333333333333</v>
      </c>
      <c r="C434" s="10" t="s">
        <v>22</v>
      </c>
      <c r="D434" s="10" t="e" cm="1">
        <f t="array" ref="D434">INDEX($H$2:$H$35, MATCH(1, (A434 &gt;= $F$2:$F$35) * (A434 &lt;= $G$2:$G$35), 0))</f>
        <v>#N/A</v>
      </c>
      <c r="E434" s="10" t="str">
        <f>IF(COUNTIF('Top5'!I:I, D434) &gt; 0, "Yes", "No")</f>
        <v>No</v>
      </c>
      <c r="F434" s="10"/>
      <c r="G434">
        <v>45702</v>
      </c>
      <c r="H434">
        <v>0.40833333333333333</v>
      </c>
      <c r="I434" t="s">
        <v>22</v>
      </c>
      <c r="J434" t="s">
        <v>41</v>
      </c>
      <c r="K434" t="s">
        <v>68</v>
      </c>
    </row>
    <row r="435" spans="1:11">
      <c r="A435" s="11">
        <v>45703</v>
      </c>
      <c r="B435" s="14">
        <v>1.1111111111111112E-2</v>
      </c>
      <c r="C435" s="10" t="s">
        <v>23</v>
      </c>
      <c r="D435" s="10" t="e" cm="1">
        <f t="array" ref="D435">INDEX($H$2:$H$35, MATCH(1, (A435 &gt;= $F$2:$F$35) * (A435 &lt;= $G$2:$G$35), 0))</f>
        <v>#N/A</v>
      </c>
      <c r="E435" s="10" t="str">
        <f>IF(COUNTIF('Top5'!I:I, D435) &gt; 0, "Yes", "No")</f>
        <v>No</v>
      </c>
      <c r="F435" s="10"/>
      <c r="G435">
        <v>45703</v>
      </c>
      <c r="H435">
        <v>1.1111111111111112E-2</v>
      </c>
      <c r="I435" t="s">
        <v>23</v>
      </c>
      <c r="J435" t="s">
        <v>46</v>
      </c>
      <c r="K435" t="s">
        <v>68</v>
      </c>
    </row>
    <row r="436" spans="1:11">
      <c r="A436" s="11">
        <v>45703</v>
      </c>
      <c r="B436" s="14">
        <v>1.1111111111111112E-2</v>
      </c>
      <c r="C436" s="10" t="s">
        <v>23</v>
      </c>
      <c r="D436" s="10" t="e" cm="1">
        <f t="array" ref="D436">INDEX($H$2:$H$35, MATCH(1, (A436 &gt;= $F$2:$F$35) * (A436 &lt;= $G$2:$G$35), 0))</f>
        <v>#N/A</v>
      </c>
      <c r="E436" s="10" t="str">
        <f>IF(COUNTIF('Top5'!I:I, D436) &gt; 0, "Yes", "No")</f>
        <v>No</v>
      </c>
      <c r="F436" s="10"/>
      <c r="G436">
        <v>45703</v>
      </c>
      <c r="H436">
        <v>1.1111111111111112E-2</v>
      </c>
      <c r="I436" t="s">
        <v>23</v>
      </c>
      <c r="J436" t="s">
        <v>46</v>
      </c>
      <c r="K436" t="s">
        <v>68</v>
      </c>
    </row>
    <row r="437" spans="1:11">
      <c r="A437" s="11">
        <v>45703</v>
      </c>
      <c r="B437" s="14">
        <v>1.8055555555555554E-2</v>
      </c>
      <c r="C437" s="10" t="s">
        <v>23</v>
      </c>
      <c r="D437" s="10" t="e" cm="1">
        <f t="array" ref="D437">INDEX($H$2:$H$35, MATCH(1, (A437 &gt;= $F$2:$F$35) * (A437 &lt;= $G$2:$G$35), 0))</f>
        <v>#N/A</v>
      </c>
      <c r="E437" s="10" t="str">
        <f>IF(COUNTIF('Top5'!I:I, D437) &gt; 0, "Yes", "No")</f>
        <v>No</v>
      </c>
      <c r="F437" s="10"/>
      <c r="G437">
        <v>45703</v>
      </c>
      <c r="H437">
        <v>1.8055555555555554E-2</v>
      </c>
      <c r="I437" t="s">
        <v>23</v>
      </c>
      <c r="J437" t="s">
        <v>46</v>
      </c>
      <c r="K437" t="s">
        <v>68</v>
      </c>
    </row>
    <row r="438" spans="1:11">
      <c r="A438" s="11">
        <v>45703</v>
      </c>
      <c r="B438" s="14">
        <v>0.58472222222222225</v>
      </c>
      <c r="C438" s="10" t="s">
        <v>22</v>
      </c>
      <c r="D438" s="10" t="e" cm="1">
        <f t="array" ref="D438">INDEX($H$2:$H$35, MATCH(1, (A438 &gt;= $F$2:$F$35) * (A438 &lt;= $G$2:$G$35), 0))</f>
        <v>#N/A</v>
      </c>
      <c r="E438" s="10" t="str">
        <f>IF(COUNTIF('Top5'!I:I, D438) &gt; 0, "Yes", "No")</f>
        <v>No</v>
      </c>
      <c r="F438" s="10"/>
      <c r="G438">
        <v>45703</v>
      </c>
      <c r="H438">
        <v>0.58472222222222225</v>
      </c>
      <c r="I438" t="s">
        <v>22</v>
      </c>
      <c r="J438" t="s">
        <v>46</v>
      </c>
      <c r="K438" t="s">
        <v>68</v>
      </c>
    </row>
    <row r="439" spans="1:11">
      <c r="A439" s="11">
        <v>45703</v>
      </c>
      <c r="B439" s="14">
        <v>0.59513888888888888</v>
      </c>
      <c r="C439" s="10" t="s">
        <v>22</v>
      </c>
      <c r="D439" s="10" t="e" cm="1">
        <f t="array" ref="D439">INDEX($H$2:$H$35, MATCH(1, (A439 &gt;= $F$2:$F$35) * (A439 &lt;= $G$2:$G$35), 0))</f>
        <v>#N/A</v>
      </c>
      <c r="E439" s="10" t="str">
        <f>IF(COUNTIF('Top5'!I:I, D439) &gt; 0, "Yes", "No")</f>
        <v>No</v>
      </c>
      <c r="F439" s="10"/>
      <c r="G439">
        <v>45703</v>
      </c>
      <c r="H439">
        <v>0.59513888888888888</v>
      </c>
      <c r="I439" t="s">
        <v>22</v>
      </c>
      <c r="J439" t="s">
        <v>46</v>
      </c>
      <c r="K439" t="s">
        <v>68</v>
      </c>
    </row>
    <row r="440" spans="1:11">
      <c r="A440" s="11">
        <v>45703</v>
      </c>
      <c r="B440" s="14">
        <v>0.59583333333333333</v>
      </c>
      <c r="C440" s="10" t="s">
        <v>22</v>
      </c>
      <c r="D440" s="10" t="e" cm="1">
        <f t="array" ref="D440">INDEX($H$2:$H$35, MATCH(1, (A440 &gt;= $F$2:$F$35) * (A440 &lt;= $G$2:$G$35), 0))</f>
        <v>#N/A</v>
      </c>
      <c r="E440" s="10" t="str">
        <f>IF(COUNTIF('Top5'!I:I, D440) &gt; 0, "Yes", "No")</f>
        <v>No</v>
      </c>
      <c r="F440" s="10"/>
      <c r="G440">
        <v>45703</v>
      </c>
      <c r="H440">
        <v>0.59583333333333333</v>
      </c>
      <c r="I440" t="s">
        <v>22</v>
      </c>
      <c r="J440" t="s">
        <v>46</v>
      </c>
      <c r="K440" t="s">
        <v>68</v>
      </c>
    </row>
    <row r="441" spans="1:11">
      <c r="A441" s="11">
        <v>45704</v>
      </c>
      <c r="B441" s="14">
        <v>0.71111111111111114</v>
      </c>
      <c r="C441" s="10" t="s">
        <v>23</v>
      </c>
      <c r="D441" s="10" t="e" cm="1">
        <f t="array" ref="D441">INDEX($H$2:$H$35, MATCH(1, (A441 &gt;= $F$2:$F$35) * (A441 &lt;= $G$2:$G$35), 0))</f>
        <v>#N/A</v>
      </c>
      <c r="E441" s="10" t="str">
        <f>IF(COUNTIF('Top5'!I:I, D441) &gt; 0, "Yes", "No")</f>
        <v>No</v>
      </c>
      <c r="F441" s="10"/>
      <c r="G441">
        <v>45704</v>
      </c>
      <c r="H441">
        <v>0.71111111111111114</v>
      </c>
      <c r="I441" t="s">
        <v>23</v>
      </c>
      <c r="J441" t="s">
        <v>46</v>
      </c>
      <c r="K441" t="s">
        <v>68</v>
      </c>
    </row>
    <row r="442" spans="1:11">
      <c r="A442" s="11">
        <v>45704</v>
      </c>
      <c r="B442" s="14">
        <v>0.71250000000000002</v>
      </c>
      <c r="C442" s="10" t="s">
        <v>23</v>
      </c>
      <c r="D442" s="10" t="e" cm="1">
        <f t="array" ref="D442">INDEX($H$2:$H$35, MATCH(1, (A442 &gt;= $F$2:$F$35) * (A442 &lt;= $G$2:$G$35), 0))</f>
        <v>#N/A</v>
      </c>
      <c r="E442" s="10" t="str">
        <f>IF(COUNTIF('Top5'!I:I, D442) &gt; 0, "Yes", "No")</f>
        <v>No</v>
      </c>
      <c r="F442" s="10"/>
      <c r="G442">
        <v>45704</v>
      </c>
      <c r="H442">
        <v>0.71250000000000002</v>
      </c>
      <c r="I442" t="s">
        <v>23</v>
      </c>
      <c r="J442" t="s">
        <v>46</v>
      </c>
      <c r="K442" t="s">
        <v>68</v>
      </c>
    </row>
    <row r="443" spans="1:11">
      <c r="A443" s="11">
        <v>45704</v>
      </c>
      <c r="B443" s="14">
        <v>0.71388888888888891</v>
      </c>
      <c r="C443" s="10" t="s">
        <v>23</v>
      </c>
      <c r="D443" s="10" t="e" cm="1">
        <f t="array" ref="D443">INDEX($H$2:$H$35, MATCH(1, (A443 &gt;= $F$2:$F$35) * (A443 &lt;= $G$2:$G$35), 0))</f>
        <v>#N/A</v>
      </c>
      <c r="E443" s="10" t="str">
        <f>IF(COUNTIF('Top5'!I:I, D443) &gt; 0, "Yes", "No")</f>
        <v>No</v>
      </c>
      <c r="F443" s="10"/>
      <c r="G443">
        <v>45704</v>
      </c>
      <c r="H443">
        <v>0.71388888888888891</v>
      </c>
      <c r="I443" t="s">
        <v>23</v>
      </c>
      <c r="J443" t="s">
        <v>46</v>
      </c>
      <c r="K443" t="s">
        <v>68</v>
      </c>
    </row>
    <row r="444" spans="1:11">
      <c r="A444" s="11">
        <v>45704</v>
      </c>
      <c r="B444" s="14">
        <v>0.71805555555555556</v>
      </c>
      <c r="C444" s="10" t="s">
        <v>23</v>
      </c>
      <c r="D444" s="10" t="e" cm="1">
        <f t="array" ref="D444">INDEX($H$2:$H$35, MATCH(1, (A444 &gt;= $F$2:$F$35) * (A444 &lt;= $G$2:$G$35), 0))</f>
        <v>#N/A</v>
      </c>
      <c r="E444" s="10" t="str">
        <f>IF(COUNTIF('Top5'!I:I, D444) &gt; 0, "Yes", "No")</f>
        <v>No</v>
      </c>
      <c r="F444" s="10"/>
      <c r="G444">
        <v>45704</v>
      </c>
      <c r="H444">
        <v>0.71805555555555556</v>
      </c>
      <c r="I444" t="s">
        <v>23</v>
      </c>
      <c r="J444" t="s">
        <v>46</v>
      </c>
      <c r="K444" t="s">
        <v>68</v>
      </c>
    </row>
    <row r="445" spans="1:11">
      <c r="A445" s="11">
        <v>45704</v>
      </c>
      <c r="B445" s="14">
        <v>0.72430555555555554</v>
      </c>
      <c r="C445" s="10" t="s">
        <v>23</v>
      </c>
      <c r="D445" s="10" t="e" cm="1">
        <f t="array" ref="D445">INDEX($H$2:$H$35, MATCH(1, (A445 &gt;= $F$2:$F$35) * (A445 &lt;= $G$2:$G$35), 0))</f>
        <v>#N/A</v>
      </c>
      <c r="E445" s="10" t="str">
        <f>IF(COUNTIF('Top5'!I:I, D445) &gt; 0, "Yes", "No")</f>
        <v>No</v>
      </c>
      <c r="F445" s="10"/>
      <c r="G445">
        <v>45704</v>
      </c>
      <c r="H445">
        <v>0.72430555555555554</v>
      </c>
      <c r="I445" t="s">
        <v>23</v>
      </c>
      <c r="J445" t="s">
        <v>46</v>
      </c>
      <c r="K445" t="s">
        <v>68</v>
      </c>
    </row>
    <row r="446" spans="1:11">
      <c r="A446" s="11">
        <v>45704</v>
      </c>
      <c r="B446" s="14">
        <v>0.99791666666666667</v>
      </c>
      <c r="C446" s="10" t="s">
        <v>23</v>
      </c>
      <c r="D446" s="10" t="e" cm="1">
        <f t="array" ref="D446">INDEX($H$2:$H$35, MATCH(1, (A446 &gt;= $F$2:$F$35) * (A446 &lt;= $G$2:$G$35), 0))</f>
        <v>#N/A</v>
      </c>
      <c r="E446" s="10" t="str">
        <f>IF(COUNTIF('Top5'!I:I, D446) &gt; 0, "Yes", "No")</f>
        <v>No</v>
      </c>
      <c r="F446" s="10"/>
      <c r="G446">
        <v>45704</v>
      </c>
      <c r="H446">
        <v>0.99791666666666667</v>
      </c>
      <c r="I446" t="s">
        <v>23</v>
      </c>
      <c r="J446" t="s">
        <v>46</v>
      </c>
      <c r="K446" t="s">
        <v>68</v>
      </c>
    </row>
    <row r="447" spans="1:11">
      <c r="A447" s="11">
        <v>45705</v>
      </c>
      <c r="B447" s="14">
        <v>3.472222222222222E-3</v>
      </c>
      <c r="C447" s="10" t="s">
        <v>23</v>
      </c>
      <c r="D447" s="10" t="e" cm="1">
        <f t="array" ref="D447">INDEX($H$2:$H$35, MATCH(1, (A447 &gt;= $F$2:$F$35) * (A447 &lt;= $G$2:$G$35), 0))</f>
        <v>#N/A</v>
      </c>
      <c r="E447" s="10" t="str">
        <f>IF(COUNTIF('Top5'!I:I, D447) &gt; 0, "Yes", "No")</f>
        <v>No</v>
      </c>
      <c r="F447" s="10"/>
      <c r="G447">
        <v>45705</v>
      </c>
      <c r="H447">
        <v>3.472222222222222E-3</v>
      </c>
      <c r="I447" t="s">
        <v>23</v>
      </c>
      <c r="J447" t="s">
        <v>46</v>
      </c>
      <c r="K447" t="s">
        <v>68</v>
      </c>
    </row>
    <row r="448" spans="1:11">
      <c r="A448" s="11">
        <v>45705</v>
      </c>
      <c r="B448" s="14">
        <v>0.96805555555555556</v>
      </c>
      <c r="C448" s="10" t="s">
        <v>23</v>
      </c>
      <c r="D448" s="10" t="e" cm="1">
        <f t="array" ref="D448">INDEX($H$2:$H$35, MATCH(1, (A448 &gt;= $F$2:$F$35) * (A448 &lt;= $G$2:$G$35), 0))</f>
        <v>#N/A</v>
      </c>
      <c r="E448" s="10" t="str">
        <f>IF(COUNTIF('Top5'!I:I, D448) &gt; 0, "Yes", "No")</f>
        <v>No</v>
      </c>
      <c r="F448" s="10"/>
      <c r="G448">
        <v>45705</v>
      </c>
      <c r="H448">
        <v>0.96805555555555556</v>
      </c>
      <c r="I448" t="s">
        <v>23</v>
      </c>
      <c r="J448" t="s">
        <v>46</v>
      </c>
      <c r="K448" t="s">
        <v>68</v>
      </c>
    </row>
    <row r="449" spans="1:11">
      <c r="A449" s="11">
        <v>45707</v>
      </c>
      <c r="B449" s="14">
        <v>0.42083333333333334</v>
      </c>
      <c r="C449" s="10" t="s">
        <v>22</v>
      </c>
      <c r="D449" s="10" t="e" cm="1">
        <f t="array" ref="D449">INDEX($H$2:$H$35, MATCH(1, (A449 &gt;= $F$2:$F$35) * (A449 &lt;= $G$2:$G$35), 0))</f>
        <v>#N/A</v>
      </c>
      <c r="E449" s="10" t="str">
        <f>IF(COUNTIF('Top5'!I:I, D449) &gt; 0, "Yes", "No")</f>
        <v>No</v>
      </c>
      <c r="F449" s="10"/>
      <c r="G449">
        <v>45707</v>
      </c>
      <c r="H449">
        <v>0.42083333333333334</v>
      </c>
      <c r="I449" t="s">
        <v>22</v>
      </c>
      <c r="J449" t="s">
        <v>46</v>
      </c>
      <c r="K449" t="s">
        <v>68</v>
      </c>
    </row>
    <row r="450" spans="1:11">
      <c r="A450" s="11">
        <v>45707</v>
      </c>
      <c r="B450" s="14">
        <v>0.45069444444444445</v>
      </c>
      <c r="C450" s="10" t="s">
        <v>22</v>
      </c>
      <c r="D450" s="10" t="e" cm="1">
        <f t="array" ref="D450">INDEX($H$2:$H$35, MATCH(1, (A450 &gt;= $F$2:$F$35) * (A450 &lt;= $G$2:$G$35), 0))</f>
        <v>#N/A</v>
      </c>
      <c r="E450" s="10" t="str">
        <f>IF(COUNTIF('Top5'!I:I, D450) &gt; 0, "Yes", "No")</f>
        <v>No</v>
      </c>
      <c r="F450" s="10"/>
      <c r="G450">
        <v>45707</v>
      </c>
      <c r="H450">
        <v>0.45069444444444445</v>
      </c>
      <c r="I450" t="s">
        <v>22</v>
      </c>
      <c r="J450" t="s">
        <v>46</v>
      </c>
      <c r="K450" t="s">
        <v>68</v>
      </c>
    </row>
    <row r="451" spans="1:11">
      <c r="A451" s="11">
        <v>45707</v>
      </c>
      <c r="B451" s="14">
        <v>0.66736111111111107</v>
      </c>
      <c r="C451" s="10" t="s">
        <v>22</v>
      </c>
      <c r="D451" s="10" t="e" cm="1">
        <f t="array" ref="D451">INDEX($H$2:$H$35, MATCH(1, (A451 &gt;= $F$2:$F$35) * (A451 &lt;= $G$2:$G$35), 0))</f>
        <v>#N/A</v>
      </c>
      <c r="E451" s="10" t="str">
        <f>IF(COUNTIF('Top5'!I:I, D451) &gt; 0, "Yes", "No")</f>
        <v>No</v>
      </c>
      <c r="F451" s="10"/>
      <c r="G451">
        <v>45707</v>
      </c>
      <c r="H451">
        <v>0.66736111111111107</v>
      </c>
      <c r="I451" t="s">
        <v>22</v>
      </c>
      <c r="J451" t="s">
        <v>46</v>
      </c>
      <c r="K451" t="s">
        <v>68</v>
      </c>
    </row>
    <row r="452" spans="1:11">
      <c r="A452" s="11">
        <v>45707</v>
      </c>
      <c r="B452" s="14">
        <v>0.66736111111111107</v>
      </c>
      <c r="C452" s="10" t="s">
        <v>22</v>
      </c>
      <c r="D452" s="10" t="e" cm="1">
        <f t="array" ref="D452">INDEX($H$2:$H$35, MATCH(1, (A452 &gt;= $F$2:$F$35) * (A452 &lt;= $G$2:$G$35), 0))</f>
        <v>#N/A</v>
      </c>
      <c r="E452" s="10" t="str">
        <f>IF(COUNTIF('Top5'!I:I, D452) &gt; 0, "Yes", "No")</f>
        <v>No</v>
      </c>
      <c r="F452" s="10"/>
      <c r="G452">
        <v>45707</v>
      </c>
      <c r="H452">
        <v>0.66736111111111107</v>
      </c>
      <c r="I452" t="s">
        <v>22</v>
      </c>
      <c r="J452" t="s">
        <v>46</v>
      </c>
      <c r="K452" t="s">
        <v>68</v>
      </c>
    </row>
    <row r="453" spans="1:11">
      <c r="A453" s="11">
        <v>45707</v>
      </c>
      <c r="B453" s="14">
        <v>0.78055555555555556</v>
      </c>
      <c r="C453" s="10" t="s">
        <v>23</v>
      </c>
      <c r="D453" s="10" t="e" cm="1">
        <f t="array" ref="D453">INDEX($H$2:$H$35, MATCH(1, (A453 &gt;= $F$2:$F$35) * (A453 &lt;= $G$2:$G$35), 0))</f>
        <v>#N/A</v>
      </c>
      <c r="E453" s="10" t="str">
        <f>IF(COUNTIF('Top5'!I:I, D453) &gt; 0, "Yes", "No")</f>
        <v>No</v>
      </c>
      <c r="F453" s="10"/>
      <c r="G453">
        <v>45707</v>
      </c>
      <c r="H453">
        <v>0.78055555555555556</v>
      </c>
      <c r="I453" t="s">
        <v>23</v>
      </c>
      <c r="J453" t="s">
        <v>46</v>
      </c>
      <c r="K453" t="s">
        <v>68</v>
      </c>
    </row>
    <row r="454" spans="1:11">
      <c r="A454" s="11">
        <v>45708</v>
      </c>
      <c r="B454" s="14">
        <v>0.97847222222222219</v>
      </c>
      <c r="C454" s="10" t="s">
        <v>23</v>
      </c>
      <c r="D454" s="10" t="e" cm="1">
        <f t="array" ref="D454">INDEX($H$2:$H$35, MATCH(1, (A454 &gt;= $F$2:$F$35) * (A454 &lt;= $G$2:$G$35), 0))</f>
        <v>#N/A</v>
      </c>
      <c r="E454" s="10" t="str">
        <f>IF(COUNTIF('Top5'!I:I, D454) &gt; 0, "Yes", "No")</f>
        <v>No</v>
      </c>
      <c r="F454" s="10"/>
      <c r="G454">
        <v>45708</v>
      </c>
      <c r="H454">
        <v>0.97847222222222219</v>
      </c>
      <c r="I454" t="s">
        <v>23</v>
      </c>
      <c r="J454" t="s">
        <v>46</v>
      </c>
      <c r="K454" t="s">
        <v>68</v>
      </c>
    </row>
    <row r="455" spans="1:11">
      <c r="A455" s="11">
        <v>45708</v>
      </c>
      <c r="B455" s="14">
        <v>0.9819444444444444</v>
      </c>
      <c r="C455" s="10" t="s">
        <v>23</v>
      </c>
      <c r="D455" s="10" t="e" cm="1">
        <f t="array" ref="D455">INDEX($H$2:$H$35, MATCH(1, (A455 &gt;= $F$2:$F$35) * (A455 &lt;= $G$2:$G$35), 0))</f>
        <v>#N/A</v>
      </c>
      <c r="E455" s="10" t="str">
        <f>IF(COUNTIF('Top5'!I:I, D455) &gt; 0, "Yes", "No")</f>
        <v>No</v>
      </c>
      <c r="F455" s="10"/>
      <c r="G455">
        <v>45708</v>
      </c>
      <c r="H455">
        <v>0.9819444444444444</v>
      </c>
      <c r="I455" t="s">
        <v>23</v>
      </c>
      <c r="J455" t="s">
        <v>46</v>
      </c>
      <c r="K455" t="s">
        <v>68</v>
      </c>
    </row>
    <row r="456" spans="1:11">
      <c r="A456" s="11">
        <v>45709</v>
      </c>
      <c r="B456" s="14">
        <v>4.8611111111111112E-3</v>
      </c>
      <c r="C456" s="10" t="s">
        <v>23</v>
      </c>
      <c r="D456" s="10" t="e" cm="1">
        <f t="array" ref="D456">INDEX($H$2:$H$35, MATCH(1, (A456 &gt;= $F$2:$F$35) * (A456 &lt;= $G$2:$G$35), 0))</f>
        <v>#N/A</v>
      </c>
      <c r="E456" s="10" t="str">
        <f>IF(COUNTIF('Top5'!I:I, D456) &gt; 0, "Yes", "No")</f>
        <v>No</v>
      </c>
      <c r="F456" s="10"/>
      <c r="G456">
        <v>45709</v>
      </c>
      <c r="H456">
        <v>4.8611111111111112E-3</v>
      </c>
      <c r="I456" t="s">
        <v>23</v>
      </c>
      <c r="J456" t="s">
        <v>46</v>
      </c>
      <c r="K456" t="s">
        <v>68</v>
      </c>
    </row>
    <row r="457" spans="1:11">
      <c r="A457" s="11">
        <v>45709</v>
      </c>
      <c r="B457" s="14">
        <v>5.5555555555555558E-3</v>
      </c>
      <c r="C457" s="10" t="s">
        <v>23</v>
      </c>
      <c r="D457" s="10" t="e" cm="1">
        <f t="array" ref="D457">INDEX($H$2:$H$35, MATCH(1, (A457 &gt;= $F$2:$F$35) * (A457 &lt;= $G$2:$G$35), 0))</f>
        <v>#N/A</v>
      </c>
      <c r="E457" s="10" t="str">
        <f>IF(COUNTIF('Top5'!I:I, D457) &gt; 0, "Yes", "No")</f>
        <v>No</v>
      </c>
      <c r="F457" s="10"/>
      <c r="G457">
        <v>45709</v>
      </c>
      <c r="H457">
        <v>5.5555555555555558E-3</v>
      </c>
      <c r="I457" t="s">
        <v>23</v>
      </c>
      <c r="J457" t="s">
        <v>46</v>
      </c>
      <c r="K457" t="s">
        <v>68</v>
      </c>
    </row>
    <row r="458" spans="1:11">
      <c r="A458" s="11">
        <v>45709</v>
      </c>
      <c r="B458" s="14">
        <v>6.2500000000000003E-3</v>
      </c>
      <c r="C458" s="10" t="s">
        <v>23</v>
      </c>
      <c r="D458" s="10" t="e" cm="1">
        <f t="array" ref="D458">INDEX($H$2:$H$35, MATCH(1, (A458 &gt;= $F$2:$F$35) * (A458 &lt;= $G$2:$G$35), 0))</f>
        <v>#N/A</v>
      </c>
      <c r="E458" s="10" t="str">
        <f>IF(COUNTIF('Top5'!I:I, D458) &gt; 0, "Yes", "No")</f>
        <v>No</v>
      </c>
      <c r="F458" s="10"/>
      <c r="G458">
        <v>45709</v>
      </c>
      <c r="H458">
        <v>6.2500000000000003E-3</v>
      </c>
      <c r="I458" t="s">
        <v>23</v>
      </c>
      <c r="J458" t="s">
        <v>46</v>
      </c>
      <c r="K458" t="s">
        <v>68</v>
      </c>
    </row>
    <row r="459" spans="1:11">
      <c r="A459" s="11">
        <v>45709</v>
      </c>
      <c r="B459" s="14">
        <v>6.9444444444444441E-3</v>
      </c>
      <c r="C459" s="10" t="s">
        <v>23</v>
      </c>
      <c r="D459" s="10" t="e" cm="1">
        <f t="array" ref="D459">INDEX($H$2:$H$35, MATCH(1, (A459 &gt;= $F$2:$F$35) * (A459 &lt;= $G$2:$G$35), 0))</f>
        <v>#N/A</v>
      </c>
      <c r="E459" s="10" t="str">
        <f>IF(COUNTIF('Top5'!I:I, D459) &gt; 0, "Yes", "No")</f>
        <v>No</v>
      </c>
      <c r="F459" s="10"/>
      <c r="G459">
        <v>45709</v>
      </c>
      <c r="H459">
        <v>6.9444444444444441E-3</v>
      </c>
      <c r="I459" t="s">
        <v>23</v>
      </c>
      <c r="J459" t="s">
        <v>46</v>
      </c>
      <c r="K459" t="s">
        <v>68</v>
      </c>
    </row>
    <row r="460" spans="1:11">
      <c r="A460" s="11">
        <v>45709</v>
      </c>
      <c r="B460" s="14">
        <v>1.1805555555555555E-2</v>
      </c>
      <c r="C460" s="10" t="s">
        <v>23</v>
      </c>
      <c r="D460" s="10" t="e" cm="1">
        <f t="array" ref="D460">INDEX($H$2:$H$35, MATCH(1, (A460 &gt;= $F$2:$F$35) * (A460 &lt;= $G$2:$G$35), 0))</f>
        <v>#N/A</v>
      </c>
      <c r="E460" s="10" t="str">
        <f>IF(COUNTIF('Top5'!I:I, D460) &gt; 0, "Yes", "No")</f>
        <v>No</v>
      </c>
      <c r="F460" s="10"/>
      <c r="G460">
        <v>45709</v>
      </c>
      <c r="H460">
        <v>1.1805555555555555E-2</v>
      </c>
      <c r="I460" t="s">
        <v>23</v>
      </c>
      <c r="J460" t="s">
        <v>46</v>
      </c>
      <c r="K460" t="s">
        <v>68</v>
      </c>
    </row>
    <row r="461" spans="1:11">
      <c r="A461" s="11">
        <v>45709</v>
      </c>
      <c r="B461" s="14">
        <v>1.4583333333333334E-2</v>
      </c>
      <c r="C461" s="10" t="s">
        <v>23</v>
      </c>
      <c r="D461" s="10" t="e" cm="1">
        <f t="array" ref="D461">INDEX($H$2:$H$35, MATCH(1, (A461 &gt;= $F$2:$F$35) * (A461 &lt;= $G$2:$G$35), 0))</f>
        <v>#N/A</v>
      </c>
      <c r="E461" s="10" t="str">
        <f>IF(COUNTIF('Top5'!I:I, D461) &gt; 0, "Yes", "No")</f>
        <v>No</v>
      </c>
      <c r="F461" s="10"/>
      <c r="G461">
        <v>45709</v>
      </c>
      <c r="H461">
        <v>1.4583333333333334E-2</v>
      </c>
      <c r="I461" t="s">
        <v>23</v>
      </c>
      <c r="J461" t="s">
        <v>46</v>
      </c>
      <c r="K461" t="s">
        <v>68</v>
      </c>
    </row>
    <row r="462" spans="1:11">
      <c r="A462" s="11">
        <v>45709</v>
      </c>
      <c r="B462" s="14">
        <v>0.50069444444444444</v>
      </c>
      <c r="C462" s="10" t="s">
        <v>22</v>
      </c>
      <c r="D462" s="10" t="e" cm="1">
        <f t="array" ref="D462">INDEX($H$2:$H$35, MATCH(1, (A462 &gt;= $F$2:$F$35) * (A462 &lt;= $G$2:$G$35), 0))</f>
        <v>#N/A</v>
      </c>
      <c r="E462" s="10" t="str">
        <f>IF(COUNTIF('Top5'!I:I, D462) &gt; 0, "Yes", "No")</f>
        <v>No</v>
      </c>
      <c r="F462" s="10"/>
      <c r="G462">
        <v>45709</v>
      </c>
      <c r="H462">
        <v>0.50069444444444444</v>
      </c>
      <c r="I462" t="s">
        <v>22</v>
      </c>
      <c r="J462" t="s">
        <v>46</v>
      </c>
      <c r="K462" t="s">
        <v>68</v>
      </c>
    </row>
    <row r="463" spans="1:11">
      <c r="A463" s="11">
        <v>45709</v>
      </c>
      <c r="B463" s="14">
        <v>0.50138888888888888</v>
      </c>
      <c r="C463" s="10" t="s">
        <v>22</v>
      </c>
      <c r="D463" s="10" t="e" cm="1">
        <f t="array" ref="D463">INDEX($H$2:$H$35, MATCH(1, (A463 &gt;= $F$2:$F$35) * (A463 &lt;= $G$2:$G$35), 0))</f>
        <v>#N/A</v>
      </c>
      <c r="E463" s="10" t="str">
        <f>IF(COUNTIF('Top5'!I:I, D463) &gt; 0, "Yes", "No")</f>
        <v>No</v>
      </c>
      <c r="F463" s="10"/>
      <c r="G463">
        <v>45709</v>
      </c>
      <c r="H463">
        <v>0.50138888888888888</v>
      </c>
      <c r="I463" t="s">
        <v>22</v>
      </c>
      <c r="J463" t="s">
        <v>46</v>
      </c>
      <c r="K463" t="s">
        <v>68</v>
      </c>
    </row>
    <row r="464" spans="1:11">
      <c r="A464" s="11">
        <v>45709</v>
      </c>
      <c r="B464" s="14">
        <v>0.51041666666666663</v>
      </c>
      <c r="C464" s="10" t="s">
        <v>22</v>
      </c>
      <c r="D464" s="10" t="e" cm="1">
        <f t="array" ref="D464">INDEX($H$2:$H$35, MATCH(1, (A464 &gt;= $F$2:$F$35) * (A464 &lt;= $G$2:$G$35), 0))</f>
        <v>#N/A</v>
      </c>
      <c r="E464" s="10" t="str">
        <f>IF(COUNTIF('Top5'!I:I, D464) &gt; 0, "Yes", "No")</f>
        <v>No</v>
      </c>
      <c r="F464" s="10"/>
      <c r="G464">
        <v>45709</v>
      </c>
      <c r="H464">
        <v>0.51041666666666663</v>
      </c>
      <c r="I464" t="s">
        <v>22</v>
      </c>
      <c r="J464" t="s">
        <v>46</v>
      </c>
      <c r="K464" t="s">
        <v>68</v>
      </c>
    </row>
    <row r="465" spans="1:11">
      <c r="A465" s="11">
        <v>45709</v>
      </c>
      <c r="B465" s="14">
        <v>0.60833333333333328</v>
      </c>
      <c r="C465" s="10" t="s">
        <v>22</v>
      </c>
      <c r="D465" s="10" t="e" cm="1">
        <f t="array" ref="D465">INDEX($H$2:$H$35, MATCH(1, (A465 &gt;= $F$2:$F$35) * (A465 &lt;= $G$2:$G$35), 0))</f>
        <v>#N/A</v>
      </c>
      <c r="E465" s="10" t="str">
        <f>IF(COUNTIF('Top5'!I:I, D465) &gt; 0, "Yes", "No")</f>
        <v>No</v>
      </c>
      <c r="F465" s="10"/>
      <c r="G465">
        <v>45709</v>
      </c>
      <c r="H465">
        <v>0.60833333333333328</v>
      </c>
      <c r="I465" t="s">
        <v>22</v>
      </c>
      <c r="J465" t="s">
        <v>46</v>
      </c>
      <c r="K465" t="s">
        <v>68</v>
      </c>
    </row>
    <row r="466" spans="1:11">
      <c r="A466" s="11">
        <v>45710</v>
      </c>
      <c r="B466" s="14">
        <v>0.96944444444444444</v>
      </c>
      <c r="C466" s="10" t="s">
        <v>23</v>
      </c>
      <c r="D466" s="10" t="e" cm="1">
        <f t="array" ref="D466">INDEX($H$2:$H$35, MATCH(1, (A466 &gt;= $F$2:$F$35) * (A466 &lt;= $G$2:$G$35), 0))</f>
        <v>#N/A</v>
      </c>
      <c r="E466" s="10" t="str">
        <f>IF(COUNTIF('Top5'!I:I, D466) &gt; 0, "Yes", "No")</f>
        <v>No</v>
      </c>
      <c r="F466" s="10"/>
      <c r="G466">
        <v>45710</v>
      </c>
      <c r="H466">
        <v>0.96944444444444444</v>
      </c>
      <c r="I466" t="s">
        <v>23</v>
      </c>
      <c r="J466" t="s">
        <v>49</v>
      </c>
      <c r="K466" t="s">
        <v>68</v>
      </c>
    </row>
    <row r="467" spans="1:11">
      <c r="A467" s="11">
        <v>45710</v>
      </c>
      <c r="B467" s="14">
        <v>0.97916666666666663</v>
      </c>
      <c r="C467" s="10" t="s">
        <v>23</v>
      </c>
      <c r="D467" s="10" t="e" cm="1">
        <f t="array" ref="D467">INDEX($H$2:$H$35, MATCH(1, (A467 &gt;= $F$2:$F$35) * (A467 &lt;= $G$2:$G$35), 0))</f>
        <v>#N/A</v>
      </c>
      <c r="E467" s="10" t="str">
        <f>IF(COUNTIF('Top5'!I:I, D467) &gt; 0, "Yes", "No")</f>
        <v>No</v>
      </c>
      <c r="F467" s="10"/>
      <c r="G467">
        <v>45710</v>
      </c>
      <c r="H467">
        <v>0.97916666666666663</v>
      </c>
      <c r="I467" t="s">
        <v>23</v>
      </c>
      <c r="J467" t="s">
        <v>49</v>
      </c>
      <c r="K467" t="s">
        <v>68</v>
      </c>
    </row>
    <row r="468" spans="1:11">
      <c r="A468" s="11">
        <v>45711</v>
      </c>
      <c r="B468" s="14">
        <v>0.45</v>
      </c>
      <c r="C468" s="10" t="s">
        <v>22</v>
      </c>
      <c r="D468" s="10" t="e" cm="1">
        <f t="array" ref="D468">INDEX($H$2:$H$35, MATCH(1, (A468 &gt;= $F$2:$F$35) * (A468 &lt;= $G$2:$G$35), 0))</f>
        <v>#N/A</v>
      </c>
      <c r="E468" s="10" t="str">
        <f>IF(COUNTIF('Top5'!I:I, D468) &gt; 0, "Yes", "No")</f>
        <v>No</v>
      </c>
      <c r="F468" s="10"/>
      <c r="G468">
        <v>45711</v>
      </c>
      <c r="H468">
        <v>0.45</v>
      </c>
      <c r="I468" t="s">
        <v>22</v>
      </c>
      <c r="J468" t="s">
        <v>49</v>
      </c>
      <c r="K468" t="s">
        <v>68</v>
      </c>
    </row>
    <row r="469" spans="1:11">
      <c r="A469" s="11">
        <v>45711</v>
      </c>
      <c r="B469" s="14">
        <v>0.47499999999999998</v>
      </c>
      <c r="C469" s="10" t="s">
        <v>22</v>
      </c>
      <c r="D469" s="10" t="e" cm="1">
        <f t="array" ref="D469">INDEX($H$2:$H$35, MATCH(1, (A469 &gt;= $F$2:$F$35) * (A469 &lt;= $G$2:$G$35), 0))</f>
        <v>#N/A</v>
      </c>
      <c r="E469" s="10" t="str">
        <f>IF(COUNTIF('Top5'!I:I, D469) &gt; 0, "Yes", "No")</f>
        <v>No</v>
      </c>
      <c r="F469" s="10"/>
      <c r="G469">
        <v>45711</v>
      </c>
      <c r="H469">
        <v>0.47499999999999998</v>
      </c>
      <c r="I469" t="s">
        <v>22</v>
      </c>
      <c r="J469" t="s">
        <v>49</v>
      </c>
      <c r="K469" t="s">
        <v>68</v>
      </c>
    </row>
    <row r="470" spans="1:11">
      <c r="A470" s="11">
        <v>45711</v>
      </c>
      <c r="B470" s="14">
        <v>0.47638888888888886</v>
      </c>
      <c r="C470" s="10" t="s">
        <v>22</v>
      </c>
      <c r="D470" s="10" t="e" cm="1">
        <f t="array" ref="D470">INDEX($H$2:$H$35, MATCH(1, (A470 &gt;= $F$2:$F$35) * (A470 &lt;= $G$2:$G$35), 0))</f>
        <v>#N/A</v>
      </c>
      <c r="E470" s="10" t="str">
        <f>IF(COUNTIF('Top5'!I:I, D470) &gt; 0, "Yes", "No")</f>
        <v>No</v>
      </c>
      <c r="F470" s="10"/>
      <c r="G470">
        <v>45711</v>
      </c>
      <c r="H470">
        <v>0.47638888888888886</v>
      </c>
      <c r="I470" t="s">
        <v>22</v>
      </c>
      <c r="J470" t="s">
        <v>49</v>
      </c>
      <c r="K470" t="s">
        <v>68</v>
      </c>
    </row>
    <row r="471" spans="1:11">
      <c r="A471" s="11">
        <v>45711</v>
      </c>
      <c r="B471" s="14">
        <v>0.8208333333333333</v>
      </c>
      <c r="C471" s="10" t="s">
        <v>23</v>
      </c>
      <c r="D471" s="10" t="e" cm="1">
        <f t="array" ref="D471">INDEX($H$2:$H$35, MATCH(1, (A471 &gt;= $F$2:$F$35) * (A471 &lt;= $G$2:$G$35), 0))</f>
        <v>#N/A</v>
      </c>
      <c r="E471" s="10" t="str">
        <f>IF(COUNTIF('Top5'!I:I, D471) &gt; 0, "Yes", "No")</f>
        <v>No</v>
      </c>
      <c r="F471" s="10"/>
      <c r="G471">
        <v>45711</v>
      </c>
      <c r="H471">
        <v>0.8208333333333333</v>
      </c>
      <c r="I471" t="s">
        <v>23</v>
      </c>
      <c r="J471" t="s">
        <v>49</v>
      </c>
      <c r="K471" t="s">
        <v>68</v>
      </c>
    </row>
    <row r="472" spans="1:11">
      <c r="A472" s="11">
        <v>45711</v>
      </c>
      <c r="B472" s="14">
        <v>0.82152777777777775</v>
      </c>
      <c r="C472" s="10" t="s">
        <v>23</v>
      </c>
      <c r="D472" s="10" t="e" cm="1">
        <f t="array" ref="D472">INDEX($H$2:$H$35, MATCH(1, (A472 &gt;= $F$2:$F$35) * (A472 &lt;= $G$2:$G$35), 0))</f>
        <v>#N/A</v>
      </c>
      <c r="E472" s="10" t="str">
        <f>IF(COUNTIF('Top5'!I:I, D472) &gt; 0, "Yes", "No")</f>
        <v>No</v>
      </c>
      <c r="F472" s="10"/>
      <c r="G472">
        <v>45711</v>
      </c>
      <c r="H472">
        <v>0.82152777777777775</v>
      </c>
      <c r="I472" t="s">
        <v>23</v>
      </c>
      <c r="J472" t="s">
        <v>49</v>
      </c>
      <c r="K472" t="s">
        <v>68</v>
      </c>
    </row>
    <row r="473" spans="1:11">
      <c r="A473" s="11">
        <v>45711</v>
      </c>
      <c r="B473" s="14">
        <v>0.84722222222222221</v>
      </c>
      <c r="C473" s="10" t="s">
        <v>23</v>
      </c>
      <c r="D473" s="10" t="e" cm="1">
        <f t="array" ref="D473">INDEX($H$2:$H$35, MATCH(1, (A473 &gt;= $F$2:$F$35) * (A473 &lt;= $G$2:$G$35), 0))</f>
        <v>#N/A</v>
      </c>
      <c r="E473" s="10" t="str">
        <f>IF(COUNTIF('Top5'!I:I, D473) &gt; 0, "Yes", "No")</f>
        <v>No</v>
      </c>
      <c r="F473" s="10"/>
      <c r="G473">
        <v>45711</v>
      </c>
      <c r="H473">
        <v>0.84722222222222221</v>
      </c>
      <c r="I473" t="s">
        <v>23</v>
      </c>
      <c r="J473" t="s">
        <v>49</v>
      </c>
      <c r="K473" t="s">
        <v>68</v>
      </c>
    </row>
    <row r="474" spans="1:11">
      <c r="A474" s="11">
        <v>45711</v>
      </c>
      <c r="B474" s="14">
        <v>0.99444444444444446</v>
      </c>
      <c r="C474" s="10" t="s">
        <v>23</v>
      </c>
      <c r="D474" s="10" t="e" cm="1">
        <f t="array" ref="D474">INDEX($H$2:$H$35, MATCH(1, (A474 &gt;= $F$2:$F$35) * (A474 &lt;= $G$2:$G$35), 0))</f>
        <v>#N/A</v>
      </c>
      <c r="E474" s="10" t="str">
        <f>IF(COUNTIF('Top5'!I:I, D474) &gt; 0, "Yes", "No")</f>
        <v>No</v>
      </c>
      <c r="F474" s="10"/>
      <c r="G474">
        <v>45711</v>
      </c>
      <c r="H474">
        <v>0.99444444444444446</v>
      </c>
      <c r="I474" t="s">
        <v>23</v>
      </c>
      <c r="J474" t="s">
        <v>49</v>
      </c>
      <c r="K474" t="s">
        <v>68</v>
      </c>
    </row>
    <row r="475" spans="1:11">
      <c r="A475" s="11">
        <v>45711</v>
      </c>
      <c r="B475" s="14">
        <v>0.99583333333333335</v>
      </c>
      <c r="C475" s="10" t="s">
        <v>23</v>
      </c>
      <c r="D475" s="10" t="e" cm="1">
        <f t="array" ref="D475">INDEX($H$2:$H$35, MATCH(1, (A475 &gt;= $F$2:$F$35) * (A475 &lt;= $G$2:$G$35), 0))</f>
        <v>#N/A</v>
      </c>
      <c r="E475" s="10" t="str">
        <f>IF(COUNTIF('Top5'!I:I, D475) &gt; 0, "Yes", "No")</f>
        <v>No</v>
      </c>
      <c r="F475" s="10"/>
      <c r="G475">
        <v>45711</v>
      </c>
      <c r="H475">
        <v>0.99583333333333335</v>
      </c>
      <c r="I475" t="s">
        <v>23</v>
      </c>
      <c r="J475" t="s">
        <v>49</v>
      </c>
      <c r="K475" t="s">
        <v>68</v>
      </c>
    </row>
    <row r="476" spans="1:11">
      <c r="A476" s="11">
        <v>45712</v>
      </c>
      <c r="B476" s="14">
        <v>0.70347222222222228</v>
      </c>
      <c r="C476" s="10" t="s">
        <v>22</v>
      </c>
      <c r="D476" s="10" t="e" cm="1">
        <f t="array" ref="D476">INDEX($H$2:$H$35, MATCH(1, (A476 &gt;= $F$2:$F$35) * (A476 &lt;= $G$2:$G$35), 0))</f>
        <v>#N/A</v>
      </c>
      <c r="E476" s="10" t="str">
        <f>IF(COUNTIF('Top5'!I:I, D476) &gt; 0, "Yes", "No")</f>
        <v>No</v>
      </c>
      <c r="F476" s="10"/>
      <c r="G476">
        <v>45712</v>
      </c>
      <c r="H476">
        <v>0.70347222222222228</v>
      </c>
      <c r="I476" t="s">
        <v>22</v>
      </c>
      <c r="J476" t="s">
        <v>49</v>
      </c>
      <c r="K476" t="s">
        <v>68</v>
      </c>
    </row>
    <row r="477" spans="1:11">
      <c r="A477" s="11">
        <v>45712</v>
      </c>
      <c r="B477" s="14">
        <v>0.7104166666666667</v>
      </c>
      <c r="C477" s="10" t="s">
        <v>23</v>
      </c>
      <c r="D477" s="10" t="e" cm="1">
        <f t="array" ref="D477">INDEX($H$2:$H$35, MATCH(1, (A477 &gt;= $F$2:$F$35) * (A477 &lt;= $G$2:$G$35), 0))</f>
        <v>#N/A</v>
      </c>
      <c r="E477" s="10" t="str">
        <f>IF(COUNTIF('Top5'!I:I, D477) &gt; 0, "Yes", "No")</f>
        <v>No</v>
      </c>
      <c r="F477" s="10"/>
      <c r="G477">
        <v>45712</v>
      </c>
      <c r="H477">
        <v>0.7104166666666667</v>
      </c>
      <c r="I477" t="s">
        <v>23</v>
      </c>
      <c r="J477" t="s">
        <v>49</v>
      </c>
      <c r="K477" t="s">
        <v>68</v>
      </c>
    </row>
    <row r="478" spans="1:11">
      <c r="A478" s="11">
        <v>45712</v>
      </c>
      <c r="B478" s="14">
        <v>0.7104166666666667</v>
      </c>
      <c r="C478" s="10" t="s">
        <v>23</v>
      </c>
      <c r="D478" s="10" t="e" cm="1">
        <f t="array" ref="D478">INDEX($H$2:$H$35, MATCH(1, (A478 &gt;= $F$2:$F$35) * (A478 &lt;= $G$2:$G$35), 0))</f>
        <v>#N/A</v>
      </c>
      <c r="E478" s="10" t="str">
        <f>IF(COUNTIF('Top5'!I:I, D478) &gt; 0, "Yes", "No")</f>
        <v>No</v>
      </c>
      <c r="F478" s="10"/>
      <c r="G478">
        <v>45712</v>
      </c>
      <c r="H478">
        <v>0.7104166666666667</v>
      </c>
      <c r="I478" t="s">
        <v>23</v>
      </c>
      <c r="J478" t="s">
        <v>49</v>
      </c>
      <c r="K478" t="s">
        <v>68</v>
      </c>
    </row>
    <row r="479" spans="1:11">
      <c r="A479" s="11">
        <v>45712</v>
      </c>
      <c r="B479" s="14">
        <v>0.73055555555555551</v>
      </c>
      <c r="C479" s="10" t="s">
        <v>23</v>
      </c>
      <c r="D479" s="10" t="e" cm="1">
        <f t="array" ref="D479">INDEX($H$2:$H$35, MATCH(1, (A479 &gt;= $F$2:$F$35) * (A479 &lt;= $G$2:$G$35), 0))</f>
        <v>#N/A</v>
      </c>
      <c r="E479" s="10" t="str">
        <f>IF(COUNTIF('Top5'!I:I, D479) &gt; 0, "Yes", "No")</f>
        <v>No</v>
      </c>
      <c r="F479" s="10"/>
      <c r="G479">
        <v>45712</v>
      </c>
      <c r="H479">
        <v>0.73055555555555551</v>
      </c>
      <c r="I479" t="s">
        <v>23</v>
      </c>
      <c r="J479" t="s">
        <v>49</v>
      </c>
      <c r="K479" t="s">
        <v>68</v>
      </c>
    </row>
    <row r="480" spans="1:11">
      <c r="A480" s="11">
        <v>45713</v>
      </c>
      <c r="B480" s="14">
        <v>0.40625</v>
      </c>
      <c r="C480" s="10" t="s">
        <v>22</v>
      </c>
      <c r="D480" s="10" t="e" cm="1">
        <f t="array" ref="D480">INDEX($H$2:$H$35, MATCH(1, (A480 &gt;= $F$2:$F$35) * (A480 &lt;= $G$2:$G$35), 0))</f>
        <v>#N/A</v>
      </c>
      <c r="E480" s="10" t="str">
        <f>IF(COUNTIF('Top5'!I:I, D480) &gt; 0, "Yes", "No")</f>
        <v>No</v>
      </c>
      <c r="F480" s="10"/>
      <c r="G480">
        <v>45713</v>
      </c>
      <c r="H480">
        <v>0.40625</v>
      </c>
      <c r="I480" t="s">
        <v>22</v>
      </c>
      <c r="J480" t="s">
        <v>49</v>
      </c>
      <c r="K480" t="s">
        <v>68</v>
      </c>
    </row>
    <row r="481" spans="1:11">
      <c r="A481" s="11">
        <v>45713</v>
      </c>
      <c r="B481" s="14">
        <v>0.41666666666666669</v>
      </c>
      <c r="C481" s="10" t="s">
        <v>22</v>
      </c>
      <c r="D481" s="10" t="e" cm="1">
        <f t="array" ref="D481">INDEX($H$2:$H$35, MATCH(1, (A481 &gt;= $F$2:$F$35) * (A481 &lt;= $G$2:$G$35), 0))</f>
        <v>#N/A</v>
      </c>
      <c r="E481" s="10" t="str">
        <f>IF(COUNTIF('Top5'!I:I, D481) &gt; 0, "Yes", "No")</f>
        <v>No</v>
      </c>
      <c r="F481" s="10"/>
      <c r="G481">
        <v>45713</v>
      </c>
      <c r="H481">
        <v>0.41666666666666669</v>
      </c>
      <c r="I481" t="s">
        <v>22</v>
      </c>
      <c r="J481" t="s">
        <v>49</v>
      </c>
      <c r="K481" t="s">
        <v>68</v>
      </c>
    </row>
    <row r="482" spans="1:11">
      <c r="A482" s="11">
        <v>45713</v>
      </c>
      <c r="B482" s="14">
        <v>0.97777777777777775</v>
      </c>
      <c r="C482" s="10" t="s">
        <v>23</v>
      </c>
      <c r="D482" s="10" t="e" cm="1">
        <f t="array" ref="D482">INDEX($H$2:$H$35, MATCH(1, (A482 &gt;= $F$2:$F$35) * (A482 &lt;= $G$2:$G$35), 0))</f>
        <v>#N/A</v>
      </c>
      <c r="E482" s="10" t="str">
        <f>IF(COUNTIF('Top5'!I:I, D482) &gt; 0, "Yes", "No")</f>
        <v>No</v>
      </c>
      <c r="F482" s="10"/>
      <c r="G482">
        <v>45713</v>
      </c>
      <c r="H482">
        <v>0.97777777777777775</v>
      </c>
      <c r="I482" t="s">
        <v>23</v>
      </c>
      <c r="J482" t="s">
        <v>49</v>
      </c>
      <c r="K482" t="s">
        <v>68</v>
      </c>
    </row>
    <row r="483" spans="1:11">
      <c r="A483" s="11">
        <v>45714</v>
      </c>
      <c r="B483" s="14">
        <v>0.44374999999999998</v>
      </c>
      <c r="C483" s="10" t="s">
        <v>22</v>
      </c>
      <c r="D483" s="10" t="e" cm="1">
        <f t="array" ref="D483">INDEX($H$2:$H$35, MATCH(1, (A483 &gt;= $F$2:$F$35) * (A483 &lt;= $G$2:$G$35), 0))</f>
        <v>#N/A</v>
      </c>
      <c r="E483" s="10" t="str">
        <f>IF(COUNTIF('Top5'!I:I, D483) &gt; 0, "Yes", "No")</f>
        <v>No</v>
      </c>
      <c r="F483" s="10"/>
      <c r="G483">
        <v>45714</v>
      </c>
      <c r="H483">
        <v>0.44374999999999998</v>
      </c>
      <c r="I483" t="s">
        <v>22</v>
      </c>
      <c r="J483" t="s">
        <v>49</v>
      </c>
      <c r="K483" t="s">
        <v>68</v>
      </c>
    </row>
    <row r="484" spans="1:11">
      <c r="A484" s="11">
        <v>45714</v>
      </c>
      <c r="B484" s="14">
        <v>0.47569444444444442</v>
      </c>
      <c r="C484" s="10" t="s">
        <v>22</v>
      </c>
      <c r="D484" s="10" t="e" cm="1">
        <f t="array" ref="D484">INDEX($H$2:$H$35, MATCH(1, (A484 &gt;= $F$2:$F$35) * (A484 &lt;= $G$2:$G$35), 0))</f>
        <v>#N/A</v>
      </c>
      <c r="E484" s="10" t="str">
        <f>IF(COUNTIF('Top5'!I:I, D484) &gt; 0, "Yes", "No")</f>
        <v>No</v>
      </c>
      <c r="F484" s="10"/>
      <c r="G484">
        <v>45714</v>
      </c>
      <c r="H484">
        <v>0.47569444444444442</v>
      </c>
      <c r="I484" t="s">
        <v>22</v>
      </c>
      <c r="J484" t="s">
        <v>49</v>
      </c>
      <c r="K484" t="s">
        <v>68</v>
      </c>
    </row>
    <row r="485" spans="1:11">
      <c r="A485" s="11">
        <v>45714</v>
      </c>
      <c r="B485" s="14">
        <v>0.47569444444444442</v>
      </c>
      <c r="C485" s="10" t="s">
        <v>22</v>
      </c>
      <c r="D485" s="10" t="e" cm="1">
        <f t="array" ref="D485">INDEX($H$2:$H$35, MATCH(1, (A485 &gt;= $F$2:$F$35) * (A485 &lt;= $G$2:$G$35), 0))</f>
        <v>#N/A</v>
      </c>
      <c r="E485" s="10" t="str">
        <f>IF(COUNTIF('Top5'!I:I, D485) &gt; 0, "Yes", "No")</f>
        <v>No</v>
      </c>
      <c r="F485" s="10"/>
      <c r="G485">
        <v>45714</v>
      </c>
      <c r="H485">
        <v>0.47569444444444442</v>
      </c>
      <c r="I485" t="s">
        <v>22</v>
      </c>
      <c r="J485" t="s">
        <v>49</v>
      </c>
      <c r="K485" t="s">
        <v>68</v>
      </c>
    </row>
    <row r="486" spans="1:11">
      <c r="A486" s="11">
        <v>45714</v>
      </c>
      <c r="B486" s="14">
        <v>0.47638888888888886</v>
      </c>
      <c r="C486" s="10" t="s">
        <v>22</v>
      </c>
      <c r="D486" s="10" t="e" cm="1">
        <f t="array" ref="D486">INDEX($H$2:$H$35, MATCH(1, (A486 &gt;= $F$2:$F$35) * (A486 &lt;= $G$2:$G$35), 0))</f>
        <v>#N/A</v>
      </c>
      <c r="E486" s="10" t="str">
        <f>IF(COUNTIF('Top5'!I:I, D486) &gt; 0, "Yes", "No")</f>
        <v>No</v>
      </c>
      <c r="F486" s="10"/>
      <c r="G486">
        <v>45714</v>
      </c>
      <c r="H486">
        <v>0.47638888888888886</v>
      </c>
      <c r="I486" t="s">
        <v>22</v>
      </c>
      <c r="J486" t="s">
        <v>49</v>
      </c>
      <c r="K486" t="s">
        <v>68</v>
      </c>
    </row>
    <row r="487" spans="1:11">
      <c r="A487" s="11">
        <v>45714</v>
      </c>
      <c r="B487" s="14">
        <v>0.48888888888888887</v>
      </c>
      <c r="C487" s="10" t="s">
        <v>22</v>
      </c>
      <c r="D487" s="10" t="e" cm="1">
        <f t="array" ref="D487">INDEX($H$2:$H$35, MATCH(1, (A487 &gt;= $F$2:$F$35) * (A487 &lt;= $G$2:$G$35), 0))</f>
        <v>#N/A</v>
      </c>
      <c r="E487" s="10" t="str">
        <f>IF(COUNTIF('Top5'!I:I, D487) &gt; 0, "Yes", "No")</f>
        <v>No</v>
      </c>
      <c r="F487" s="10"/>
      <c r="G487">
        <v>45714</v>
      </c>
      <c r="H487">
        <v>0.48888888888888887</v>
      </c>
      <c r="I487" t="s">
        <v>22</v>
      </c>
      <c r="J487" t="s">
        <v>49</v>
      </c>
      <c r="K487" t="s">
        <v>68</v>
      </c>
    </row>
    <row r="488" spans="1:11">
      <c r="A488" s="11">
        <v>45714</v>
      </c>
      <c r="B488" s="14">
        <v>0.49305555555555558</v>
      </c>
      <c r="C488" s="10" t="s">
        <v>22</v>
      </c>
      <c r="D488" s="10" t="e" cm="1">
        <f t="array" ref="D488">INDEX($H$2:$H$35, MATCH(1, (A488 &gt;= $F$2:$F$35) * (A488 &lt;= $G$2:$G$35), 0))</f>
        <v>#N/A</v>
      </c>
      <c r="E488" s="10" t="str">
        <f>IF(COUNTIF('Top5'!I:I, D488) &gt; 0, "Yes", "No")</f>
        <v>No</v>
      </c>
      <c r="F488" s="10"/>
      <c r="G488">
        <v>45714</v>
      </c>
      <c r="H488">
        <v>0.49305555555555558</v>
      </c>
      <c r="I488" t="s">
        <v>22</v>
      </c>
      <c r="J488" t="s">
        <v>49</v>
      </c>
      <c r="K488" t="s">
        <v>68</v>
      </c>
    </row>
    <row r="489" spans="1:11">
      <c r="A489" s="11">
        <v>45714</v>
      </c>
      <c r="B489" s="14">
        <v>0.49375000000000002</v>
      </c>
      <c r="C489" s="10" t="s">
        <v>22</v>
      </c>
      <c r="D489" s="10" t="e" cm="1">
        <f t="array" ref="D489">INDEX($H$2:$H$35, MATCH(1, (A489 &gt;= $F$2:$F$35) * (A489 &lt;= $G$2:$G$35), 0))</f>
        <v>#N/A</v>
      </c>
      <c r="E489" s="10" t="str">
        <f>IF(COUNTIF('Top5'!I:I, D489) &gt; 0, "Yes", "No")</f>
        <v>No</v>
      </c>
      <c r="F489" s="10"/>
      <c r="G489">
        <v>45714</v>
      </c>
      <c r="H489">
        <v>0.49375000000000002</v>
      </c>
      <c r="I489" t="s">
        <v>22</v>
      </c>
      <c r="J489" t="s">
        <v>49</v>
      </c>
      <c r="K489" t="s">
        <v>68</v>
      </c>
    </row>
    <row r="490" spans="1:11">
      <c r="A490" s="11">
        <v>45714</v>
      </c>
      <c r="B490" s="14">
        <v>0.49375000000000002</v>
      </c>
      <c r="C490" s="10" t="s">
        <v>22</v>
      </c>
      <c r="D490" s="10" t="e" cm="1">
        <f t="array" ref="D490">INDEX($H$2:$H$35, MATCH(1, (A490 &gt;= $F$2:$F$35) * (A490 &lt;= $G$2:$G$35), 0))</f>
        <v>#N/A</v>
      </c>
      <c r="E490" s="10" t="str">
        <f>IF(COUNTIF('Top5'!I:I, D490) &gt; 0, "Yes", "No")</f>
        <v>No</v>
      </c>
      <c r="F490" s="10"/>
      <c r="G490">
        <v>45714</v>
      </c>
      <c r="H490">
        <v>0.49375000000000002</v>
      </c>
      <c r="I490" t="s">
        <v>22</v>
      </c>
      <c r="J490" t="s">
        <v>49</v>
      </c>
      <c r="K490" t="s">
        <v>68</v>
      </c>
    </row>
    <row r="491" spans="1:11">
      <c r="A491" s="11">
        <v>45714</v>
      </c>
      <c r="B491" s="14">
        <v>0.85138888888888886</v>
      </c>
      <c r="C491" s="10" t="s">
        <v>23</v>
      </c>
      <c r="D491" s="10" t="e" cm="1">
        <f t="array" ref="D491">INDEX($H$2:$H$35, MATCH(1, (A491 &gt;= $F$2:$F$35) * (A491 &lt;= $G$2:$G$35), 0))</f>
        <v>#N/A</v>
      </c>
      <c r="E491" s="10" t="str">
        <f>IF(COUNTIF('Top5'!I:I, D491) &gt; 0, "Yes", "No")</f>
        <v>No</v>
      </c>
      <c r="F491" s="10"/>
      <c r="G491">
        <v>45714</v>
      </c>
      <c r="H491">
        <v>0.85138888888888886</v>
      </c>
      <c r="I491" t="s">
        <v>23</v>
      </c>
      <c r="J491" t="s">
        <v>49</v>
      </c>
      <c r="K491" t="s">
        <v>68</v>
      </c>
    </row>
    <row r="492" spans="1:11">
      <c r="A492" s="11">
        <v>45715</v>
      </c>
      <c r="B492" s="14">
        <v>2.7777777777777779E-3</v>
      </c>
      <c r="C492" s="10" t="s">
        <v>23</v>
      </c>
      <c r="D492" s="10" t="e" cm="1">
        <f t="array" ref="D492">INDEX($H$2:$H$35, MATCH(1, (A492 &gt;= $F$2:$F$35) * (A492 &lt;= $G$2:$G$35), 0))</f>
        <v>#N/A</v>
      </c>
      <c r="E492" s="10" t="str">
        <f>IF(COUNTIF('Top5'!I:I, D492) &gt; 0, "Yes", "No")</f>
        <v>No</v>
      </c>
      <c r="F492" s="10"/>
      <c r="G492">
        <v>45715</v>
      </c>
      <c r="H492">
        <v>2.7777777777777779E-3</v>
      </c>
      <c r="I492" t="s">
        <v>23</v>
      </c>
      <c r="J492" t="s">
        <v>49</v>
      </c>
      <c r="K492" t="s">
        <v>68</v>
      </c>
    </row>
    <row r="493" spans="1:11">
      <c r="A493" s="11">
        <v>45715</v>
      </c>
      <c r="B493" s="14">
        <v>4.1666666666666666E-3</v>
      </c>
      <c r="C493" s="10" t="s">
        <v>23</v>
      </c>
      <c r="D493" s="10" t="e" cm="1">
        <f t="array" ref="D493">INDEX($H$2:$H$35, MATCH(1, (A493 &gt;= $F$2:$F$35) * (A493 &lt;= $G$2:$G$35), 0))</f>
        <v>#N/A</v>
      </c>
      <c r="E493" s="10" t="str">
        <f>IF(COUNTIF('Top5'!I:I, D493) &gt; 0, "Yes", "No")</f>
        <v>No</v>
      </c>
      <c r="F493" s="10"/>
      <c r="G493">
        <v>45715</v>
      </c>
      <c r="H493">
        <v>4.1666666666666666E-3</v>
      </c>
      <c r="I493" t="s">
        <v>23</v>
      </c>
      <c r="J493" t="s">
        <v>49</v>
      </c>
      <c r="K493" t="s">
        <v>68</v>
      </c>
    </row>
    <row r="494" spans="1:11">
      <c r="A494" s="11">
        <v>45715</v>
      </c>
      <c r="B494" s="14">
        <v>0.65972222222222221</v>
      </c>
      <c r="C494" s="10" t="s">
        <v>22</v>
      </c>
      <c r="D494" s="10" t="e" cm="1">
        <f t="array" ref="D494">INDEX($H$2:$H$35, MATCH(1, (A494 &gt;= $F$2:$F$35) * (A494 &lt;= $G$2:$G$35), 0))</f>
        <v>#N/A</v>
      </c>
      <c r="E494" s="10" t="str">
        <f>IF(COUNTIF('Top5'!I:I, D494) &gt; 0, "Yes", "No")</f>
        <v>No</v>
      </c>
      <c r="F494" s="10"/>
      <c r="G494">
        <v>45715</v>
      </c>
      <c r="H494">
        <v>0.65972222222222221</v>
      </c>
      <c r="I494" t="s">
        <v>22</v>
      </c>
      <c r="J494" t="s">
        <v>49</v>
      </c>
      <c r="K494" t="s">
        <v>68</v>
      </c>
    </row>
    <row r="495" spans="1:11">
      <c r="A495" s="11">
        <v>45715</v>
      </c>
      <c r="B495" s="14">
        <v>0.79652777777777772</v>
      </c>
      <c r="C495" s="10" t="s">
        <v>23</v>
      </c>
      <c r="D495" s="10" t="e" cm="1">
        <f t="array" ref="D495">INDEX($H$2:$H$35, MATCH(1, (A495 &gt;= $F$2:$F$35) * (A495 &lt;= $G$2:$G$35), 0))</f>
        <v>#N/A</v>
      </c>
      <c r="E495" s="10" t="str">
        <f>IF(COUNTIF('Top5'!I:I, D495) &gt; 0, "Yes", "No")</f>
        <v>No</v>
      </c>
      <c r="F495" s="10"/>
      <c r="G495">
        <v>45715</v>
      </c>
      <c r="H495">
        <v>0.79652777777777772</v>
      </c>
      <c r="I495" t="s">
        <v>23</v>
      </c>
      <c r="J495" t="s">
        <v>49</v>
      </c>
      <c r="K495" t="s">
        <v>68</v>
      </c>
    </row>
    <row r="496" spans="1:11">
      <c r="A496" s="11">
        <v>45715</v>
      </c>
      <c r="B496" s="14">
        <v>0.79652777777777772</v>
      </c>
      <c r="C496" s="10" t="s">
        <v>23</v>
      </c>
      <c r="D496" s="10" t="e" cm="1">
        <f t="array" ref="D496">INDEX($H$2:$H$35, MATCH(1, (A496 &gt;= $F$2:$F$35) * (A496 &lt;= $G$2:$G$35), 0))</f>
        <v>#N/A</v>
      </c>
      <c r="E496" s="10" t="str">
        <f>IF(COUNTIF('Top5'!I:I, D496) &gt; 0, "Yes", "No")</f>
        <v>No</v>
      </c>
      <c r="F496" s="10"/>
      <c r="G496">
        <v>45715</v>
      </c>
      <c r="H496">
        <v>0.79652777777777772</v>
      </c>
      <c r="I496" t="s">
        <v>23</v>
      </c>
      <c r="J496" t="s">
        <v>49</v>
      </c>
      <c r="K496" t="s">
        <v>68</v>
      </c>
    </row>
    <row r="497" spans="1:11">
      <c r="A497" s="11">
        <v>45716</v>
      </c>
      <c r="B497" s="14">
        <v>0.7368055555555556</v>
      </c>
      <c r="C497" s="10" t="s">
        <v>23</v>
      </c>
      <c r="D497" s="10" t="e" cm="1">
        <f t="array" ref="D497">INDEX($H$2:$H$35, MATCH(1, (A497 &gt;= $F$2:$F$35) * (A497 &lt;= $G$2:$G$35), 0))</f>
        <v>#N/A</v>
      </c>
      <c r="E497" s="10" t="str">
        <f>IF(COUNTIF('Top5'!I:I, D497) &gt; 0, "Yes", "No")</f>
        <v>No</v>
      </c>
      <c r="F497" s="10"/>
      <c r="G497">
        <v>45716</v>
      </c>
      <c r="H497">
        <v>0.7368055555555556</v>
      </c>
      <c r="I497" t="s">
        <v>23</v>
      </c>
      <c r="J497" t="s">
        <v>49</v>
      </c>
      <c r="K497" t="s">
        <v>68</v>
      </c>
    </row>
    <row r="498" spans="1:11">
      <c r="A498" s="11">
        <v>45716</v>
      </c>
      <c r="B498" s="14">
        <v>0.76111111111111107</v>
      </c>
      <c r="C498" s="10" t="s">
        <v>23</v>
      </c>
      <c r="D498" s="10" t="e" cm="1">
        <f t="array" ref="D498">INDEX($H$2:$H$35, MATCH(1, (A498 &gt;= $F$2:$F$35) * (A498 &lt;= $G$2:$G$35), 0))</f>
        <v>#N/A</v>
      </c>
      <c r="E498" s="10" t="str">
        <f>IF(COUNTIF('Top5'!I:I, D498) &gt; 0, "Yes", "No")</f>
        <v>No</v>
      </c>
      <c r="F498" s="10"/>
      <c r="G498">
        <v>45716</v>
      </c>
      <c r="H498">
        <v>0.76111111111111107</v>
      </c>
      <c r="I498" t="s">
        <v>23</v>
      </c>
      <c r="J498" t="s">
        <v>49</v>
      </c>
      <c r="K498" t="s">
        <v>68</v>
      </c>
    </row>
    <row r="499" spans="1:11">
      <c r="A499" s="11">
        <v>45716</v>
      </c>
      <c r="B499" s="14">
        <v>0.91249999999999998</v>
      </c>
      <c r="C499" s="10" t="s">
        <v>23</v>
      </c>
      <c r="D499" s="10" t="e" cm="1">
        <f t="array" ref="D499">INDEX($H$2:$H$35, MATCH(1, (A499 &gt;= $F$2:$F$35) * (A499 &lt;= $G$2:$G$35), 0))</f>
        <v>#N/A</v>
      </c>
      <c r="E499" s="10" t="str">
        <f>IF(COUNTIF('Top5'!I:I, D499) &gt; 0, "Yes", "No")</f>
        <v>No</v>
      </c>
      <c r="F499" s="10"/>
      <c r="G499">
        <v>45716</v>
      </c>
      <c r="H499">
        <v>0.91249999999999998</v>
      </c>
      <c r="I499" t="s">
        <v>23</v>
      </c>
      <c r="J499" t="s">
        <v>49</v>
      </c>
      <c r="K499" t="s">
        <v>68</v>
      </c>
    </row>
    <row r="500" spans="1:11">
      <c r="A500" s="11">
        <v>45716</v>
      </c>
      <c r="B500" s="14">
        <v>0.91597222222222219</v>
      </c>
      <c r="C500" s="10" t="s">
        <v>23</v>
      </c>
      <c r="D500" s="10" t="e" cm="1">
        <f t="array" ref="D500">INDEX($H$2:$H$35, MATCH(1, (A500 &gt;= $F$2:$F$35) * (A500 &lt;= $G$2:$G$35), 0))</f>
        <v>#N/A</v>
      </c>
      <c r="E500" s="10" t="str">
        <f>IF(COUNTIF('Top5'!I:I, D500) &gt; 0, "Yes", "No")</f>
        <v>No</v>
      </c>
      <c r="F500" s="10"/>
      <c r="G500">
        <v>45716</v>
      </c>
      <c r="H500">
        <v>0.91597222222222219</v>
      </c>
      <c r="I500" t="s">
        <v>23</v>
      </c>
      <c r="J500" t="s">
        <v>49</v>
      </c>
      <c r="K500" t="s">
        <v>68</v>
      </c>
    </row>
    <row r="501" spans="1:11">
      <c r="A501" s="11">
        <v>45716</v>
      </c>
      <c r="B501" s="14">
        <v>0.94722222222222219</v>
      </c>
      <c r="C501" s="10" t="s">
        <v>23</v>
      </c>
      <c r="D501" s="10" t="e" cm="1">
        <f t="array" ref="D501">INDEX($H$2:$H$35, MATCH(1, (A501 &gt;= $F$2:$F$35) * (A501 &lt;= $G$2:$G$35), 0))</f>
        <v>#N/A</v>
      </c>
      <c r="E501" s="10" t="str">
        <f>IF(COUNTIF('Top5'!I:I, D501) &gt; 0, "Yes", "No")</f>
        <v>No</v>
      </c>
      <c r="F501" s="10"/>
      <c r="G501">
        <v>45716</v>
      </c>
      <c r="H501">
        <v>0.94722222222222219</v>
      </c>
      <c r="I501" t="s">
        <v>23</v>
      </c>
      <c r="J501" t="s">
        <v>49</v>
      </c>
      <c r="K501" t="s">
        <v>68</v>
      </c>
    </row>
    <row r="502" spans="1:11">
      <c r="A502" s="11">
        <v>45717</v>
      </c>
      <c r="B502" s="14">
        <v>7.6388888888888886E-3</v>
      </c>
      <c r="C502" s="10" t="s">
        <v>23</v>
      </c>
      <c r="D502" s="10" t="e" cm="1">
        <f t="array" ref="D502">INDEX($H$2:$H$35, MATCH(1, (A502 &gt;= $F$2:$F$35) * (A502 &lt;= $G$2:$G$35), 0))</f>
        <v>#N/A</v>
      </c>
      <c r="E502" s="10" t="str">
        <f>IF(COUNTIF('Top5'!I:I, D502) &gt; 0, "Yes", "No")</f>
        <v>No</v>
      </c>
      <c r="F502" s="10"/>
      <c r="G502">
        <v>45717</v>
      </c>
      <c r="H502">
        <v>7.6388888888888886E-3</v>
      </c>
      <c r="I502" t="s">
        <v>23</v>
      </c>
      <c r="J502" t="s">
        <v>38</v>
      </c>
      <c r="K502" t="s">
        <v>68</v>
      </c>
    </row>
    <row r="503" spans="1:11">
      <c r="A503" s="11">
        <v>45717</v>
      </c>
      <c r="B503" s="14">
        <v>8.3333333333333332E-3</v>
      </c>
      <c r="C503" s="10" t="s">
        <v>23</v>
      </c>
      <c r="D503" s="10" t="e" cm="1">
        <f t="array" ref="D503">INDEX($H$2:$H$35, MATCH(1, (A503 &gt;= $F$2:$F$35) * (A503 &lt;= $G$2:$G$35), 0))</f>
        <v>#N/A</v>
      </c>
      <c r="E503" s="10" t="str">
        <f>IF(COUNTIF('Top5'!I:I, D503) &gt; 0, "Yes", "No")</f>
        <v>No</v>
      </c>
      <c r="F503" s="10"/>
      <c r="G503">
        <v>45717</v>
      </c>
      <c r="H503">
        <v>8.3333333333333332E-3</v>
      </c>
      <c r="I503" t="s">
        <v>23</v>
      </c>
      <c r="J503" t="s">
        <v>38</v>
      </c>
      <c r="K503" t="s">
        <v>68</v>
      </c>
    </row>
    <row r="504" spans="1:11">
      <c r="A504" s="11">
        <v>45717</v>
      </c>
      <c r="B504" s="14">
        <v>0.43888888888888888</v>
      </c>
      <c r="C504" s="10" t="s">
        <v>22</v>
      </c>
      <c r="D504" s="10" t="e" cm="1">
        <f t="array" ref="D504">INDEX($H$2:$H$35, MATCH(1, (A504 &gt;= $F$2:$F$35) * (A504 &lt;= $G$2:$G$35), 0))</f>
        <v>#N/A</v>
      </c>
      <c r="E504" s="10" t="str">
        <f>IF(COUNTIF('Top5'!I:I, D504) &gt; 0, "Yes", "No")</f>
        <v>No</v>
      </c>
      <c r="F504" s="10"/>
      <c r="G504">
        <v>45717</v>
      </c>
      <c r="H504">
        <v>0.43888888888888888</v>
      </c>
      <c r="I504" t="s">
        <v>22</v>
      </c>
      <c r="J504" t="s">
        <v>38</v>
      </c>
      <c r="K504" t="s">
        <v>68</v>
      </c>
    </row>
    <row r="505" spans="1:11">
      <c r="A505" s="11">
        <v>45717</v>
      </c>
      <c r="B505" s="14">
        <v>0.97916666666666663</v>
      </c>
      <c r="C505" s="10" t="s">
        <v>23</v>
      </c>
      <c r="D505" s="10" t="e" cm="1">
        <f t="array" ref="D505">INDEX($H$2:$H$35, MATCH(1, (A505 &gt;= $F$2:$F$35) * (A505 &lt;= $G$2:$G$35), 0))</f>
        <v>#N/A</v>
      </c>
      <c r="E505" s="10" t="str">
        <f>IF(COUNTIF('Top5'!I:I, D505) &gt; 0, "Yes", "No")</f>
        <v>No</v>
      </c>
      <c r="F505" s="10"/>
      <c r="G505">
        <v>45717</v>
      </c>
      <c r="H505">
        <v>0.97916666666666663</v>
      </c>
      <c r="I505" t="s">
        <v>23</v>
      </c>
      <c r="J505" t="s">
        <v>38</v>
      </c>
      <c r="K505" t="s">
        <v>68</v>
      </c>
    </row>
    <row r="506" spans="1:11">
      <c r="A506" s="11">
        <v>45717</v>
      </c>
      <c r="B506" s="14">
        <v>0.98263888888888884</v>
      </c>
      <c r="C506" s="10" t="s">
        <v>23</v>
      </c>
      <c r="D506" s="10" t="e" cm="1">
        <f t="array" ref="D506">INDEX($H$2:$H$35, MATCH(1, (A506 &gt;= $F$2:$F$35) * (A506 &lt;= $G$2:$G$35), 0))</f>
        <v>#N/A</v>
      </c>
      <c r="E506" s="10" t="str">
        <f>IF(COUNTIF('Top5'!I:I, D506) &gt; 0, "Yes", "No")</f>
        <v>No</v>
      </c>
      <c r="F506" s="10"/>
      <c r="G506">
        <v>45717</v>
      </c>
      <c r="H506">
        <v>0.98263888888888884</v>
      </c>
      <c r="I506" t="s">
        <v>23</v>
      </c>
      <c r="J506" t="s">
        <v>38</v>
      </c>
      <c r="K506" t="s">
        <v>68</v>
      </c>
    </row>
    <row r="507" spans="1:11">
      <c r="A507" s="11">
        <v>45717</v>
      </c>
      <c r="B507" s="14">
        <v>0.99513888888888891</v>
      </c>
      <c r="C507" s="10" t="s">
        <v>23</v>
      </c>
      <c r="D507" s="10" t="e" cm="1">
        <f t="array" ref="D507">INDEX($H$2:$H$35, MATCH(1, (A507 &gt;= $F$2:$F$35) * (A507 &lt;= $G$2:$G$35), 0))</f>
        <v>#N/A</v>
      </c>
      <c r="E507" s="10" t="str">
        <f>IF(COUNTIF('Top5'!I:I, D507) &gt; 0, "Yes", "No")</f>
        <v>No</v>
      </c>
      <c r="F507" s="10"/>
      <c r="G507">
        <v>45717</v>
      </c>
      <c r="H507">
        <v>0.99513888888888891</v>
      </c>
      <c r="I507" t="s">
        <v>23</v>
      </c>
      <c r="J507" t="s">
        <v>38</v>
      </c>
      <c r="K507" t="s">
        <v>68</v>
      </c>
    </row>
    <row r="508" spans="1:11">
      <c r="A508" s="11">
        <v>45718</v>
      </c>
      <c r="B508" s="14">
        <v>6.9444444444444441E-3</v>
      </c>
      <c r="C508" s="10" t="s">
        <v>23</v>
      </c>
      <c r="D508" s="10" t="e" cm="1">
        <f t="array" ref="D508">INDEX($H$2:$H$35, MATCH(1, (A508 &gt;= $F$2:$F$35) * (A508 &lt;= $G$2:$G$35), 0))</f>
        <v>#N/A</v>
      </c>
      <c r="E508" s="10" t="str">
        <f>IF(COUNTIF('Top5'!I:I, D508) &gt; 0, "Yes", "No")</f>
        <v>No</v>
      </c>
      <c r="F508" s="10"/>
      <c r="G508">
        <v>45718</v>
      </c>
      <c r="H508">
        <v>6.9444444444444441E-3</v>
      </c>
      <c r="I508" t="s">
        <v>23</v>
      </c>
      <c r="J508" t="s">
        <v>38</v>
      </c>
      <c r="K508" t="s">
        <v>68</v>
      </c>
    </row>
    <row r="509" spans="1:11">
      <c r="A509" s="11">
        <v>45718</v>
      </c>
      <c r="B509" s="14">
        <v>1.2500000000000001E-2</v>
      </c>
      <c r="C509" s="10" t="s">
        <v>23</v>
      </c>
      <c r="D509" s="10" t="e" cm="1">
        <f t="array" ref="D509">INDEX($H$2:$H$35, MATCH(1, (A509 &gt;= $F$2:$F$35) * (A509 &lt;= $G$2:$G$35), 0))</f>
        <v>#N/A</v>
      </c>
      <c r="E509" s="10" t="str">
        <f>IF(COUNTIF('Top5'!I:I, D509) &gt; 0, "Yes", "No")</f>
        <v>No</v>
      </c>
      <c r="F509" s="10"/>
      <c r="G509">
        <v>45718</v>
      </c>
      <c r="H509">
        <v>1.2500000000000001E-2</v>
      </c>
      <c r="I509" t="s">
        <v>23</v>
      </c>
      <c r="J509" t="s">
        <v>38</v>
      </c>
      <c r="K509" t="s">
        <v>68</v>
      </c>
    </row>
    <row r="510" spans="1:11">
      <c r="A510" s="11">
        <v>45718</v>
      </c>
      <c r="B510" s="14">
        <v>1.5972222222222221E-2</v>
      </c>
      <c r="C510" s="10" t="s">
        <v>23</v>
      </c>
      <c r="D510" s="10" t="e" cm="1">
        <f t="array" ref="D510">INDEX($H$2:$H$35, MATCH(1, (A510 &gt;= $F$2:$F$35) * (A510 &lt;= $G$2:$G$35), 0))</f>
        <v>#N/A</v>
      </c>
      <c r="E510" s="10" t="str">
        <f>IF(COUNTIF('Top5'!I:I, D510) &gt; 0, "Yes", "No")</f>
        <v>No</v>
      </c>
      <c r="F510" s="10"/>
      <c r="G510">
        <v>45718</v>
      </c>
      <c r="H510">
        <v>1.5972222222222221E-2</v>
      </c>
      <c r="I510" t="s">
        <v>23</v>
      </c>
      <c r="J510" t="s">
        <v>38</v>
      </c>
      <c r="K510" t="s">
        <v>68</v>
      </c>
    </row>
    <row r="511" spans="1:11">
      <c r="A511" s="11">
        <v>45718</v>
      </c>
      <c r="B511" s="14">
        <v>0.73402777777777772</v>
      </c>
      <c r="C511" s="10" t="s">
        <v>23</v>
      </c>
      <c r="D511" s="10" t="e" cm="1">
        <f t="array" ref="D511">INDEX($H$2:$H$35, MATCH(1, (A511 &gt;= $F$2:$F$35) * (A511 &lt;= $G$2:$G$35), 0))</f>
        <v>#N/A</v>
      </c>
      <c r="E511" s="10" t="str">
        <f>IF(COUNTIF('Top5'!I:I, D511) &gt; 0, "Yes", "No")</f>
        <v>No</v>
      </c>
      <c r="F511" s="10"/>
      <c r="G511">
        <v>45718</v>
      </c>
      <c r="H511">
        <v>0.73402777777777772</v>
      </c>
      <c r="I511" t="s">
        <v>23</v>
      </c>
      <c r="J511" t="s">
        <v>38</v>
      </c>
      <c r="K511" t="s">
        <v>68</v>
      </c>
    </row>
    <row r="512" spans="1:11">
      <c r="A512" s="11">
        <v>45718</v>
      </c>
      <c r="B512" s="14">
        <v>0.83333333333333337</v>
      </c>
      <c r="C512" s="10" t="s">
        <v>23</v>
      </c>
      <c r="D512" s="10" t="e" cm="1">
        <f t="array" ref="D512">INDEX($H$2:$H$35, MATCH(1, (A512 &gt;= $F$2:$F$35) * (A512 &lt;= $G$2:$G$35), 0))</f>
        <v>#N/A</v>
      </c>
      <c r="E512" s="10" t="str">
        <f>IF(COUNTIF('Top5'!I:I, D512) &gt; 0, "Yes", "No")</f>
        <v>No</v>
      </c>
      <c r="F512" s="10"/>
      <c r="G512">
        <v>45718</v>
      </c>
      <c r="H512">
        <v>0.83333333333333337</v>
      </c>
      <c r="I512" t="s">
        <v>23</v>
      </c>
      <c r="J512" t="s">
        <v>38</v>
      </c>
      <c r="K512" t="s">
        <v>68</v>
      </c>
    </row>
    <row r="513" spans="1:11">
      <c r="A513" s="11">
        <v>45719</v>
      </c>
      <c r="B513" s="14">
        <v>0.45277777777777778</v>
      </c>
      <c r="C513" s="10" t="s">
        <v>22</v>
      </c>
      <c r="D513" s="10" t="e" cm="1">
        <f t="array" ref="D513">INDEX($H$2:$H$35, MATCH(1, (A513 &gt;= $F$2:$F$35) * (A513 &lt;= $G$2:$G$35), 0))</f>
        <v>#N/A</v>
      </c>
      <c r="E513" s="10" t="str">
        <f>IF(COUNTIF('Top5'!I:I, D513) &gt; 0, "Yes", "No")</f>
        <v>No</v>
      </c>
      <c r="F513" s="10"/>
      <c r="G513">
        <v>45719</v>
      </c>
      <c r="H513">
        <v>0.45277777777777778</v>
      </c>
      <c r="I513" t="s">
        <v>22</v>
      </c>
      <c r="J513" t="s">
        <v>38</v>
      </c>
      <c r="K513" t="s">
        <v>68</v>
      </c>
    </row>
    <row r="514" spans="1:11">
      <c r="A514" s="11">
        <v>45719</v>
      </c>
      <c r="B514" s="14">
        <v>0.65138888888888891</v>
      </c>
      <c r="C514" s="10" t="s">
        <v>22</v>
      </c>
      <c r="D514" s="10" t="e" cm="1">
        <f t="array" ref="D514">INDEX($H$2:$H$35, MATCH(1, (A514 &gt;= $F$2:$F$35) * (A514 &lt;= $G$2:$G$35), 0))</f>
        <v>#N/A</v>
      </c>
      <c r="E514" s="10" t="str">
        <f>IF(COUNTIF('Top5'!I:I, D514) &gt; 0, "Yes", "No")</f>
        <v>No</v>
      </c>
      <c r="F514" s="10"/>
      <c r="G514">
        <v>45719</v>
      </c>
      <c r="H514">
        <v>0.65138888888888891</v>
      </c>
      <c r="I514" t="s">
        <v>22</v>
      </c>
      <c r="J514" t="s">
        <v>38</v>
      </c>
      <c r="K514" t="s">
        <v>68</v>
      </c>
    </row>
    <row r="515" spans="1:11">
      <c r="A515" s="11">
        <v>45719</v>
      </c>
      <c r="B515" s="14">
        <v>0.65208333333333335</v>
      </c>
      <c r="C515" s="10" t="s">
        <v>22</v>
      </c>
      <c r="D515" s="10" t="e" cm="1">
        <f t="array" ref="D515">INDEX($H$2:$H$35, MATCH(1, (A515 &gt;= $F$2:$F$35) * (A515 &lt;= $G$2:$G$35), 0))</f>
        <v>#N/A</v>
      </c>
      <c r="E515" s="10" t="str">
        <f>IF(COUNTIF('Top5'!I:I, D515) &gt; 0, "Yes", "No")</f>
        <v>No</v>
      </c>
      <c r="F515" s="10"/>
      <c r="G515">
        <v>45719</v>
      </c>
      <c r="H515">
        <v>0.65208333333333335</v>
      </c>
      <c r="I515" t="s">
        <v>22</v>
      </c>
      <c r="J515" t="s">
        <v>38</v>
      </c>
      <c r="K515" t="s">
        <v>68</v>
      </c>
    </row>
    <row r="516" spans="1:11">
      <c r="A516" s="11">
        <v>45719</v>
      </c>
      <c r="B516" s="14">
        <v>0.65347222222222223</v>
      </c>
      <c r="C516" s="10" t="s">
        <v>22</v>
      </c>
      <c r="D516" s="10" t="e" cm="1">
        <f t="array" ref="D516">INDEX($H$2:$H$35, MATCH(1, (A516 &gt;= $F$2:$F$35) * (A516 &lt;= $G$2:$G$35), 0))</f>
        <v>#N/A</v>
      </c>
      <c r="E516" s="10" t="str">
        <f>IF(COUNTIF('Top5'!I:I, D516) &gt; 0, "Yes", "No")</f>
        <v>No</v>
      </c>
      <c r="F516" s="10"/>
      <c r="G516">
        <v>45719</v>
      </c>
      <c r="H516">
        <v>0.65347222222222223</v>
      </c>
      <c r="I516" t="s">
        <v>22</v>
      </c>
      <c r="J516" t="s">
        <v>38</v>
      </c>
      <c r="K516" t="s">
        <v>68</v>
      </c>
    </row>
    <row r="517" spans="1:11">
      <c r="A517" s="11">
        <v>45719</v>
      </c>
      <c r="B517" s="14">
        <v>0.65486111111111112</v>
      </c>
      <c r="C517" s="10" t="s">
        <v>22</v>
      </c>
      <c r="D517" s="10" t="e" cm="1">
        <f t="array" ref="D517">INDEX($H$2:$H$35, MATCH(1, (A517 &gt;= $F$2:$F$35) * (A517 &lt;= $G$2:$G$35), 0))</f>
        <v>#N/A</v>
      </c>
      <c r="E517" s="10" t="str">
        <f>IF(COUNTIF('Top5'!I:I, D517) &gt; 0, "Yes", "No")</f>
        <v>No</v>
      </c>
      <c r="F517" s="10"/>
      <c r="G517">
        <v>45719</v>
      </c>
      <c r="H517">
        <v>0.65486111111111112</v>
      </c>
      <c r="I517" t="s">
        <v>22</v>
      </c>
      <c r="J517" t="s">
        <v>38</v>
      </c>
      <c r="K517" t="s">
        <v>68</v>
      </c>
    </row>
    <row r="518" spans="1:11">
      <c r="A518" s="11">
        <v>45719</v>
      </c>
      <c r="B518" s="14">
        <v>0.75069444444444444</v>
      </c>
      <c r="C518" s="10" t="s">
        <v>23</v>
      </c>
      <c r="D518" s="10" t="e" cm="1">
        <f t="array" ref="D518">INDEX($H$2:$H$35, MATCH(1, (A518 &gt;= $F$2:$F$35) * (A518 &lt;= $G$2:$G$35), 0))</f>
        <v>#N/A</v>
      </c>
      <c r="E518" s="10" t="str">
        <f>IF(COUNTIF('Top5'!I:I, D518) &gt; 0, "Yes", "No")</f>
        <v>No</v>
      </c>
      <c r="F518" s="10"/>
      <c r="G518">
        <v>45719</v>
      </c>
      <c r="H518">
        <v>0.75069444444444444</v>
      </c>
      <c r="I518" t="s">
        <v>23</v>
      </c>
      <c r="J518" t="s">
        <v>38</v>
      </c>
      <c r="K518" t="s">
        <v>68</v>
      </c>
    </row>
    <row r="519" spans="1:11">
      <c r="A519" s="11">
        <v>45719</v>
      </c>
      <c r="B519" s="14">
        <v>0.9291666666666667</v>
      </c>
      <c r="C519" s="10" t="s">
        <v>23</v>
      </c>
      <c r="D519" s="10" t="e" cm="1">
        <f t="array" ref="D519">INDEX($H$2:$H$35, MATCH(1, (A519 &gt;= $F$2:$F$35) * (A519 &lt;= $G$2:$G$35), 0))</f>
        <v>#N/A</v>
      </c>
      <c r="E519" s="10" t="str">
        <f>IF(COUNTIF('Top5'!I:I, D519) &gt; 0, "Yes", "No")</f>
        <v>No</v>
      </c>
      <c r="F519" s="10"/>
      <c r="G519">
        <v>45719</v>
      </c>
      <c r="H519">
        <v>0.9291666666666667</v>
      </c>
      <c r="I519" t="s">
        <v>23</v>
      </c>
      <c r="J519" t="s">
        <v>38</v>
      </c>
      <c r="K519" t="s">
        <v>68</v>
      </c>
    </row>
    <row r="520" spans="1:11">
      <c r="A520" s="11">
        <v>45719</v>
      </c>
      <c r="B520" s="14">
        <v>0.99305555555555558</v>
      </c>
      <c r="C520" s="10" t="s">
        <v>23</v>
      </c>
      <c r="D520" s="10" t="e" cm="1">
        <f t="array" ref="D520">INDEX($H$2:$H$35, MATCH(1, (A520 &gt;= $F$2:$F$35) * (A520 &lt;= $G$2:$G$35), 0))</f>
        <v>#N/A</v>
      </c>
      <c r="E520" s="10" t="str">
        <f>IF(COUNTIF('Top5'!I:I, D520) &gt; 0, "Yes", "No")</f>
        <v>No</v>
      </c>
      <c r="F520" s="10"/>
      <c r="G520">
        <v>45719</v>
      </c>
      <c r="H520">
        <v>0.99305555555555558</v>
      </c>
      <c r="I520" t="s">
        <v>23</v>
      </c>
      <c r="J520" t="s">
        <v>38</v>
      </c>
      <c r="K520" t="s">
        <v>68</v>
      </c>
    </row>
    <row r="521" spans="1:11">
      <c r="A521" s="11">
        <v>45719</v>
      </c>
      <c r="B521" s="14">
        <v>0.99930555555555556</v>
      </c>
      <c r="C521" s="10" t="s">
        <v>23</v>
      </c>
      <c r="D521" s="10" t="e" cm="1">
        <f t="array" ref="D521">INDEX($H$2:$H$35, MATCH(1, (A521 &gt;= $F$2:$F$35) * (A521 &lt;= $G$2:$G$35), 0))</f>
        <v>#N/A</v>
      </c>
      <c r="E521" s="10" t="str">
        <f>IF(COUNTIF('Top5'!I:I, D521) &gt; 0, "Yes", "No")</f>
        <v>No</v>
      </c>
      <c r="F521" s="10"/>
      <c r="G521">
        <v>45719</v>
      </c>
      <c r="H521">
        <v>0.99930555555555556</v>
      </c>
      <c r="I521" t="s">
        <v>23</v>
      </c>
      <c r="J521" t="s">
        <v>38</v>
      </c>
      <c r="K521" t="s">
        <v>68</v>
      </c>
    </row>
    <row r="522" spans="1:11">
      <c r="A522" s="11">
        <v>45720</v>
      </c>
      <c r="B522" s="14">
        <v>6.9444444444444447E-4</v>
      </c>
      <c r="C522" s="10" t="s">
        <v>23</v>
      </c>
      <c r="D522" s="10" t="e" cm="1">
        <f t="array" ref="D522">INDEX($H$2:$H$35, MATCH(1, (A522 &gt;= $F$2:$F$35) * (A522 &lt;= $G$2:$G$35), 0))</f>
        <v>#N/A</v>
      </c>
      <c r="E522" s="10" t="str">
        <f>IF(COUNTIF('Top5'!I:I, D522) &gt; 0, "Yes", "No")</f>
        <v>No</v>
      </c>
      <c r="F522" s="10"/>
      <c r="G522">
        <v>45720</v>
      </c>
      <c r="H522">
        <v>6.9444444444444447E-4</v>
      </c>
      <c r="I522" t="s">
        <v>23</v>
      </c>
      <c r="J522" t="s">
        <v>38</v>
      </c>
      <c r="K522" t="s">
        <v>68</v>
      </c>
    </row>
    <row r="523" spans="1:11">
      <c r="A523" s="11">
        <v>45720</v>
      </c>
      <c r="B523" s="14">
        <v>0.74444444444444446</v>
      </c>
      <c r="C523" s="10" t="s">
        <v>23</v>
      </c>
      <c r="D523" s="10" t="e" cm="1">
        <f t="array" ref="D523">INDEX($H$2:$H$35, MATCH(1, (A523 &gt;= $F$2:$F$35) * (A523 &lt;= $G$2:$G$35), 0))</f>
        <v>#N/A</v>
      </c>
      <c r="E523" s="10" t="str">
        <f>IF(COUNTIF('Top5'!I:I, D523) &gt; 0, "Yes", "No")</f>
        <v>No</v>
      </c>
      <c r="F523" s="10"/>
      <c r="G523">
        <v>45720</v>
      </c>
      <c r="H523">
        <v>0.74444444444444446</v>
      </c>
      <c r="I523" t="s">
        <v>23</v>
      </c>
      <c r="J523" t="s">
        <v>38</v>
      </c>
      <c r="K523" t="s">
        <v>68</v>
      </c>
    </row>
    <row r="524" spans="1:11">
      <c r="A524" s="11">
        <v>45721</v>
      </c>
      <c r="B524" s="14">
        <v>0</v>
      </c>
      <c r="C524" s="10" t="s">
        <v>23</v>
      </c>
      <c r="D524" s="10" t="e" cm="1">
        <f t="array" ref="D524">INDEX($H$2:$H$35, MATCH(1, (A524 &gt;= $F$2:$F$35) * (A524 &lt;= $G$2:$G$35), 0))</f>
        <v>#N/A</v>
      </c>
      <c r="E524" s="10" t="str">
        <f>IF(COUNTIF('Top5'!I:I, D524) &gt; 0, "Yes", "No")</f>
        <v>No</v>
      </c>
      <c r="F524" s="10"/>
      <c r="G524">
        <v>45721</v>
      </c>
      <c r="H524">
        <v>0</v>
      </c>
      <c r="I524" t="s">
        <v>23</v>
      </c>
      <c r="J524" t="s">
        <v>38</v>
      </c>
      <c r="K524" t="s">
        <v>68</v>
      </c>
    </row>
    <row r="525" spans="1:11">
      <c r="A525" s="11">
        <v>45721</v>
      </c>
      <c r="B525" s="14">
        <v>6.9444444444444447E-4</v>
      </c>
      <c r="C525" s="10" t="s">
        <v>23</v>
      </c>
      <c r="D525" s="10" t="e" cm="1">
        <f t="array" ref="D525">INDEX($H$2:$H$35, MATCH(1, (A525 &gt;= $F$2:$F$35) * (A525 &lt;= $G$2:$G$35), 0))</f>
        <v>#N/A</v>
      </c>
      <c r="E525" s="10" t="str">
        <f>IF(COUNTIF('Top5'!I:I, D525) &gt; 0, "Yes", "No")</f>
        <v>No</v>
      </c>
      <c r="F525" s="10"/>
      <c r="G525">
        <v>45721</v>
      </c>
      <c r="H525">
        <v>6.9444444444444447E-4</v>
      </c>
      <c r="I525" t="s">
        <v>23</v>
      </c>
      <c r="J525" t="s">
        <v>38</v>
      </c>
      <c r="K525" t="s">
        <v>68</v>
      </c>
    </row>
    <row r="526" spans="1:11">
      <c r="A526" s="11">
        <v>45721</v>
      </c>
      <c r="B526" s="14">
        <v>4.1666666666666666E-3</v>
      </c>
      <c r="C526" s="10" t="s">
        <v>23</v>
      </c>
      <c r="D526" s="10" t="e" cm="1">
        <f t="array" ref="D526">INDEX($H$2:$H$35, MATCH(1, (A526 &gt;= $F$2:$F$35) * (A526 &lt;= $G$2:$G$35), 0))</f>
        <v>#N/A</v>
      </c>
      <c r="E526" s="10" t="str">
        <f>IF(COUNTIF('Top5'!I:I, D526) &gt; 0, "Yes", "No")</f>
        <v>No</v>
      </c>
      <c r="F526" s="10"/>
      <c r="G526">
        <v>45721</v>
      </c>
      <c r="H526">
        <v>4.1666666666666666E-3</v>
      </c>
      <c r="I526" t="s">
        <v>23</v>
      </c>
      <c r="J526" t="s">
        <v>38</v>
      </c>
      <c r="K526" t="s">
        <v>68</v>
      </c>
    </row>
    <row r="527" spans="1:11">
      <c r="A527" s="11">
        <v>45721</v>
      </c>
      <c r="B527" s="14">
        <v>0.31180555555555556</v>
      </c>
      <c r="C527" s="10" t="s">
        <v>22</v>
      </c>
      <c r="D527" s="10" t="e" cm="1">
        <f t="array" ref="D527">INDEX($H$2:$H$35, MATCH(1, (A527 &gt;= $F$2:$F$35) * (A527 &lt;= $G$2:$G$35), 0))</f>
        <v>#N/A</v>
      </c>
      <c r="E527" s="10" t="str">
        <f>IF(COUNTIF('Top5'!I:I, D527) &gt; 0, "Yes", "No")</f>
        <v>No</v>
      </c>
      <c r="F527" s="10"/>
      <c r="G527">
        <v>45721</v>
      </c>
      <c r="H527">
        <v>0.31180555555555556</v>
      </c>
      <c r="I527" t="s">
        <v>22</v>
      </c>
      <c r="J527" t="s">
        <v>38</v>
      </c>
      <c r="K527" t="s">
        <v>68</v>
      </c>
    </row>
    <row r="528" spans="1:11">
      <c r="A528" s="11">
        <v>45721</v>
      </c>
      <c r="B528" s="14">
        <v>0.56111111111111112</v>
      </c>
      <c r="C528" s="10" t="s">
        <v>22</v>
      </c>
      <c r="D528" s="10" t="e" cm="1">
        <f t="array" ref="D528">INDEX($H$2:$H$35, MATCH(1, (A528 &gt;= $F$2:$F$35) * (A528 &lt;= $G$2:$G$35), 0))</f>
        <v>#N/A</v>
      </c>
      <c r="E528" s="10" t="str">
        <f>IF(COUNTIF('Top5'!I:I, D528) &gt; 0, "Yes", "No")</f>
        <v>No</v>
      </c>
      <c r="F528" s="10"/>
      <c r="G528">
        <v>45721</v>
      </c>
      <c r="H528">
        <v>0.56111111111111112</v>
      </c>
      <c r="I528" t="s">
        <v>22</v>
      </c>
      <c r="J528" t="s">
        <v>38</v>
      </c>
      <c r="K528" t="s">
        <v>68</v>
      </c>
    </row>
    <row r="529" spans="1:11">
      <c r="A529" s="11">
        <v>45721</v>
      </c>
      <c r="B529" s="14">
        <v>0.5805555555555556</v>
      </c>
      <c r="C529" s="10" t="s">
        <v>22</v>
      </c>
      <c r="D529" s="10" t="e" cm="1">
        <f t="array" ref="D529">INDEX($H$2:$H$35, MATCH(1, (A529 &gt;= $F$2:$F$35) * (A529 &lt;= $G$2:$G$35), 0))</f>
        <v>#N/A</v>
      </c>
      <c r="E529" s="10" t="str">
        <f>IF(COUNTIF('Top5'!I:I, D529) &gt; 0, "Yes", "No")</f>
        <v>No</v>
      </c>
      <c r="F529" s="10"/>
      <c r="G529">
        <v>45721</v>
      </c>
      <c r="H529">
        <v>0.5805555555555556</v>
      </c>
      <c r="I529" t="s">
        <v>22</v>
      </c>
      <c r="J529" t="s">
        <v>38</v>
      </c>
      <c r="K529" t="s">
        <v>68</v>
      </c>
    </row>
    <row r="530" spans="1:11">
      <c r="A530" s="11">
        <v>45721</v>
      </c>
      <c r="B530" s="14">
        <v>0.77083333333333337</v>
      </c>
      <c r="C530" s="10" t="s">
        <v>23</v>
      </c>
      <c r="D530" s="10" t="e" cm="1">
        <f t="array" ref="D530">INDEX($H$2:$H$35, MATCH(1, (A530 &gt;= $F$2:$F$35) * (A530 &lt;= $G$2:$G$35), 0))</f>
        <v>#N/A</v>
      </c>
      <c r="E530" s="10" t="str">
        <f>IF(COUNTIF('Top5'!I:I, D530) &gt; 0, "Yes", "No")</f>
        <v>No</v>
      </c>
      <c r="F530" s="10"/>
      <c r="G530">
        <v>45721</v>
      </c>
      <c r="H530">
        <v>0.77083333333333337</v>
      </c>
      <c r="I530" t="s">
        <v>23</v>
      </c>
      <c r="J530" t="s">
        <v>38</v>
      </c>
      <c r="K530" t="s">
        <v>68</v>
      </c>
    </row>
    <row r="531" spans="1:11">
      <c r="A531" s="11">
        <v>45721</v>
      </c>
      <c r="B531" s="14">
        <v>0.86944444444444446</v>
      </c>
      <c r="C531" s="10" t="s">
        <v>23</v>
      </c>
      <c r="D531" s="10" t="e" cm="1">
        <f t="array" ref="D531">INDEX($H$2:$H$35, MATCH(1, (A531 &gt;= $F$2:$F$35) * (A531 &lt;= $G$2:$G$35), 0))</f>
        <v>#N/A</v>
      </c>
      <c r="E531" s="10" t="str">
        <f>IF(COUNTIF('Top5'!I:I, D531) &gt; 0, "Yes", "No")</f>
        <v>No</v>
      </c>
      <c r="F531" s="10"/>
      <c r="G531">
        <v>45721</v>
      </c>
      <c r="H531">
        <v>0.86944444444444446</v>
      </c>
      <c r="I531" t="s">
        <v>23</v>
      </c>
      <c r="J531" t="s">
        <v>38</v>
      </c>
      <c r="K531" t="s">
        <v>68</v>
      </c>
    </row>
    <row r="532" spans="1:11">
      <c r="A532" s="11">
        <v>45721</v>
      </c>
      <c r="B532" s="14">
        <v>0.87013888888888891</v>
      </c>
      <c r="C532" s="10" t="s">
        <v>23</v>
      </c>
      <c r="D532" s="10" t="e" cm="1">
        <f t="array" ref="D532">INDEX($H$2:$H$35, MATCH(1, (A532 &gt;= $F$2:$F$35) * (A532 &lt;= $G$2:$G$35), 0))</f>
        <v>#N/A</v>
      </c>
      <c r="E532" s="10" t="str">
        <f>IF(COUNTIF('Top5'!I:I, D532) &gt; 0, "Yes", "No")</f>
        <v>No</v>
      </c>
      <c r="F532" s="10"/>
      <c r="G532">
        <v>45721</v>
      </c>
      <c r="H532">
        <v>0.87013888888888891</v>
      </c>
      <c r="I532" t="s">
        <v>23</v>
      </c>
      <c r="J532" t="s">
        <v>38</v>
      </c>
      <c r="K532" t="s">
        <v>68</v>
      </c>
    </row>
    <row r="533" spans="1:11">
      <c r="A533" s="11">
        <v>45721</v>
      </c>
      <c r="B533" s="14">
        <v>0.875</v>
      </c>
      <c r="C533" s="10" t="s">
        <v>23</v>
      </c>
      <c r="D533" s="10" t="e" cm="1">
        <f t="array" ref="D533">INDEX($H$2:$H$35, MATCH(1, (A533 &gt;= $F$2:$F$35) * (A533 &lt;= $G$2:$G$35), 0))</f>
        <v>#N/A</v>
      </c>
      <c r="E533" s="10" t="str">
        <f>IF(COUNTIF('Top5'!I:I, D533) &gt; 0, "Yes", "No")</f>
        <v>No</v>
      </c>
      <c r="F533" s="10"/>
      <c r="G533">
        <v>45721</v>
      </c>
      <c r="H533">
        <v>0.875</v>
      </c>
      <c r="I533" t="s">
        <v>23</v>
      </c>
      <c r="J533" t="s">
        <v>38</v>
      </c>
      <c r="K533" t="s">
        <v>68</v>
      </c>
    </row>
    <row r="534" spans="1:11">
      <c r="A534" s="11">
        <v>45721</v>
      </c>
      <c r="B534" s="14">
        <v>0.90486111111111112</v>
      </c>
      <c r="C534" s="10" t="s">
        <v>23</v>
      </c>
      <c r="D534" s="10" t="e" cm="1">
        <f t="array" ref="D534">INDEX($H$2:$H$35, MATCH(1, (A534 &gt;= $F$2:$F$35) * (A534 &lt;= $G$2:$G$35), 0))</f>
        <v>#N/A</v>
      </c>
      <c r="E534" s="10" t="str">
        <f>IF(COUNTIF('Top5'!I:I, D534) &gt; 0, "Yes", "No")</f>
        <v>No</v>
      </c>
      <c r="F534" s="10"/>
      <c r="G534">
        <v>45721</v>
      </c>
      <c r="H534">
        <v>0.90486111111111112</v>
      </c>
      <c r="I534" t="s">
        <v>23</v>
      </c>
      <c r="J534" t="s">
        <v>38</v>
      </c>
      <c r="K534" t="s">
        <v>68</v>
      </c>
    </row>
    <row r="535" spans="1:11">
      <c r="A535" s="11">
        <v>45721</v>
      </c>
      <c r="B535" s="14">
        <v>0.91111111111111109</v>
      </c>
      <c r="C535" s="10" t="s">
        <v>23</v>
      </c>
      <c r="D535" s="10" t="e" cm="1">
        <f t="array" ref="D535">INDEX($H$2:$H$35, MATCH(1, (A535 &gt;= $F$2:$F$35) * (A535 &lt;= $G$2:$G$35), 0))</f>
        <v>#N/A</v>
      </c>
      <c r="E535" s="10" t="str">
        <f>IF(COUNTIF('Top5'!I:I, D535) &gt; 0, "Yes", "No")</f>
        <v>No</v>
      </c>
      <c r="F535" s="10"/>
      <c r="G535">
        <v>45721</v>
      </c>
      <c r="H535">
        <v>0.91111111111111109</v>
      </c>
      <c r="I535" t="s">
        <v>23</v>
      </c>
      <c r="J535" t="s">
        <v>38</v>
      </c>
      <c r="K535" t="s">
        <v>68</v>
      </c>
    </row>
    <row r="536" spans="1:11">
      <c r="A536" s="11">
        <v>45721</v>
      </c>
      <c r="B536" s="14">
        <v>0.91319444444444442</v>
      </c>
      <c r="C536" s="10" t="s">
        <v>23</v>
      </c>
      <c r="D536" s="10" t="e" cm="1">
        <f t="array" ref="D536">INDEX($H$2:$H$35, MATCH(1, (A536 &gt;= $F$2:$F$35) * (A536 &lt;= $G$2:$G$35), 0))</f>
        <v>#N/A</v>
      </c>
      <c r="E536" s="10" t="str">
        <f>IF(COUNTIF('Top5'!I:I, D536) &gt; 0, "Yes", "No")</f>
        <v>No</v>
      </c>
      <c r="F536" s="10"/>
      <c r="G536">
        <v>45721</v>
      </c>
      <c r="H536">
        <v>0.91319444444444442</v>
      </c>
      <c r="I536" t="s">
        <v>23</v>
      </c>
      <c r="J536" t="s">
        <v>38</v>
      </c>
      <c r="K536" t="s">
        <v>68</v>
      </c>
    </row>
    <row r="537" spans="1:11">
      <c r="A537" s="11">
        <v>45721</v>
      </c>
      <c r="B537" s="14">
        <v>0.92013888888888884</v>
      </c>
      <c r="C537" s="10" t="s">
        <v>23</v>
      </c>
      <c r="D537" s="10" t="e" cm="1">
        <f t="array" ref="D537">INDEX($H$2:$H$35, MATCH(1, (A537 &gt;= $F$2:$F$35) * (A537 &lt;= $G$2:$G$35), 0))</f>
        <v>#N/A</v>
      </c>
      <c r="E537" s="10" t="str">
        <f>IF(COUNTIF('Top5'!I:I, D537) &gt; 0, "Yes", "No")</f>
        <v>No</v>
      </c>
      <c r="F537" s="10"/>
      <c r="G537">
        <v>45721</v>
      </c>
      <c r="H537">
        <v>0.92013888888888884</v>
      </c>
      <c r="I537" t="s">
        <v>23</v>
      </c>
      <c r="J537" t="s">
        <v>38</v>
      </c>
      <c r="K537" t="s">
        <v>68</v>
      </c>
    </row>
    <row r="538" spans="1:11">
      <c r="A538" s="11">
        <v>45721</v>
      </c>
      <c r="B538" s="14">
        <v>0.93680555555555556</v>
      </c>
      <c r="C538" s="10" t="s">
        <v>23</v>
      </c>
      <c r="D538" s="10" t="e" cm="1">
        <f t="array" ref="D538">INDEX($H$2:$H$35, MATCH(1, (A538 &gt;= $F$2:$F$35) * (A538 &lt;= $G$2:$G$35), 0))</f>
        <v>#N/A</v>
      </c>
      <c r="E538" s="10" t="str">
        <f>IF(COUNTIF('Top5'!I:I, D538) &gt; 0, "Yes", "No")</f>
        <v>No</v>
      </c>
      <c r="F538" s="10"/>
      <c r="G538">
        <v>45721</v>
      </c>
      <c r="H538">
        <v>0.93680555555555556</v>
      </c>
      <c r="I538" t="s">
        <v>23</v>
      </c>
      <c r="J538" t="s">
        <v>38</v>
      </c>
      <c r="K538" t="s">
        <v>68</v>
      </c>
    </row>
    <row r="539" spans="1:11">
      <c r="A539" s="11">
        <v>45722</v>
      </c>
      <c r="B539" s="14">
        <v>4.1666666666666666E-3</v>
      </c>
      <c r="C539" s="10" t="s">
        <v>23</v>
      </c>
      <c r="D539" s="10" t="e" cm="1">
        <f t="array" ref="D539">INDEX($H$2:$H$35, MATCH(1, (A539 &gt;= $F$2:$F$35) * (A539 &lt;= $G$2:$G$35), 0))</f>
        <v>#N/A</v>
      </c>
      <c r="E539" s="10" t="str">
        <f>IF(COUNTIF('Top5'!I:I, D539) &gt; 0, "Yes", "No")</f>
        <v>No</v>
      </c>
      <c r="F539" s="10"/>
      <c r="G539">
        <v>45722</v>
      </c>
      <c r="H539">
        <v>4.1666666666666666E-3</v>
      </c>
      <c r="I539" t="s">
        <v>23</v>
      </c>
      <c r="J539" t="s">
        <v>38</v>
      </c>
      <c r="K539" t="s">
        <v>68</v>
      </c>
    </row>
    <row r="540" spans="1:11">
      <c r="A540" s="11">
        <v>45722</v>
      </c>
      <c r="B540" s="14">
        <v>6.2500000000000003E-3</v>
      </c>
      <c r="C540" s="10" t="s">
        <v>23</v>
      </c>
      <c r="D540" s="10" t="e" cm="1">
        <f t="array" ref="D540">INDEX($H$2:$H$35, MATCH(1, (A540 &gt;= $F$2:$F$35) * (A540 &lt;= $G$2:$G$35), 0))</f>
        <v>#N/A</v>
      </c>
      <c r="E540" s="10" t="str">
        <f>IF(COUNTIF('Top5'!I:I, D540) &gt; 0, "Yes", "No")</f>
        <v>No</v>
      </c>
      <c r="F540" s="10"/>
      <c r="G540">
        <v>45722</v>
      </c>
      <c r="H540">
        <v>6.2500000000000003E-3</v>
      </c>
      <c r="I540" t="s">
        <v>23</v>
      </c>
      <c r="J540" t="s">
        <v>38</v>
      </c>
      <c r="K540" t="s">
        <v>68</v>
      </c>
    </row>
    <row r="541" spans="1:11">
      <c r="A541" s="11">
        <v>45722</v>
      </c>
      <c r="B541" s="14">
        <v>6.2500000000000003E-3</v>
      </c>
      <c r="C541" s="10" t="s">
        <v>23</v>
      </c>
      <c r="D541" s="10" t="e" cm="1">
        <f t="array" ref="D541">INDEX($H$2:$H$35, MATCH(1, (A541 &gt;= $F$2:$F$35) * (A541 &lt;= $G$2:$G$35), 0))</f>
        <v>#N/A</v>
      </c>
      <c r="E541" s="10" t="str">
        <f>IF(COUNTIF('Top5'!I:I, D541) &gt; 0, "Yes", "No")</f>
        <v>No</v>
      </c>
      <c r="F541" s="10"/>
      <c r="G541">
        <v>45722</v>
      </c>
      <c r="H541">
        <v>6.2500000000000003E-3</v>
      </c>
      <c r="I541" t="s">
        <v>23</v>
      </c>
      <c r="J541" t="s">
        <v>38</v>
      </c>
      <c r="K541" t="s">
        <v>68</v>
      </c>
    </row>
    <row r="542" spans="1:11">
      <c r="A542" s="11">
        <v>45722</v>
      </c>
      <c r="B542" s="14">
        <v>7.6388888888888886E-3</v>
      </c>
      <c r="C542" s="10" t="s">
        <v>23</v>
      </c>
      <c r="D542" s="10" t="e" cm="1">
        <f t="array" ref="D542">INDEX($H$2:$H$35, MATCH(1, (A542 &gt;= $F$2:$F$35) * (A542 &lt;= $G$2:$G$35), 0))</f>
        <v>#N/A</v>
      </c>
      <c r="E542" s="10" t="str">
        <f>IF(COUNTIF('Top5'!I:I, D542) &gt; 0, "Yes", "No")</f>
        <v>No</v>
      </c>
      <c r="F542" s="10"/>
      <c r="G542">
        <v>45722</v>
      </c>
      <c r="H542">
        <v>7.6388888888888886E-3</v>
      </c>
      <c r="I542" t="s">
        <v>23</v>
      </c>
      <c r="J542" t="s">
        <v>38</v>
      </c>
      <c r="K542" t="s">
        <v>68</v>
      </c>
    </row>
    <row r="543" spans="1:11">
      <c r="A543" s="11">
        <v>45722</v>
      </c>
      <c r="B543" s="14">
        <v>7.6388888888888886E-3</v>
      </c>
      <c r="C543" s="10" t="s">
        <v>23</v>
      </c>
      <c r="D543" s="10" t="e" cm="1">
        <f t="array" ref="D543">INDEX($H$2:$H$35, MATCH(1, (A543 &gt;= $F$2:$F$35) * (A543 &lt;= $G$2:$G$35), 0))</f>
        <v>#N/A</v>
      </c>
      <c r="E543" s="10" t="str">
        <f>IF(COUNTIF('Top5'!I:I, D543) &gt; 0, "Yes", "No")</f>
        <v>No</v>
      </c>
      <c r="F543" s="10"/>
      <c r="G543">
        <v>45722</v>
      </c>
      <c r="H543">
        <v>7.6388888888888886E-3</v>
      </c>
      <c r="I543" t="s">
        <v>23</v>
      </c>
      <c r="J543" t="s">
        <v>38</v>
      </c>
      <c r="K543" t="s">
        <v>68</v>
      </c>
    </row>
    <row r="544" spans="1:11">
      <c r="A544" s="11">
        <v>45722</v>
      </c>
      <c r="B544" s="14">
        <v>9.0277777777777769E-3</v>
      </c>
      <c r="C544" s="10" t="s">
        <v>23</v>
      </c>
      <c r="D544" s="10" t="e" cm="1">
        <f t="array" ref="D544">INDEX($H$2:$H$35, MATCH(1, (A544 &gt;= $F$2:$F$35) * (A544 &lt;= $G$2:$G$35), 0))</f>
        <v>#N/A</v>
      </c>
      <c r="E544" s="10" t="str">
        <f>IF(COUNTIF('Top5'!I:I, D544) &gt; 0, "Yes", "No")</f>
        <v>No</v>
      </c>
      <c r="F544" s="10"/>
      <c r="G544">
        <v>45722</v>
      </c>
      <c r="H544">
        <v>9.0277777777777769E-3</v>
      </c>
      <c r="I544" t="s">
        <v>23</v>
      </c>
      <c r="J544" t="s">
        <v>38</v>
      </c>
      <c r="K544" t="s">
        <v>68</v>
      </c>
    </row>
    <row r="545" spans="1:11">
      <c r="A545" s="11">
        <v>45722</v>
      </c>
      <c r="B545" s="14">
        <v>1.7361111111111112E-2</v>
      </c>
      <c r="C545" s="10" t="s">
        <v>23</v>
      </c>
      <c r="D545" s="10" t="e" cm="1">
        <f t="array" ref="D545">INDEX($H$2:$H$35, MATCH(1, (A545 &gt;= $F$2:$F$35) * (A545 &lt;= $G$2:$G$35), 0))</f>
        <v>#N/A</v>
      </c>
      <c r="E545" s="10" t="str">
        <f>IF(COUNTIF('Top5'!I:I, D545) &gt; 0, "Yes", "No")</f>
        <v>No</v>
      </c>
      <c r="F545" s="10"/>
      <c r="G545">
        <v>45722</v>
      </c>
      <c r="H545">
        <v>1.7361111111111112E-2</v>
      </c>
      <c r="I545" t="s">
        <v>23</v>
      </c>
      <c r="J545" t="s">
        <v>38</v>
      </c>
      <c r="K545" t="s">
        <v>68</v>
      </c>
    </row>
    <row r="546" spans="1:11">
      <c r="A546" s="11">
        <v>45722</v>
      </c>
      <c r="B546" s="14">
        <v>1.7361111111111112E-2</v>
      </c>
      <c r="C546" s="10" t="s">
        <v>23</v>
      </c>
      <c r="D546" s="10" t="e" cm="1">
        <f t="array" ref="D546">INDEX($H$2:$H$35, MATCH(1, (A546 &gt;= $F$2:$F$35) * (A546 &lt;= $G$2:$G$35), 0))</f>
        <v>#N/A</v>
      </c>
      <c r="E546" s="10" t="str">
        <f>IF(COUNTIF('Top5'!I:I, D546) &gt; 0, "Yes", "No")</f>
        <v>No</v>
      </c>
      <c r="F546" s="10"/>
      <c r="G546">
        <v>45722</v>
      </c>
      <c r="H546">
        <v>1.7361111111111112E-2</v>
      </c>
      <c r="I546" t="s">
        <v>23</v>
      </c>
      <c r="J546" t="s">
        <v>38</v>
      </c>
      <c r="K546" t="s">
        <v>68</v>
      </c>
    </row>
    <row r="547" spans="1:11">
      <c r="A547" s="11">
        <v>45722</v>
      </c>
      <c r="B547" s="14">
        <v>1.8749999999999999E-2</v>
      </c>
      <c r="C547" s="10" t="s">
        <v>23</v>
      </c>
      <c r="D547" s="10" t="e" cm="1">
        <f t="array" ref="D547">INDEX($H$2:$H$35, MATCH(1, (A547 &gt;= $F$2:$F$35) * (A547 &lt;= $G$2:$G$35), 0))</f>
        <v>#N/A</v>
      </c>
      <c r="E547" s="10" t="str">
        <f>IF(COUNTIF('Top5'!I:I, D547) &gt; 0, "Yes", "No")</f>
        <v>No</v>
      </c>
      <c r="F547" s="10"/>
      <c r="G547">
        <v>45722</v>
      </c>
      <c r="H547">
        <v>1.8749999999999999E-2</v>
      </c>
      <c r="I547" t="s">
        <v>23</v>
      </c>
      <c r="J547" t="s">
        <v>38</v>
      </c>
      <c r="K547" t="s">
        <v>68</v>
      </c>
    </row>
    <row r="548" spans="1:11">
      <c r="A548" s="11">
        <v>45722</v>
      </c>
      <c r="B548" s="14">
        <v>0.40972222222222221</v>
      </c>
      <c r="C548" s="10" t="s">
        <v>22</v>
      </c>
      <c r="D548" s="10" t="e" cm="1">
        <f t="array" ref="D548">INDEX($H$2:$H$35, MATCH(1, (A548 &gt;= $F$2:$F$35) * (A548 &lt;= $G$2:$G$35), 0))</f>
        <v>#N/A</v>
      </c>
      <c r="E548" s="10" t="str">
        <f>IF(COUNTIF('Top5'!I:I, D548) &gt; 0, "Yes", "No")</f>
        <v>No</v>
      </c>
      <c r="F548" s="10"/>
      <c r="G548">
        <v>45722</v>
      </c>
      <c r="H548">
        <v>0.40972222222222221</v>
      </c>
      <c r="I548" t="s">
        <v>22</v>
      </c>
      <c r="J548" t="s">
        <v>38</v>
      </c>
      <c r="K548" t="s">
        <v>68</v>
      </c>
    </row>
    <row r="549" spans="1:11">
      <c r="A549" s="11">
        <v>45722</v>
      </c>
      <c r="B549" s="14">
        <v>0.44027777777777777</v>
      </c>
      <c r="C549" s="10" t="s">
        <v>22</v>
      </c>
      <c r="D549" s="10" t="e" cm="1">
        <f t="array" ref="D549">INDEX($H$2:$H$35, MATCH(1, (A549 &gt;= $F$2:$F$35) * (A549 &lt;= $G$2:$G$35), 0))</f>
        <v>#N/A</v>
      </c>
      <c r="E549" s="10" t="str">
        <f>IF(COUNTIF('Top5'!I:I, D549) &gt; 0, "Yes", "No")</f>
        <v>No</v>
      </c>
      <c r="F549" s="10"/>
      <c r="G549">
        <v>45722</v>
      </c>
      <c r="H549">
        <v>0.44027777777777777</v>
      </c>
      <c r="I549" t="s">
        <v>22</v>
      </c>
      <c r="J549" t="s">
        <v>38</v>
      </c>
      <c r="K549" t="s">
        <v>68</v>
      </c>
    </row>
    <row r="550" spans="1:11">
      <c r="A550" s="11">
        <v>45722</v>
      </c>
      <c r="B550" s="14">
        <v>0.46388888888888891</v>
      </c>
      <c r="C550" s="10" t="s">
        <v>22</v>
      </c>
      <c r="D550" s="10" t="e" cm="1">
        <f t="array" ref="D550">INDEX($H$2:$H$35, MATCH(1, (A550 &gt;= $F$2:$F$35) * (A550 &lt;= $G$2:$G$35), 0))</f>
        <v>#N/A</v>
      </c>
      <c r="E550" s="10" t="str">
        <f>IF(COUNTIF('Top5'!I:I, D550) &gt; 0, "Yes", "No")</f>
        <v>No</v>
      </c>
      <c r="F550" s="10"/>
      <c r="G550">
        <v>45722</v>
      </c>
      <c r="H550">
        <v>0.46388888888888891</v>
      </c>
      <c r="I550" t="s">
        <v>22</v>
      </c>
      <c r="J550" t="s">
        <v>38</v>
      </c>
      <c r="K550" t="s">
        <v>68</v>
      </c>
    </row>
    <row r="551" spans="1:11">
      <c r="A551" s="11">
        <v>45722</v>
      </c>
      <c r="B551" s="14">
        <v>0.47986111111111113</v>
      </c>
      <c r="C551" s="10" t="s">
        <v>22</v>
      </c>
      <c r="D551" s="10" t="e" cm="1">
        <f t="array" ref="D551">INDEX($H$2:$H$35, MATCH(1, (A551 &gt;= $F$2:$F$35) * (A551 &lt;= $G$2:$G$35), 0))</f>
        <v>#N/A</v>
      </c>
      <c r="E551" s="10" t="str">
        <f>IF(COUNTIF('Top5'!I:I, D551) &gt; 0, "Yes", "No")</f>
        <v>No</v>
      </c>
      <c r="F551" s="10"/>
      <c r="G551">
        <v>45722</v>
      </c>
      <c r="H551">
        <v>0.47986111111111113</v>
      </c>
      <c r="I551" t="s">
        <v>22</v>
      </c>
      <c r="J551" t="s">
        <v>38</v>
      </c>
      <c r="K551" t="s">
        <v>68</v>
      </c>
    </row>
    <row r="552" spans="1:11">
      <c r="A552" s="11">
        <v>45722</v>
      </c>
      <c r="B552" s="14">
        <v>0.4909722222222222</v>
      </c>
      <c r="C552" s="10" t="s">
        <v>22</v>
      </c>
      <c r="D552" s="10" t="e" cm="1">
        <f t="array" ref="D552">INDEX($H$2:$H$35, MATCH(1, (A552 &gt;= $F$2:$F$35) * (A552 &lt;= $G$2:$G$35), 0))</f>
        <v>#N/A</v>
      </c>
      <c r="E552" s="10" t="str">
        <f>IF(COUNTIF('Top5'!I:I, D552) &gt; 0, "Yes", "No")</f>
        <v>No</v>
      </c>
      <c r="F552" s="10"/>
      <c r="G552">
        <v>45722</v>
      </c>
      <c r="H552">
        <v>0.4909722222222222</v>
      </c>
      <c r="I552" t="s">
        <v>22</v>
      </c>
      <c r="J552" t="s">
        <v>38</v>
      </c>
      <c r="K552" t="s">
        <v>68</v>
      </c>
    </row>
    <row r="553" spans="1:11">
      <c r="A553" s="11">
        <v>45722</v>
      </c>
      <c r="B553" s="14">
        <v>0.7583333333333333</v>
      </c>
      <c r="C553" s="10" t="s">
        <v>23</v>
      </c>
      <c r="D553" s="10" t="e" cm="1">
        <f t="array" ref="D553">INDEX($H$2:$H$35, MATCH(1, (A553 &gt;= $F$2:$F$35) * (A553 &lt;= $G$2:$G$35), 0))</f>
        <v>#N/A</v>
      </c>
      <c r="E553" s="10" t="str">
        <f>IF(COUNTIF('Top5'!I:I, D553) &gt; 0, "Yes", "No")</f>
        <v>No</v>
      </c>
      <c r="F553" s="10"/>
      <c r="G553">
        <v>45722</v>
      </c>
      <c r="H553">
        <v>0.7583333333333333</v>
      </c>
      <c r="I553" t="s">
        <v>23</v>
      </c>
      <c r="J553" t="s">
        <v>38</v>
      </c>
      <c r="K553" t="s">
        <v>68</v>
      </c>
    </row>
    <row r="554" spans="1:11">
      <c r="A554" s="11">
        <v>45722</v>
      </c>
      <c r="B554" s="14">
        <v>0.76597222222222228</v>
      </c>
      <c r="C554" s="10" t="s">
        <v>23</v>
      </c>
      <c r="D554" s="10" t="e" cm="1">
        <f t="array" ref="D554">INDEX($H$2:$H$35, MATCH(1, (A554 &gt;= $F$2:$F$35) * (A554 &lt;= $G$2:$G$35), 0))</f>
        <v>#N/A</v>
      </c>
      <c r="E554" s="10" t="str">
        <f>IF(COUNTIF('Top5'!I:I, D554) &gt; 0, "Yes", "No")</f>
        <v>No</v>
      </c>
      <c r="F554" s="10"/>
      <c r="G554">
        <v>45722</v>
      </c>
      <c r="H554">
        <v>0.76597222222222228</v>
      </c>
      <c r="I554" t="s">
        <v>23</v>
      </c>
      <c r="J554" t="s">
        <v>38</v>
      </c>
      <c r="K554" t="s">
        <v>68</v>
      </c>
    </row>
    <row r="555" spans="1:11">
      <c r="A555" s="11">
        <v>45722</v>
      </c>
      <c r="B555" s="14">
        <v>0.78680555555555554</v>
      </c>
      <c r="C555" s="10" t="s">
        <v>23</v>
      </c>
      <c r="D555" s="10" t="e" cm="1">
        <f t="array" ref="D555">INDEX($H$2:$H$35, MATCH(1, (A555 &gt;= $F$2:$F$35) * (A555 &lt;= $G$2:$G$35), 0))</f>
        <v>#N/A</v>
      </c>
      <c r="E555" s="10" t="str">
        <f>IF(COUNTIF('Top5'!I:I, D555) &gt; 0, "Yes", "No")</f>
        <v>No</v>
      </c>
      <c r="F555" s="10"/>
      <c r="G555">
        <v>45722</v>
      </c>
      <c r="H555">
        <v>0.78680555555555554</v>
      </c>
      <c r="I555" t="s">
        <v>23</v>
      </c>
      <c r="J555" t="s">
        <v>38</v>
      </c>
      <c r="K555" t="s">
        <v>68</v>
      </c>
    </row>
    <row r="556" spans="1:11">
      <c r="A556" s="11">
        <v>45722</v>
      </c>
      <c r="B556" s="14">
        <v>0.84513888888888888</v>
      </c>
      <c r="C556" s="10" t="s">
        <v>23</v>
      </c>
      <c r="D556" s="10" t="e" cm="1">
        <f t="array" ref="D556">INDEX($H$2:$H$35, MATCH(1, (A556 &gt;= $F$2:$F$35) * (A556 &lt;= $G$2:$G$35), 0))</f>
        <v>#N/A</v>
      </c>
      <c r="E556" s="10" t="str">
        <f>IF(COUNTIF('Top5'!I:I, D556) &gt; 0, "Yes", "No")</f>
        <v>No</v>
      </c>
      <c r="F556" s="10"/>
      <c r="G556">
        <v>45722</v>
      </c>
      <c r="H556">
        <v>0.84513888888888888</v>
      </c>
      <c r="I556" t="s">
        <v>23</v>
      </c>
      <c r="J556" t="s">
        <v>38</v>
      </c>
      <c r="K556" t="s">
        <v>68</v>
      </c>
    </row>
    <row r="557" spans="1:11">
      <c r="A557" s="11">
        <v>45722</v>
      </c>
      <c r="B557" s="14">
        <v>0.87708333333333333</v>
      </c>
      <c r="C557" s="10" t="s">
        <v>23</v>
      </c>
      <c r="D557" s="10" t="e" cm="1">
        <f t="array" ref="D557">INDEX($H$2:$H$35, MATCH(1, (A557 &gt;= $F$2:$F$35) * (A557 &lt;= $G$2:$G$35), 0))</f>
        <v>#N/A</v>
      </c>
      <c r="E557" s="10" t="str">
        <f>IF(COUNTIF('Top5'!I:I, D557) &gt; 0, "Yes", "No")</f>
        <v>No</v>
      </c>
      <c r="F557" s="10"/>
      <c r="G557">
        <v>45722</v>
      </c>
      <c r="H557">
        <v>0.87708333333333333</v>
      </c>
      <c r="I557" t="s">
        <v>23</v>
      </c>
      <c r="J557" t="s">
        <v>38</v>
      </c>
      <c r="K557" t="s">
        <v>68</v>
      </c>
    </row>
    <row r="558" spans="1:11">
      <c r="A558" s="11">
        <v>45722</v>
      </c>
      <c r="B558" s="14">
        <v>0.87777777777777777</v>
      </c>
      <c r="C558" s="10" t="s">
        <v>23</v>
      </c>
      <c r="D558" s="10" t="e" cm="1">
        <f t="array" ref="D558">INDEX($H$2:$H$35, MATCH(1, (A558 &gt;= $F$2:$F$35) * (A558 &lt;= $G$2:$G$35), 0))</f>
        <v>#N/A</v>
      </c>
      <c r="E558" s="10" t="str">
        <f>IF(COUNTIF('Top5'!I:I, D558) &gt; 0, "Yes", "No")</f>
        <v>No</v>
      </c>
      <c r="F558" s="10"/>
      <c r="G558">
        <v>45722</v>
      </c>
      <c r="H558">
        <v>0.87777777777777777</v>
      </c>
      <c r="I558" t="s">
        <v>23</v>
      </c>
      <c r="J558" t="s">
        <v>38</v>
      </c>
      <c r="K558" t="s">
        <v>68</v>
      </c>
    </row>
    <row r="559" spans="1:11">
      <c r="A559" s="11">
        <v>45722</v>
      </c>
      <c r="B559" s="14">
        <v>0.94513888888888886</v>
      </c>
      <c r="C559" s="10" t="s">
        <v>23</v>
      </c>
      <c r="D559" s="10" t="e" cm="1">
        <f t="array" ref="D559">INDEX($H$2:$H$35, MATCH(1, (A559 &gt;= $F$2:$F$35) * (A559 &lt;= $G$2:$G$35), 0))</f>
        <v>#N/A</v>
      </c>
      <c r="E559" s="10" t="str">
        <f>IF(COUNTIF('Top5'!I:I, D559) &gt; 0, "Yes", "No")</f>
        <v>No</v>
      </c>
      <c r="F559" s="10"/>
      <c r="G559">
        <v>45722</v>
      </c>
      <c r="H559">
        <v>0.94513888888888886</v>
      </c>
      <c r="I559" t="s">
        <v>23</v>
      </c>
      <c r="J559" t="s">
        <v>38</v>
      </c>
      <c r="K559" t="s">
        <v>68</v>
      </c>
    </row>
    <row r="560" spans="1:11">
      <c r="A560" s="11">
        <v>45722</v>
      </c>
      <c r="B560" s="14">
        <v>0.98541666666666672</v>
      </c>
      <c r="C560" s="10" t="s">
        <v>23</v>
      </c>
      <c r="D560" s="10" t="e" cm="1">
        <f t="array" ref="D560">INDEX($H$2:$H$35, MATCH(1, (A560 &gt;= $F$2:$F$35) * (A560 &lt;= $G$2:$G$35), 0))</f>
        <v>#N/A</v>
      </c>
      <c r="E560" s="10" t="str">
        <f>IF(COUNTIF('Top5'!I:I, D560) &gt; 0, "Yes", "No")</f>
        <v>No</v>
      </c>
      <c r="F560" s="10"/>
      <c r="G560">
        <v>45722</v>
      </c>
      <c r="H560">
        <v>0.98541666666666672</v>
      </c>
      <c r="I560" t="s">
        <v>23</v>
      </c>
      <c r="J560" t="s">
        <v>38</v>
      </c>
      <c r="K560" t="s">
        <v>68</v>
      </c>
    </row>
    <row r="561" spans="1:11">
      <c r="A561" s="11">
        <v>45722</v>
      </c>
      <c r="B561" s="14">
        <v>0.98750000000000004</v>
      </c>
      <c r="C561" s="10" t="s">
        <v>23</v>
      </c>
      <c r="D561" s="10" t="e" cm="1">
        <f t="array" ref="D561">INDEX($H$2:$H$35, MATCH(1, (A561 &gt;= $F$2:$F$35) * (A561 &lt;= $G$2:$G$35), 0))</f>
        <v>#N/A</v>
      </c>
      <c r="E561" s="10" t="str">
        <f>IF(COUNTIF('Top5'!I:I, D561) &gt; 0, "Yes", "No")</f>
        <v>No</v>
      </c>
      <c r="F561" s="10"/>
      <c r="G561">
        <v>45722</v>
      </c>
      <c r="H561">
        <v>0.98750000000000004</v>
      </c>
      <c r="I561" t="s">
        <v>23</v>
      </c>
      <c r="J561" t="s">
        <v>38</v>
      </c>
      <c r="K561" t="s">
        <v>68</v>
      </c>
    </row>
    <row r="562" spans="1:11">
      <c r="A562" s="11">
        <v>45723</v>
      </c>
      <c r="B562" s="14">
        <v>6.9444444444444447E-4</v>
      </c>
      <c r="C562" s="10" t="s">
        <v>23</v>
      </c>
      <c r="D562" s="10" t="e" cm="1">
        <f t="array" ref="D562">INDEX($H$2:$H$35, MATCH(1, (A562 &gt;= $F$2:$F$35) * (A562 &lt;= $G$2:$G$35), 0))</f>
        <v>#N/A</v>
      </c>
      <c r="E562" s="10" t="str">
        <f>IF(COUNTIF('Top5'!I:I, D562) &gt; 0, "Yes", "No")</f>
        <v>No</v>
      </c>
      <c r="F562" s="10"/>
      <c r="G562">
        <v>45723</v>
      </c>
      <c r="H562">
        <v>6.9444444444444447E-4</v>
      </c>
      <c r="I562" t="s">
        <v>23</v>
      </c>
      <c r="J562" t="s">
        <v>38</v>
      </c>
      <c r="K562" t="s">
        <v>68</v>
      </c>
    </row>
    <row r="563" spans="1:11">
      <c r="A563" s="11">
        <v>45723</v>
      </c>
      <c r="B563" s="14">
        <v>4.8611111111111112E-3</v>
      </c>
      <c r="C563" s="10" t="s">
        <v>23</v>
      </c>
      <c r="D563" s="10" t="e" cm="1">
        <f t="array" ref="D563">INDEX($H$2:$H$35, MATCH(1, (A563 &gt;= $F$2:$F$35) * (A563 &lt;= $G$2:$G$35), 0))</f>
        <v>#N/A</v>
      </c>
      <c r="E563" s="10" t="str">
        <f>IF(COUNTIF('Top5'!I:I, D563) &gt; 0, "Yes", "No")</f>
        <v>No</v>
      </c>
      <c r="F563" s="10"/>
      <c r="G563">
        <v>45723</v>
      </c>
      <c r="H563">
        <v>4.8611111111111112E-3</v>
      </c>
      <c r="I563" t="s">
        <v>23</v>
      </c>
      <c r="J563" t="s">
        <v>38</v>
      </c>
      <c r="K563" t="s">
        <v>68</v>
      </c>
    </row>
    <row r="564" spans="1:11">
      <c r="A564" s="11">
        <v>45723</v>
      </c>
      <c r="B564" s="14">
        <v>2.2222222222222223E-2</v>
      </c>
      <c r="C564" s="10" t="s">
        <v>23</v>
      </c>
      <c r="D564" s="10" t="e" cm="1">
        <f t="array" ref="D564">INDEX($H$2:$H$35, MATCH(1, (A564 &gt;= $F$2:$F$35) * (A564 &lt;= $G$2:$G$35), 0))</f>
        <v>#N/A</v>
      </c>
      <c r="E564" s="10" t="str">
        <f>IF(COUNTIF('Top5'!I:I, D564) &gt; 0, "Yes", "No")</f>
        <v>No</v>
      </c>
      <c r="F564" s="10"/>
      <c r="G564">
        <v>45723</v>
      </c>
      <c r="H564">
        <v>2.2222222222222223E-2</v>
      </c>
      <c r="I564" t="s">
        <v>23</v>
      </c>
      <c r="J564" t="s">
        <v>38</v>
      </c>
      <c r="K564" t="s">
        <v>68</v>
      </c>
    </row>
    <row r="565" spans="1:11">
      <c r="A565" s="11">
        <v>45723</v>
      </c>
      <c r="B565" s="14">
        <v>0.53125</v>
      </c>
      <c r="C565" s="10" t="s">
        <v>22</v>
      </c>
      <c r="D565" s="10" t="e" cm="1">
        <f t="array" ref="D565">INDEX($H$2:$H$35, MATCH(1, (A565 &gt;= $F$2:$F$35) * (A565 &lt;= $G$2:$G$35), 0))</f>
        <v>#N/A</v>
      </c>
      <c r="E565" s="10" t="str">
        <f>IF(COUNTIF('Top5'!I:I, D565) &gt; 0, "Yes", "No")</f>
        <v>No</v>
      </c>
      <c r="F565" s="10"/>
      <c r="G565">
        <v>45723</v>
      </c>
      <c r="H565">
        <v>0.53125</v>
      </c>
      <c r="I565" t="s">
        <v>22</v>
      </c>
      <c r="J565" t="s">
        <v>38</v>
      </c>
      <c r="K565" t="s">
        <v>68</v>
      </c>
    </row>
    <row r="566" spans="1:11">
      <c r="A566" s="11">
        <v>45723</v>
      </c>
      <c r="B566" s="14">
        <v>0.53819444444444442</v>
      </c>
      <c r="C566" s="10" t="s">
        <v>22</v>
      </c>
      <c r="D566" s="10" t="e" cm="1">
        <f t="array" ref="D566">INDEX($H$2:$H$35, MATCH(1, (A566 &gt;= $F$2:$F$35) * (A566 &lt;= $G$2:$G$35), 0))</f>
        <v>#N/A</v>
      </c>
      <c r="E566" s="10" t="str">
        <f>IF(COUNTIF('Top5'!I:I, D566) &gt; 0, "Yes", "No")</f>
        <v>No</v>
      </c>
      <c r="F566" s="10"/>
      <c r="G566">
        <v>45723</v>
      </c>
      <c r="H566">
        <v>0.53819444444444442</v>
      </c>
      <c r="I566" t="s">
        <v>22</v>
      </c>
      <c r="J566" t="s">
        <v>38</v>
      </c>
      <c r="K566" t="s">
        <v>68</v>
      </c>
    </row>
    <row r="567" spans="1:11">
      <c r="A567" s="11">
        <v>45723</v>
      </c>
      <c r="B567" s="14">
        <v>0.55069444444444449</v>
      </c>
      <c r="C567" s="10" t="s">
        <v>22</v>
      </c>
      <c r="D567" s="10" t="e" cm="1">
        <f t="array" ref="D567">INDEX($H$2:$H$35, MATCH(1, (A567 &gt;= $F$2:$F$35) * (A567 &lt;= $G$2:$G$35), 0))</f>
        <v>#N/A</v>
      </c>
      <c r="E567" s="10" t="str">
        <f>IF(COUNTIF('Top5'!I:I, D567) &gt; 0, "Yes", "No")</f>
        <v>No</v>
      </c>
      <c r="F567" s="10"/>
      <c r="G567">
        <v>45723</v>
      </c>
      <c r="H567">
        <v>0.55069444444444449</v>
      </c>
      <c r="I567" t="s">
        <v>22</v>
      </c>
      <c r="J567" t="s">
        <v>38</v>
      </c>
      <c r="K567" t="s">
        <v>68</v>
      </c>
    </row>
    <row r="568" spans="1:11">
      <c r="A568" s="11">
        <v>45723</v>
      </c>
      <c r="B568" s="14">
        <v>0.55555555555555558</v>
      </c>
      <c r="C568" s="10" t="s">
        <v>22</v>
      </c>
      <c r="D568" s="10" t="e" cm="1">
        <f t="array" ref="D568">INDEX($H$2:$H$35, MATCH(1, (A568 &gt;= $F$2:$F$35) * (A568 &lt;= $G$2:$G$35), 0))</f>
        <v>#N/A</v>
      </c>
      <c r="E568" s="10" t="str">
        <f>IF(COUNTIF('Top5'!I:I, D568) &gt; 0, "Yes", "No")</f>
        <v>No</v>
      </c>
      <c r="F568" s="10"/>
      <c r="G568">
        <v>45723</v>
      </c>
      <c r="H568">
        <v>0.55555555555555558</v>
      </c>
      <c r="I568" t="s">
        <v>22</v>
      </c>
      <c r="J568" t="s">
        <v>38</v>
      </c>
      <c r="K568" t="s">
        <v>68</v>
      </c>
    </row>
    <row r="569" spans="1:11">
      <c r="A569" s="11">
        <v>45723</v>
      </c>
      <c r="B569" s="14">
        <v>0.72430555555555554</v>
      </c>
      <c r="C569" s="10" t="s">
        <v>23</v>
      </c>
      <c r="D569" s="10" t="e" cm="1">
        <f t="array" ref="D569">INDEX($H$2:$H$35, MATCH(1, (A569 &gt;= $F$2:$F$35) * (A569 &lt;= $G$2:$G$35), 0))</f>
        <v>#N/A</v>
      </c>
      <c r="E569" s="10" t="str">
        <f>IF(COUNTIF('Top5'!I:I, D569) &gt; 0, "Yes", "No")</f>
        <v>No</v>
      </c>
      <c r="F569" s="10"/>
      <c r="G569">
        <v>45723</v>
      </c>
      <c r="H569">
        <v>0.72430555555555554</v>
      </c>
      <c r="I569" t="s">
        <v>23</v>
      </c>
      <c r="J569" t="s">
        <v>38</v>
      </c>
      <c r="K569" t="s">
        <v>68</v>
      </c>
    </row>
    <row r="570" spans="1:11">
      <c r="A570" s="11">
        <v>45723</v>
      </c>
      <c r="B570" s="14">
        <v>0.73888888888888893</v>
      </c>
      <c r="C570" s="10" t="s">
        <v>23</v>
      </c>
      <c r="D570" s="10" t="e" cm="1">
        <f t="array" ref="D570">INDEX($H$2:$H$35, MATCH(1, (A570 &gt;= $F$2:$F$35) * (A570 &lt;= $G$2:$G$35), 0))</f>
        <v>#N/A</v>
      </c>
      <c r="E570" s="10" t="str">
        <f>IF(COUNTIF('Top5'!I:I, D570) &gt; 0, "Yes", "No")</f>
        <v>No</v>
      </c>
      <c r="F570" s="10"/>
      <c r="G570">
        <v>45723</v>
      </c>
      <c r="H570">
        <v>0.73888888888888893</v>
      </c>
      <c r="I570" t="s">
        <v>23</v>
      </c>
      <c r="J570" t="s">
        <v>38</v>
      </c>
      <c r="K570" t="s">
        <v>68</v>
      </c>
    </row>
    <row r="571" spans="1:11">
      <c r="A571" s="11">
        <v>45723</v>
      </c>
      <c r="B571" s="14">
        <v>0.73888888888888893</v>
      </c>
      <c r="C571" s="10" t="s">
        <v>23</v>
      </c>
      <c r="D571" s="10" t="e" cm="1">
        <f t="array" ref="D571">INDEX($H$2:$H$35, MATCH(1, (A571 &gt;= $F$2:$F$35) * (A571 &lt;= $G$2:$G$35), 0))</f>
        <v>#N/A</v>
      </c>
      <c r="E571" s="10" t="str">
        <f>IF(COUNTIF('Top5'!I:I, D571) &gt; 0, "Yes", "No")</f>
        <v>No</v>
      </c>
      <c r="F571" s="10"/>
      <c r="G571">
        <v>45723</v>
      </c>
      <c r="H571">
        <v>0.73888888888888893</v>
      </c>
      <c r="I571" t="s">
        <v>23</v>
      </c>
      <c r="J571" t="s">
        <v>38</v>
      </c>
      <c r="K571" t="s">
        <v>68</v>
      </c>
    </row>
    <row r="572" spans="1:11">
      <c r="A572" s="11">
        <v>45723</v>
      </c>
      <c r="B572" s="14">
        <v>0.74027777777777781</v>
      </c>
      <c r="C572" s="10" t="s">
        <v>23</v>
      </c>
      <c r="D572" s="10" t="e" cm="1">
        <f t="array" ref="D572">INDEX($H$2:$H$35, MATCH(1, (A572 &gt;= $F$2:$F$35) * (A572 &lt;= $G$2:$G$35), 0))</f>
        <v>#N/A</v>
      </c>
      <c r="E572" s="10" t="str">
        <f>IF(COUNTIF('Top5'!I:I, D572) &gt; 0, "Yes", "No")</f>
        <v>No</v>
      </c>
      <c r="F572" s="10"/>
      <c r="G572">
        <v>45723</v>
      </c>
      <c r="H572">
        <v>0.74027777777777781</v>
      </c>
      <c r="I572" t="s">
        <v>23</v>
      </c>
      <c r="J572" t="s">
        <v>38</v>
      </c>
      <c r="K572" t="s">
        <v>68</v>
      </c>
    </row>
    <row r="573" spans="1:11">
      <c r="A573" s="11">
        <v>45723</v>
      </c>
      <c r="B573" s="14">
        <v>0.75208333333333333</v>
      </c>
      <c r="C573" s="10" t="s">
        <v>23</v>
      </c>
      <c r="D573" s="10" t="e" cm="1">
        <f t="array" ref="D573">INDEX($H$2:$H$35, MATCH(1, (A573 &gt;= $F$2:$F$35) * (A573 &lt;= $G$2:$G$35), 0))</f>
        <v>#N/A</v>
      </c>
      <c r="E573" s="10" t="str">
        <f>IF(COUNTIF('Top5'!I:I, D573) &gt; 0, "Yes", "No")</f>
        <v>No</v>
      </c>
      <c r="F573" s="10"/>
      <c r="G573">
        <v>45723</v>
      </c>
      <c r="H573">
        <v>0.75208333333333333</v>
      </c>
      <c r="I573" t="s">
        <v>23</v>
      </c>
      <c r="J573" t="s">
        <v>38</v>
      </c>
      <c r="K573" t="s">
        <v>68</v>
      </c>
    </row>
    <row r="574" spans="1:11">
      <c r="A574" s="11">
        <v>45723</v>
      </c>
      <c r="B574" s="14">
        <v>0.7680555555555556</v>
      </c>
      <c r="C574" s="10" t="s">
        <v>23</v>
      </c>
      <c r="D574" s="10" t="e" cm="1">
        <f t="array" ref="D574">INDEX($H$2:$H$35, MATCH(1, (A574 &gt;= $F$2:$F$35) * (A574 &lt;= $G$2:$G$35), 0))</f>
        <v>#N/A</v>
      </c>
      <c r="E574" s="10" t="str">
        <f>IF(COUNTIF('Top5'!I:I, D574) &gt; 0, "Yes", "No")</f>
        <v>No</v>
      </c>
      <c r="F574" s="10"/>
      <c r="G574">
        <v>45723</v>
      </c>
      <c r="H574">
        <v>0.7680555555555556</v>
      </c>
      <c r="I574" t="s">
        <v>23</v>
      </c>
      <c r="J574" t="s">
        <v>38</v>
      </c>
      <c r="K574" t="s">
        <v>68</v>
      </c>
    </row>
    <row r="575" spans="1:11">
      <c r="A575" s="11">
        <v>45723</v>
      </c>
      <c r="B575" s="14">
        <v>0.82291666666666663</v>
      </c>
      <c r="C575" s="10" t="s">
        <v>23</v>
      </c>
      <c r="D575" s="10" t="e" cm="1">
        <f t="array" ref="D575">INDEX($H$2:$H$35, MATCH(1, (A575 &gt;= $F$2:$F$35) * (A575 &lt;= $G$2:$G$35), 0))</f>
        <v>#N/A</v>
      </c>
      <c r="E575" s="10" t="str">
        <f>IF(COUNTIF('Top5'!I:I, D575) &gt; 0, "Yes", "No")</f>
        <v>No</v>
      </c>
      <c r="F575" s="10"/>
      <c r="G575">
        <v>45723</v>
      </c>
      <c r="H575">
        <v>0.82291666666666663</v>
      </c>
      <c r="I575" t="s">
        <v>23</v>
      </c>
      <c r="J575" t="s">
        <v>38</v>
      </c>
      <c r="K575" t="s">
        <v>68</v>
      </c>
    </row>
    <row r="576" spans="1:11">
      <c r="A576" s="11">
        <v>45724</v>
      </c>
      <c r="B576" s="14">
        <v>1.3888888888888889E-3</v>
      </c>
      <c r="C576" s="10" t="s">
        <v>23</v>
      </c>
      <c r="D576" s="10" t="e" cm="1">
        <f t="array" ref="D576">INDEX($H$2:$H$35, MATCH(1, (A576 &gt;= $F$2:$F$35) * (A576 &lt;= $G$2:$G$35), 0))</f>
        <v>#N/A</v>
      </c>
      <c r="E576" s="10" t="str">
        <f>IF(COUNTIF('Top5'!I:I, D576) &gt; 0, "Yes", "No")</f>
        <v>No</v>
      </c>
      <c r="F576" s="10"/>
      <c r="G576">
        <v>45724</v>
      </c>
      <c r="H576">
        <v>1.3888888888888889E-3</v>
      </c>
      <c r="I576" t="s">
        <v>23</v>
      </c>
      <c r="J576" t="s">
        <v>33</v>
      </c>
      <c r="K576" t="s">
        <v>69</v>
      </c>
    </row>
    <row r="577" spans="1:11">
      <c r="A577" s="11">
        <v>45724</v>
      </c>
      <c r="B577" s="14">
        <v>1.3888888888888889E-3</v>
      </c>
      <c r="C577" s="10" t="s">
        <v>23</v>
      </c>
      <c r="D577" s="10" t="e" cm="1">
        <f t="array" ref="D577">INDEX($H$2:$H$35, MATCH(1, (A577 &gt;= $F$2:$F$35) * (A577 &lt;= $G$2:$G$35), 0))</f>
        <v>#N/A</v>
      </c>
      <c r="E577" s="10" t="str">
        <f>IF(COUNTIF('Top5'!I:I, D577) &gt; 0, "Yes", "No")</f>
        <v>No</v>
      </c>
      <c r="F577" s="10"/>
      <c r="G577">
        <v>45724</v>
      </c>
      <c r="H577">
        <v>1.3888888888888889E-3</v>
      </c>
      <c r="I577" t="s">
        <v>23</v>
      </c>
      <c r="J577" t="s">
        <v>33</v>
      </c>
      <c r="K577" t="s">
        <v>69</v>
      </c>
    </row>
    <row r="578" spans="1:11">
      <c r="A578" s="11">
        <v>45724</v>
      </c>
      <c r="B578" s="14">
        <v>4.1666666666666666E-3</v>
      </c>
      <c r="C578" s="10" t="s">
        <v>23</v>
      </c>
      <c r="D578" s="10" t="e" cm="1">
        <f t="array" ref="D578">INDEX($H$2:$H$35, MATCH(1, (A578 &gt;= $F$2:$F$35) * (A578 &lt;= $G$2:$G$35), 0))</f>
        <v>#N/A</v>
      </c>
      <c r="E578" s="10" t="str">
        <f>IF(COUNTIF('Top5'!I:I, D578) &gt; 0, "Yes", "No")</f>
        <v>No</v>
      </c>
      <c r="F578" s="10"/>
      <c r="G578">
        <v>45724</v>
      </c>
      <c r="H578">
        <v>4.1666666666666666E-3</v>
      </c>
      <c r="I578" t="s">
        <v>23</v>
      </c>
      <c r="J578" t="s">
        <v>33</v>
      </c>
      <c r="K578" t="s">
        <v>69</v>
      </c>
    </row>
    <row r="579" spans="1:11">
      <c r="A579" s="11">
        <v>45724</v>
      </c>
      <c r="B579" s="14">
        <v>4.1666666666666666E-3</v>
      </c>
      <c r="C579" s="10" t="s">
        <v>23</v>
      </c>
      <c r="D579" s="10" t="e" cm="1">
        <f t="array" ref="D579">INDEX($H$2:$H$35, MATCH(1, (A579 &gt;= $F$2:$F$35) * (A579 &lt;= $G$2:$G$35), 0))</f>
        <v>#N/A</v>
      </c>
      <c r="E579" s="10" t="str">
        <f>IF(COUNTIF('Top5'!I:I, D579) &gt; 0, "Yes", "No")</f>
        <v>No</v>
      </c>
      <c r="F579" s="10"/>
      <c r="G579">
        <v>45724</v>
      </c>
      <c r="H579">
        <v>4.1666666666666666E-3</v>
      </c>
      <c r="I579" t="s">
        <v>23</v>
      </c>
      <c r="J579" t="s">
        <v>33</v>
      </c>
      <c r="K579" t="s">
        <v>69</v>
      </c>
    </row>
    <row r="580" spans="1:11">
      <c r="A580" s="11">
        <v>45724</v>
      </c>
      <c r="B580" s="14">
        <v>6.9444444444444441E-3</v>
      </c>
      <c r="C580" s="10" t="s">
        <v>23</v>
      </c>
      <c r="D580" s="10" t="e" cm="1">
        <f t="array" ref="D580">INDEX($H$2:$H$35, MATCH(1, (A580 &gt;= $F$2:$F$35) * (A580 &lt;= $G$2:$G$35), 0))</f>
        <v>#N/A</v>
      </c>
      <c r="E580" s="10" t="str">
        <f>IF(COUNTIF('Top5'!I:I, D580) &gt; 0, "Yes", "No")</f>
        <v>No</v>
      </c>
      <c r="F580" s="10"/>
      <c r="G580">
        <v>45724</v>
      </c>
      <c r="H580">
        <v>6.9444444444444441E-3</v>
      </c>
      <c r="I580" t="s">
        <v>23</v>
      </c>
      <c r="J580" t="s">
        <v>33</v>
      </c>
      <c r="K580" t="s">
        <v>69</v>
      </c>
    </row>
    <row r="581" spans="1:11">
      <c r="A581" s="11">
        <v>45724</v>
      </c>
      <c r="B581" s="14">
        <v>1.1805555555555555E-2</v>
      </c>
      <c r="C581" s="10" t="s">
        <v>23</v>
      </c>
      <c r="D581" s="10" t="e" cm="1">
        <f t="array" ref="D581">INDEX($H$2:$H$35, MATCH(1, (A581 &gt;= $F$2:$F$35) * (A581 &lt;= $G$2:$G$35), 0))</f>
        <v>#N/A</v>
      </c>
      <c r="E581" s="10" t="str">
        <f>IF(COUNTIF('Top5'!I:I, D581) &gt; 0, "Yes", "No")</f>
        <v>No</v>
      </c>
      <c r="F581" s="10"/>
      <c r="G581">
        <v>45724</v>
      </c>
      <c r="H581">
        <v>1.1805555555555555E-2</v>
      </c>
      <c r="I581" t="s">
        <v>23</v>
      </c>
      <c r="J581" t="s">
        <v>33</v>
      </c>
      <c r="K581" t="s">
        <v>69</v>
      </c>
    </row>
    <row r="582" spans="1:11">
      <c r="A582" s="11">
        <v>45724</v>
      </c>
      <c r="B582" s="14">
        <v>1.5972222222222221E-2</v>
      </c>
      <c r="C582" s="10" t="s">
        <v>23</v>
      </c>
      <c r="D582" s="10" t="e" cm="1">
        <f t="array" ref="D582">INDEX($H$2:$H$35, MATCH(1, (A582 &gt;= $F$2:$F$35) * (A582 &lt;= $G$2:$G$35), 0))</f>
        <v>#N/A</v>
      </c>
      <c r="E582" s="10" t="str">
        <f>IF(COUNTIF('Top5'!I:I, D582) &gt; 0, "Yes", "No")</f>
        <v>No</v>
      </c>
      <c r="F582" s="10"/>
      <c r="G582">
        <v>45724</v>
      </c>
      <c r="H582">
        <v>1.5972222222222221E-2</v>
      </c>
      <c r="I582" t="s">
        <v>23</v>
      </c>
      <c r="J582" t="s">
        <v>33</v>
      </c>
      <c r="K582" t="s">
        <v>69</v>
      </c>
    </row>
    <row r="583" spans="1:11">
      <c r="A583" s="11">
        <v>45724</v>
      </c>
      <c r="B583" s="14">
        <v>0.31111111111111112</v>
      </c>
      <c r="C583" s="10" t="s">
        <v>22</v>
      </c>
      <c r="D583" s="10" t="e" cm="1">
        <f t="array" ref="D583">INDEX($H$2:$H$35, MATCH(1, (A583 &gt;= $F$2:$F$35) * (A583 &lt;= $G$2:$G$35), 0))</f>
        <v>#N/A</v>
      </c>
      <c r="E583" s="10" t="str">
        <f>IF(COUNTIF('Top5'!I:I, D583) &gt; 0, "Yes", "No")</f>
        <v>No</v>
      </c>
      <c r="F583" s="10"/>
      <c r="G583">
        <v>45724</v>
      </c>
      <c r="H583">
        <v>0.31111111111111112</v>
      </c>
      <c r="I583" t="s">
        <v>22</v>
      </c>
      <c r="J583" t="s">
        <v>33</v>
      </c>
      <c r="K583" t="s">
        <v>69</v>
      </c>
    </row>
    <row r="584" spans="1:11">
      <c r="A584" s="11">
        <v>45724</v>
      </c>
      <c r="B584" s="14">
        <v>0.41249999999999998</v>
      </c>
      <c r="C584" s="10" t="s">
        <v>22</v>
      </c>
      <c r="D584" s="10" t="e" cm="1">
        <f t="array" ref="D584">INDEX($H$2:$H$35, MATCH(1, (A584 &gt;= $F$2:$F$35) * (A584 &lt;= $G$2:$G$35), 0))</f>
        <v>#N/A</v>
      </c>
      <c r="E584" s="10" t="str">
        <f>IF(COUNTIF('Top5'!I:I, D584) &gt; 0, "Yes", "No")</f>
        <v>No</v>
      </c>
      <c r="F584" s="10"/>
      <c r="G584">
        <v>45724</v>
      </c>
      <c r="H584">
        <v>0.41249999999999998</v>
      </c>
      <c r="I584" t="s">
        <v>22</v>
      </c>
      <c r="J584" t="s">
        <v>33</v>
      </c>
      <c r="K584" t="s">
        <v>69</v>
      </c>
    </row>
    <row r="585" spans="1:11">
      <c r="A585" s="11">
        <v>45724</v>
      </c>
      <c r="B585" s="14">
        <v>0.5625</v>
      </c>
      <c r="C585" s="10" t="s">
        <v>22</v>
      </c>
      <c r="D585" s="10" t="e" cm="1">
        <f t="array" ref="D585">INDEX($H$2:$H$35, MATCH(1, (A585 &gt;= $F$2:$F$35) * (A585 &lt;= $G$2:$G$35), 0))</f>
        <v>#N/A</v>
      </c>
      <c r="E585" s="10" t="str">
        <f>IF(COUNTIF('Top5'!I:I, D585) &gt; 0, "Yes", "No")</f>
        <v>No</v>
      </c>
      <c r="F585" s="10"/>
      <c r="G585">
        <v>45724</v>
      </c>
      <c r="H585">
        <v>0.5625</v>
      </c>
      <c r="I585" t="s">
        <v>22</v>
      </c>
      <c r="J585" t="s">
        <v>33</v>
      </c>
      <c r="K585" t="s">
        <v>69</v>
      </c>
    </row>
    <row r="586" spans="1:11">
      <c r="A586" s="11">
        <v>45724</v>
      </c>
      <c r="B586" s="14">
        <v>0.60486111111111107</v>
      </c>
      <c r="C586" s="10" t="s">
        <v>22</v>
      </c>
      <c r="D586" s="10" t="e" cm="1">
        <f t="array" ref="D586">INDEX($H$2:$H$35, MATCH(1, (A586 &gt;= $F$2:$F$35) * (A586 &lt;= $G$2:$G$35), 0))</f>
        <v>#N/A</v>
      </c>
      <c r="E586" s="10" t="str">
        <f>IF(COUNTIF('Top5'!I:I, D586) &gt; 0, "Yes", "No")</f>
        <v>No</v>
      </c>
      <c r="F586" s="10"/>
      <c r="G586">
        <v>45724</v>
      </c>
      <c r="H586">
        <v>0.60486111111111107</v>
      </c>
      <c r="I586" t="s">
        <v>22</v>
      </c>
      <c r="J586" t="s">
        <v>33</v>
      </c>
      <c r="K586" t="s">
        <v>69</v>
      </c>
    </row>
    <row r="587" spans="1:11">
      <c r="A587" s="11">
        <v>45724</v>
      </c>
      <c r="B587" s="14">
        <v>0.8256944444444444</v>
      </c>
      <c r="C587" s="10" t="s">
        <v>23</v>
      </c>
      <c r="D587" s="10" t="e" cm="1">
        <f t="array" ref="D587">INDEX($H$2:$H$35, MATCH(1, (A587 &gt;= $F$2:$F$35) * (A587 &lt;= $G$2:$G$35), 0))</f>
        <v>#N/A</v>
      </c>
      <c r="E587" s="10" t="str">
        <f>IF(COUNTIF('Top5'!I:I, D587) &gt; 0, "Yes", "No")</f>
        <v>No</v>
      </c>
      <c r="F587" s="10"/>
      <c r="G587">
        <v>45724</v>
      </c>
      <c r="H587">
        <v>0.8256944444444444</v>
      </c>
      <c r="I587" t="s">
        <v>23</v>
      </c>
      <c r="J587" t="s">
        <v>33</v>
      </c>
      <c r="K587" t="s">
        <v>69</v>
      </c>
    </row>
    <row r="588" spans="1:11">
      <c r="A588" s="11">
        <v>45724</v>
      </c>
      <c r="B588" s="14">
        <v>0.8256944444444444</v>
      </c>
      <c r="C588" s="10" t="s">
        <v>23</v>
      </c>
      <c r="D588" s="10" t="e" cm="1">
        <f t="array" ref="D588">INDEX($H$2:$H$35, MATCH(1, (A588 &gt;= $F$2:$F$35) * (A588 &lt;= $G$2:$G$35), 0))</f>
        <v>#N/A</v>
      </c>
      <c r="E588" s="10" t="str">
        <f>IF(COUNTIF('Top5'!I:I, D588) &gt; 0, "Yes", "No")</f>
        <v>No</v>
      </c>
      <c r="F588" s="10"/>
      <c r="G588">
        <v>45724</v>
      </c>
      <c r="H588">
        <v>0.8256944444444444</v>
      </c>
      <c r="I588" t="s">
        <v>23</v>
      </c>
      <c r="J588" t="s">
        <v>33</v>
      </c>
      <c r="K588" t="s">
        <v>69</v>
      </c>
    </row>
    <row r="589" spans="1:11">
      <c r="A589" s="11">
        <v>45724</v>
      </c>
      <c r="B589" s="14">
        <v>0.8256944444444444</v>
      </c>
      <c r="C589" s="10" t="s">
        <v>23</v>
      </c>
      <c r="D589" s="10" t="e" cm="1">
        <f t="array" ref="D589">INDEX($H$2:$H$35, MATCH(1, (A589 &gt;= $F$2:$F$35) * (A589 &lt;= $G$2:$G$35), 0))</f>
        <v>#N/A</v>
      </c>
      <c r="E589" s="10" t="str">
        <f>IF(COUNTIF('Top5'!I:I, D589) &gt; 0, "Yes", "No")</f>
        <v>No</v>
      </c>
      <c r="F589" s="10"/>
      <c r="G589">
        <v>45724</v>
      </c>
      <c r="H589">
        <v>0.8256944444444444</v>
      </c>
      <c r="I589" t="s">
        <v>23</v>
      </c>
      <c r="J589" t="s">
        <v>33</v>
      </c>
      <c r="K589" t="s">
        <v>69</v>
      </c>
    </row>
    <row r="590" spans="1:11">
      <c r="A590" s="11">
        <v>45724</v>
      </c>
      <c r="B590" s="14">
        <v>0.84236111111111112</v>
      </c>
      <c r="C590" s="10" t="s">
        <v>23</v>
      </c>
      <c r="D590" s="10" t="e" cm="1">
        <f t="array" ref="D590">INDEX($H$2:$H$35, MATCH(1, (A590 &gt;= $F$2:$F$35) * (A590 &lt;= $G$2:$G$35), 0))</f>
        <v>#N/A</v>
      </c>
      <c r="E590" s="10" t="str">
        <f>IF(COUNTIF('Top5'!I:I, D590) &gt; 0, "Yes", "No")</f>
        <v>No</v>
      </c>
      <c r="F590" s="10"/>
      <c r="G590">
        <v>45724</v>
      </c>
      <c r="H590">
        <v>0.84236111111111112</v>
      </c>
      <c r="I590" t="s">
        <v>23</v>
      </c>
      <c r="J590" t="s">
        <v>33</v>
      </c>
      <c r="K590" t="s">
        <v>69</v>
      </c>
    </row>
    <row r="591" spans="1:11">
      <c r="A591" s="11">
        <v>45724</v>
      </c>
      <c r="B591" s="14">
        <v>0.84305555555555556</v>
      </c>
      <c r="C591" s="10" t="s">
        <v>23</v>
      </c>
      <c r="D591" s="10" t="e" cm="1">
        <f t="array" ref="D591">INDEX($H$2:$H$35, MATCH(1, (A591 &gt;= $F$2:$F$35) * (A591 &lt;= $G$2:$G$35), 0))</f>
        <v>#N/A</v>
      </c>
      <c r="E591" s="10" t="str">
        <f>IF(COUNTIF('Top5'!I:I, D591) &gt; 0, "Yes", "No")</f>
        <v>No</v>
      </c>
      <c r="F591" s="10"/>
      <c r="G591">
        <v>45724</v>
      </c>
      <c r="H591">
        <v>0.84305555555555556</v>
      </c>
      <c r="I591" t="s">
        <v>23</v>
      </c>
      <c r="J591" t="s">
        <v>33</v>
      </c>
      <c r="K591" t="s">
        <v>69</v>
      </c>
    </row>
    <row r="592" spans="1:11">
      <c r="A592" s="11">
        <v>45724</v>
      </c>
      <c r="B592" s="14">
        <v>0.89027777777777772</v>
      </c>
      <c r="C592" s="10" t="s">
        <v>23</v>
      </c>
      <c r="D592" s="10" t="e" cm="1">
        <f t="array" ref="D592">INDEX($H$2:$H$35, MATCH(1, (A592 &gt;= $F$2:$F$35) * (A592 &lt;= $G$2:$G$35), 0))</f>
        <v>#N/A</v>
      </c>
      <c r="E592" s="10" t="str">
        <f>IF(COUNTIF('Top5'!I:I, D592) &gt; 0, "Yes", "No")</f>
        <v>No</v>
      </c>
      <c r="F592" s="10"/>
      <c r="G592">
        <v>45724</v>
      </c>
      <c r="H592">
        <v>0.89027777777777772</v>
      </c>
      <c r="I592" t="s">
        <v>23</v>
      </c>
      <c r="J592" t="s">
        <v>33</v>
      </c>
      <c r="K592" t="s">
        <v>69</v>
      </c>
    </row>
    <row r="593" spans="1:11">
      <c r="A593" s="11">
        <v>45724</v>
      </c>
      <c r="B593" s="14">
        <v>0.9291666666666667</v>
      </c>
      <c r="C593" s="10" t="s">
        <v>23</v>
      </c>
      <c r="D593" s="10" t="e" cm="1">
        <f t="array" ref="D593">INDEX($H$2:$H$35, MATCH(1, (A593 &gt;= $F$2:$F$35) * (A593 &lt;= $G$2:$G$35), 0))</f>
        <v>#N/A</v>
      </c>
      <c r="E593" s="10" t="str">
        <f>IF(COUNTIF('Top5'!I:I, D593) &gt; 0, "Yes", "No")</f>
        <v>No</v>
      </c>
      <c r="F593" s="10"/>
      <c r="G593">
        <v>45724</v>
      </c>
      <c r="H593">
        <v>0.9291666666666667</v>
      </c>
      <c r="I593" t="s">
        <v>23</v>
      </c>
      <c r="J593" t="s">
        <v>33</v>
      </c>
      <c r="K593" t="s">
        <v>69</v>
      </c>
    </row>
    <row r="594" spans="1:11">
      <c r="A594" s="11">
        <v>45725</v>
      </c>
      <c r="B594" s="14">
        <v>6.9444444444444447E-4</v>
      </c>
      <c r="C594" s="10" t="s">
        <v>23</v>
      </c>
      <c r="D594" s="10" t="e" cm="1">
        <f t="array" ref="D594">INDEX($H$2:$H$35, MATCH(1, (A594 &gt;= $F$2:$F$35) * (A594 &lt;= $G$2:$G$35), 0))</f>
        <v>#N/A</v>
      </c>
      <c r="E594" s="10" t="str">
        <f>IF(COUNTIF('Top5'!I:I, D594) &gt; 0, "Yes", "No")</f>
        <v>No</v>
      </c>
      <c r="F594" s="10"/>
      <c r="G594">
        <v>45725</v>
      </c>
      <c r="H594">
        <v>6.9444444444444447E-4</v>
      </c>
      <c r="I594" t="s">
        <v>23</v>
      </c>
      <c r="J594" t="s">
        <v>33</v>
      </c>
      <c r="K594" t="s">
        <v>69</v>
      </c>
    </row>
    <row r="595" spans="1:11">
      <c r="A595" s="11">
        <v>45725</v>
      </c>
      <c r="B595" s="14">
        <v>6.9444444444444447E-4</v>
      </c>
      <c r="C595" s="10" t="s">
        <v>23</v>
      </c>
      <c r="D595" s="10" t="e" cm="1">
        <f t="array" ref="D595">INDEX($H$2:$H$35, MATCH(1, (A595 &gt;= $F$2:$F$35) * (A595 &lt;= $G$2:$G$35), 0))</f>
        <v>#N/A</v>
      </c>
      <c r="E595" s="10" t="str">
        <f>IF(COUNTIF('Top5'!I:I, D595) &gt; 0, "Yes", "No")</f>
        <v>No</v>
      </c>
      <c r="F595" s="10"/>
      <c r="G595">
        <v>45725</v>
      </c>
      <c r="H595">
        <v>6.9444444444444447E-4</v>
      </c>
      <c r="I595" t="s">
        <v>23</v>
      </c>
      <c r="J595" t="s">
        <v>33</v>
      </c>
      <c r="K595" t="s">
        <v>69</v>
      </c>
    </row>
    <row r="596" spans="1:11">
      <c r="A596" s="11">
        <v>45725</v>
      </c>
      <c r="B596" s="14">
        <v>1.3888888888888889E-3</v>
      </c>
      <c r="C596" s="10" t="s">
        <v>23</v>
      </c>
      <c r="D596" s="10" t="e" cm="1">
        <f t="array" ref="D596">INDEX($H$2:$H$35, MATCH(1, (A596 &gt;= $F$2:$F$35) * (A596 &lt;= $G$2:$G$35), 0))</f>
        <v>#N/A</v>
      </c>
      <c r="E596" s="10" t="str">
        <f>IF(COUNTIF('Top5'!I:I, D596) &gt; 0, "Yes", "No")</f>
        <v>No</v>
      </c>
      <c r="F596" s="10"/>
      <c r="G596">
        <v>45725</v>
      </c>
      <c r="H596">
        <v>1.3888888888888889E-3</v>
      </c>
      <c r="I596" t="s">
        <v>23</v>
      </c>
      <c r="J596" t="s">
        <v>33</v>
      </c>
      <c r="K596" t="s">
        <v>69</v>
      </c>
    </row>
    <row r="597" spans="1:11">
      <c r="A597" s="11">
        <v>45725</v>
      </c>
      <c r="B597" s="14">
        <v>3.472222222222222E-3</v>
      </c>
      <c r="C597" s="10" t="s">
        <v>23</v>
      </c>
      <c r="D597" s="10" t="e" cm="1">
        <f t="array" ref="D597">INDEX($H$2:$H$35, MATCH(1, (A597 &gt;= $F$2:$F$35) * (A597 &lt;= $G$2:$G$35), 0))</f>
        <v>#N/A</v>
      </c>
      <c r="E597" s="10" t="str">
        <f>IF(COUNTIF('Top5'!I:I, D597) &gt; 0, "Yes", "No")</f>
        <v>No</v>
      </c>
      <c r="F597" s="10"/>
      <c r="G597">
        <v>45725</v>
      </c>
      <c r="H597">
        <v>3.472222222222222E-3</v>
      </c>
      <c r="I597" t="s">
        <v>23</v>
      </c>
      <c r="J597" t="s">
        <v>33</v>
      </c>
      <c r="K597" t="s">
        <v>69</v>
      </c>
    </row>
    <row r="598" spans="1:11">
      <c r="A598" s="11">
        <v>45725</v>
      </c>
      <c r="B598" s="14">
        <v>4.1666666666666666E-3</v>
      </c>
      <c r="C598" s="10" t="s">
        <v>23</v>
      </c>
      <c r="D598" s="10" t="e" cm="1">
        <f t="array" ref="D598">INDEX($H$2:$H$35, MATCH(1, (A598 &gt;= $F$2:$F$35) * (A598 &lt;= $G$2:$G$35), 0))</f>
        <v>#N/A</v>
      </c>
      <c r="E598" s="10" t="str">
        <f>IF(COUNTIF('Top5'!I:I, D598) &gt; 0, "Yes", "No")</f>
        <v>No</v>
      </c>
      <c r="F598" s="10"/>
      <c r="G598">
        <v>45725</v>
      </c>
      <c r="H598">
        <v>4.1666666666666666E-3</v>
      </c>
      <c r="I598" t="s">
        <v>23</v>
      </c>
      <c r="J598" t="s">
        <v>33</v>
      </c>
      <c r="K598" t="s">
        <v>69</v>
      </c>
    </row>
    <row r="599" spans="1:11">
      <c r="A599" s="11">
        <v>45725</v>
      </c>
      <c r="B599" s="14">
        <v>4.8611111111111112E-3</v>
      </c>
      <c r="C599" s="10" t="s">
        <v>23</v>
      </c>
      <c r="D599" s="10" t="e" cm="1">
        <f t="array" ref="D599">INDEX($H$2:$H$35, MATCH(1, (A599 &gt;= $F$2:$F$35) * (A599 &lt;= $G$2:$G$35), 0))</f>
        <v>#N/A</v>
      </c>
      <c r="E599" s="10" t="str">
        <f>IF(COUNTIF('Top5'!I:I, D599) &gt; 0, "Yes", "No")</f>
        <v>No</v>
      </c>
      <c r="F599" s="10"/>
      <c r="G599">
        <v>45725</v>
      </c>
      <c r="H599">
        <v>4.8611111111111112E-3</v>
      </c>
      <c r="I599" t="s">
        <v>23</v>
      </c>
      <c r="J599" t="s">
        <v>33</v>
      </c>
      <c r="K599" t="s">
        <v>69</v>
      </c>
    </row>
    <row r="600" spans="1:11">
      <c r="A600" s="11">
        <v>45725</v>
      </c>
      <c r="B600" s="14">
        <v>7.6388888888888886E-3</v>
      </c>
      <c r="C600" s="10" t="s">
        <v>23</v>
      </c>
      <c r="D600" s="10" t="e" cm="1">
        <f t="array" ref="D600">INDEX($H$2:$H$35, MATCH(1, (A600 &gt;= $F$2:$F$35) * (A600 &lt;= $G$2:$G$35), 0))</f>
        <v>#N/A</v>
      </c>
      <c r="E600" s="10" t="str">
        <f>IF(COUNTIF('Top5'!I:I, D600) &gt; 0, "Yes", "No")</f>
        <v>No</v>
      </c>
      <c r="F600" s="10"/>
      <c r="G600">
        <v>45725</v>
      </c>
      <c r="H600">
        <v>7.6388888888888886E-3</v>
      </c>
      <c r="I600" t="s">
        <v>23</v>
      </c>
      <c r="J600" t="s">
        <v>33</v>
      </c>
      <c r="K600" t="s">
        <v>69</v>
      </c>
    </row>
    <row r="601" spans="1:11">
      <c r="A601" s="11">
        <v>45725</v>
      </c>
      <c r="B601" s="14">
        <v>0.46944444444444444</v>
      </c>
      <c r="C601" s="10" t="s">
        <v>22</v>
      </c>
      <c r="D601" s="10" t="e" cm="1">
        <f t="array" ref="D601">INDEX($H$2:$H$35, MATCH(1, (A601 &gt;= $F$2:$F$35) * (A601 &lt;= $G$2:$G$35), 0))</f>
        <v>#N/A</v>
      </c>
      <c r="E601" s="10" t="str">
        <f>IF(COUNTIF('Top5'!I:I, D601) &gt; 0, "Yes", "No")</f>
        <v>No</v>
      </c>
      <c r="F601" s="10"/>
      <c r="G601">
        <v>45725</v>
      </c>
      <c r="H601">
        <v>0.46944444444444444</v>
      </c>
      <c r="I601" t="s">
        <v>22</v>
      </c>
      <c r="J601" t="s">
        <v>33</v>
      </c>
      <c r="K601" t="s">
        <v>69</v>
      </c>
    </row>
    <row r="602" spans="1:11">
      <c r="A602" s="11">
        <v>45725</v>
      </c>
      <c r="B602" s="14">
        <v>0.47152777777777777</v>
      </c>
      <c r="C602" s="10" t="s">
        <v>22</v>
      </c>
      <c r="D602" s="10" t="e" cm="1">
        <f t="array" ref="D602">INDEX($H$2:$H$35, MATCH(1, (A602 &gt;= $F$2:$F$35) * (A602 &lt;= $G$2:$G$35), 0))</f>
        <v>#N/A</v>
      </c>
      <c r="E602" s="10" t="str">
        <f>IF(COUNTIF('Top5'!I:I, D602) &gt; 0, "Yes", "No")</f>
        <v>No</v>
      </c>
      <c r="F602" s="10"/>
      <c r="G602">
        <v>45725</v>
      </c>
      <c r="H602">
        <v>0.47152777777777777</v>
      </c>
      <c r="I602" t="s">
        <v>22</v>
      </c>
      <c r="J602" t="s">
        <v>33</v>
      </c>
      <c r="K602" t="s">
        <v>69</v>
      </c>
    </row>
    <row r="603" spans="1:11">
      <c r="A603" s="11">
        <v>45725</v>
      </c>
      <c r="B603" s="14">
        <v>0.4909722222222222</v>
      </c>
      <c r="C603" s="10" t="s">
        <v>22</v>
      </c>
      <c r="D603" s="10" t="e" cm="1">
        <f t="array" ref="D603">INDEX($H$2:$H$35, MATCH(1, (A603 &gt;= $F$2:$F$35) * (A603 &lt;= $G$2:$G$35), 0))</f>
        <v>#N/A</v>
      </c>
      <c r="E603" s="10" t="str">
        <f>IF(COUNTIF('Top5'!I:I, D603) &gt; 0, "Yes", "No")</f>
        <v>No</v>
      </c>
      <c r="F603" s="10"/>
      <c r="G603">
        <v>45725</v>
      </c>
      <c r="H603">
        <v>0.4909722222222222</v>
      </c>
      <c r="I603" t="s">
        <v>22</v>
      </c>
      <c r="J603" t="s">
        <v>33</v>
      </c>
      <c r="K603" t="s">
        <v>69</v>
      </c>
    </row>
    <row r="604" spans="1:11">
      <c r="A604" s="11">
        <v>45725</v>
      </c>
      <c r="B604" s="14">
        <v>0.5</v>
      </c>
      <c r="C604" s="10" t="s">
        <v>22</v>
      </c>
      <c r="D604" s="10" t="e" cm="1">
        <f t="array" ref="D604">INDEX($H$2:$H$35, MATCH(1, (A604 &gt;= $F$2:$F$35) * (A604 &lt;= $G$2:$G$35), 0))</f>
        <v>#N/A</v>
      </c>
      <c r="E604" s="10" t="str">
        <f>IF(COUNTIF('Top5'!I:I, D604) &gt; 0, "Yes", "No")</f>
        <v>No</v>
      </c>
      <c r="F604" s="10"/>
      <c r="G604">
        <v>45725</v>
      </c>
      <c r="H604">
        <v>0.5</v>
      </c>
      <c r="I604" t="s">
        <v>22</v>
      </c>
      <c r="J604" t="s">
        <v>33</v>
      </c>
      <c r="K604" t="s">
        <v>69</v>
      </c>
    </row>
    <row r="605" spans="1:11">
      <c r="A605" s="11">
        <v>45725</v>
      </c>
      <c r="B605" s="14">
        <v>0.72777777777777775</v>
      </c>
      <c r="C605" s="10" t="s">
        <v>23</v>
      </c>
      <c r="D605" s="10" t="e" cm="1">
        <f t="array" ref="D605">INDEX($H$2:$H$35, MATCH(1, (A605 &gt;= $F$2:$F$35) * (A605 &lt;= $G$2:$G$35), 0))</f>
        <v>#N/A</v>
      </c>
      <c r="E605" s="10" t="str">
        <f>IF(COUNTIF('Top5'!I:I, D605) &gt; 0, "Yes", "No")</f>
        <v>No</v>
      </c>
      <c r="F605" s="10"/>
      <c r="G605">
        <v>45725</v>
      </c>
      <c r="H605">
        <v>0.72777777777777775</v>
      </c>
      <c r="I605" t="s">
        <v>23</v>
      </c>
      <c r="J605" t="s">
        <v>33</v>
      </c>
      <c r="K605" t="s">
        <v>69</v>
      </c>
    </row>
    <row r="606" spans="1:11">
      <c r="A606" s="11">
        <v>45725</v>
      </c>
      <c r="B606" s="14">
        <v>0.89097222222222228</v>
      </c>
      <c r="C606" s="10" t="s">
        <v>23</v>
      </c>
      <c r="D606" s="10" t="e" cm="1">
        <f t="array" ref="D606">INDEX($H$2:$H$35, MATCH(1, (A606 &gt;= $F$2:$F$35) * (A606 &lt;= $G$2:$G$35), 0))</f>
        <v>#N/A</v>
      </c>
      <c r="E606" s="10" t="str">
        <f>IF(COUNTIF('Top5'!I:I, D606) &gt; 0, "Yes", "No")</f>
        <v>No</v>
      </c>
      <c r="F606" s="10"/>
      <c r="G606">
        <v>45725</v>
      </c>
      <c r="H606">
        <v>0.89097222222222228</v>
      </c>
      <c r="I606" t="s">
        <v>23</v>
      </c>
      <c r="J606" t="s">
        <v>33</v>
      </c>
      <c r="K606" t="s">
        <v>69</v>
      </c>
    </row>
    <row r="607" spans="1:11">
      <c r="A607" s="11">
        <v>45726</v>
      </c>
      <c r="B607" s="14">
        <v>0.39374999999999999</v>
      </c>
      <c r="C607" s="10" t="s">
        <v>22</v>
      </c>
      <c r="D607" s="10" t="e" cm="1">
        <f t="array" ref="D607">INDEX($H$2:$H$35, MATCH(1, (A607 &gt;= $F$2:$F$35) * (A607 &lt;= $G$2:$G$35), 0))</f>
        <v>#N/A</v>
      </c>
      <c r="E607" s="10" t="str">
        <f>IF(COUNTIF('Top5'!I:I, D607) &gt; 0, "Yes", "No")</f>
        <v>No</v>
      </c>
      <c r="F607" s="10"/>
      <c r="G607">
        <v>45726</v>
      </c>
      <c r="H607">
        <v>0.39374999999999999</v>
      </c>
      <c r="I607" t="s">
        <v>22</v>
      </c>
      <c r="J607" t="s">
        <v>33</v>
      </c>
      <c r="K607" t="s">
        <v>69</v>
      </c>
    </row>
    <row r="608" spans="1:11">
      <c r="A608" s="11">
        <v>45726</v>
      </c>
      <c r="B608" s="14">
        <v>0.42708333333333331</v>
      </c>
      <c r="C608" s="10" t="s">
        <v>22</v>
      </c>
      <c r="D608" s="10" t="e" cm="1">
        <f t="array" ref="D608">INDEX($H$2:$H$35, MATCH(1, (A608 &gt;= $F$2:$F$35) * (A608 &lt;= $G$2:$G$35), 0))</f>
        <v>#N/A</v>
      </c>
      <c r="E608" s="10" t="str">
        <f>IF(COUNTIF('Top5'!I:I, D608) &gt; 0, "Yes", "No")</f>
        <v>No</v>
      </c>
      <c r="F608" s="10"/>
      <c r="G608">
        <v>45726</v>
      </c>
      <c r="H608">
        <v>0.42708333333333331</v>
      </c>
      <c r="I608" t="s">
        <v>22</v>
      </c>
      <c r="J608" t="s">
        <v>33</v>
      </c>
      <c r="K608" t="s">
        <v>69</v>
      </c>
    </row>
    <row r="609" spans="1:11">
      <c r="A609" s="11">
        <v>45726</v>
      </c>
      <c r="B609" s="14">
        <v>0.43680555555555556</v>
      </c>
      <c r="C609" s="10" t="s">
        <v>22</v>
      </c>
      <c r="D609" s="10" t="e" cm="1">
        <f t="array" ref="D609">INDEX($H$2:$H$35, MATCH(1, (A609 &gt;= $F$2:$F$35) * (A609 &lt;= $G$2:$G$35), 0))</f>
        <v>#N/A</v>
      </c>
      <c r="E609" s="10" t="str">
        <f>IF(COUNTIF('Top5'!I:I, D609) &gt; 0, "Yes", "No")</f>
        <v>No</v>
      </c>
      <c r="F609" s="10"/>
      <c r="G609">
        <v>45726</v>
      </c>
      <c r="H609">
        <v>0.43680555555555556</v>
      </c>
      <c r="I609" t="s">
        <v>22</v>
      </c>
      <c r="J609" t="s">
        <v>33</v>
      </c>
      <c r="K609" t="s">
        <v>69</v>
      </c>
    </row>
    <row r="610" spans="1:11">
      <c r="A610" s="11">
        <v>45726</v>
      </c>
      <c r="B610" s="14">
        <v>0.71180555555555558</v>
      </c>
      <c r="C610" s="10" t="s">
        <v>23</v>
      </c>
      <c r="D610" s="10" t="e" cm="1">
        <f t="array" ref="D610">INDEX($H$2:$H$35, MATCH(1, (A610 &gt;= $F$2:$F$35) * (A610 &lt;= $G$2:$G$35), 0))</f>
        <v>#N/A</v>
      </c>
      <c r="E610" s="10" t="str">
        <f>IF(COUNTIF('Top5'!I:I, D610) &gt; 0, "Yes", "No")</f>
        <v>No</v>
      </c>
      <c r="F610" s="10"/>
      <c r="G610">
        <v>45726</v>
      </c>
      <c r="H610">
        <v>0.71180555555555558</v>
      </c>
      <c r="I610" t="s">
        <v>23</v>
      </c>
      <c r="J610" t="s">
        <v>33</v>
      </c>
      <c r="K610" t="s">
        <v>69</v>
      </c>
    </row>
    <row r="611" spans="1:11">
      <c r="A611" s="11">
        <v>45726</v>
      </c>
      <c r="B611" s="14">
        <v>0.71805555555555556</v>
      </c>
      <c r="C611" s="10" t="s">
        <v>23</v>
      </c>
      <c r="D611" s="10" t="e" cm="1">
        <f t="array" ref="D611">INDEX($H$2:$H$35, MATCH(1, (A611 &gt;= $F$2:$F$35) * (A611 &lt;= $G$2:$G$35), 0))</f>
        <v>#N/A</v>
      </c>
      <c r="E611" s="10" t="str">
        <f>IF(COUNTIF('Top5'!I:I, D611) &gt; 0, "Yes", "No")</f>
        <v>No</v>
      </c>
      <c r="F611" s="10"/>
      <c r="G611">
        <v>45726</v>
      </c>
      <c r="H611">
        <v>0.71805555555555556</v>
      </c>
      <c r="I611" t="s">
        <v>23</v>
      </c>
      <c r="J611" t="s">
        <v>33</v>
      </c>
      <c r="K611" t="s">
        <v>69</v>
      </c>
    </row>
    <row r="612" spans="1:11">
      <c r="A612" s="11">
        <v>45726</v>
      </c>
      <c r="B612" s="14">
        <v>0.77638888888888891</v>
      </c>
      <c r="C612" s="10" t="s">
        <v>23</v>
      </c>
      <c r="D612" s="10" t="e" cm="1">
        <f t="array" ref="D612">INDEX($H$2:$H$35, MATCH(1, (A612 &gt;= $F$2:$F$35) * (A612 &lt;= $G$2:$G$35), 0))</f>
        <v>#N/A</v>
      </c>
      <c r="E612" s="10" t="str">
        <f>IF(COUNTIF('Top5'!I:I, D612) &gt; 0, "Yes", "No")</f>
        <v>No</v>
      </c>
      <c r="F612" s="10"/>
      <c r="G612">
        <v>45726</v>
      </c>
      <c r="H612">
        <v>0.77638888888888891</v>
      </c>
      <c r="I612" t="s">
        <v>23</v>
      </c>
      <c r="J612" t="s">
        <v>33</v>
      </c>
      <c r="K612" t="s">
        <v>69</v>
      </c>
    </row>
    <row r="613" spans="1:11">
      <c r="A613" s="11">
        <v>45726</v>
      </c>
      <c r="B613" s="14">
        <v>0.96180555555555558</v>
      </c>
      <c r="C613" s="10" t="s">
        <v>23</v>
      </c>
      <c r="D613" s="10" t="e" cm="1">
        <f t="array" ref="D613">INDEX($H$2:$H$35, MATCH(1, (A613 &gt;= $F$2:$F$35) * (A613 &lt;= $G$2:$G$35), 0))</f>
        <v>#N/A</v>
      </c>
      <c r="E613" s="10" t="str">
        <f>IF(COUNTIF('Top5'!I:I, D613) &gt; 0, "Yes", "No")</f>
        <v>No</v>
      </c>
      <c r="F613" s="10"/>
      <c r="G613">
        <v>45726</v>
      </c>
      <c r="H613">
        <v>0.96180555555555558</v>
      </c>
      <c r="I613" t="s">
        <v>23</v>
      </c>
      <c r="J613" t="s">
        <v>33</v>
      </c>
      <c r="K613" t="s">
        <v>69</v>
      </c>
    </row>
    <row r="614" spans="1:11">
      <c r="A614" s="11">
        <v>45726</v>
      </c>
      <c r="B614" s="14">
        <v>0.97777777777777775</v>
      </c>
      <c r="C614" s="10" t="s">
        <v>23</v>
      </c>
      <c r="D614" s="10" t="e" cm="1">
        <f t="array" ref="D614">INDEX($H$2:$H$35, MATCH(1, (A614 &gt;= $F$2:$F$35) * (A614 &lt;= $G$2:$G$35), 0))</f>
        <v>#N/A</v>
      </c>
      <c r="E614" s="10" t="str">
        <f>IF(COUNTIF('Top5'!I:I, D614) &gt; 0, "Yes", "No")</f>
        <v>No</v>
      </c>
      <c r="F614" s="10"/>
      <c r="G614">
        <v>45726</v>
      </c>
      <c r="H614">
        <v>0.97777777777777775</v>
      </c>
      <c r="I614" t="s">
        <v>23</v>
      </c>
      <c r="J614" t="s">
        <v>33</v>
      </c>
      <c r="K614" t="s">
        <v>69</v>
      </c>
    </row>
    <row r="615" spans="1:11">
      <c r="A615" s="11">
        <v>45727</v>
      </c>
      <c r="B615" s="14">
        <v>4.1666666666666666E-3</v>
      </c>
      <c r="C615" s="10" t="s">
        <v>23</v>
      </c>
      <c r="D615" s="10" t="e" cm="1">
        <f t="array" ref="D615">INDEX($H$2:$H$35, MATCH(1, (A615 &gt;= $F$2:$F$35) * (A615 &lt;= $G$2:$G$35), 0))</f>
        <v>#N/A</v>
      </c>
      <c r="E615" s="10" t="str">
        <f>IF(COUNTIF('Top5'!I:I, D615) &gt; 0, "Yes", "No")</f>
        <v>No</v>
      </c>
      <c r="F615" s="10"/>
      <c r="G615">
        <v>45727</v>
      </c>
      <c r="H615">
        <v>4.1666666666666666E-3</v>
      </c>
      <c r="I615" t="s">
        <v>23</v>
      </c>
      <c r="J615" t="s">
        <v>33</v>
      </c>
      <c r="K615" t="s">
        <v>69</v>
      </c>
    </row>
    <row r="616" spans="1:11">
      <c r="A616" s="11">
        <v>45727</v>
      </c>
      <c r="B616" s="14">
        <v>0.49305555555555558</v>
      </c>
      <c r="C616" s="10" t="s">
        <v>22</v>
      </c>
      <c r="D616" s="10" t="e" cm="1">
        <f t="array" ref="D616">INDEX($H$2:$H$35, MATCH(1, (A616 &gt;= $F$2:$F$35) * (A616 &lt;= $G$2:$G$35), 0))</f>
        <v>#N/A</v>
      </c>
      <c r="E616" s="10" t="str">
        <f>IF(COUNTIF('Top5'!I:I, D616) &gt; 0, "Yes", "No")</f>
        <v>No</v>
      </c>
      <c r="F616" s="10"/>
      <c r="G616">
        <v>45727</v>
      </c>
      <c r="H616">
        <v>0.49305555555555558</v>
      </c>
      <c r="I616" t="s">
        <v>22</v>
      </c>
      <c r="J616" t="s">
        <v>33</v>
      </c>
      <c r="K616" t="s">
        <v>69</v>
      </c>
    </row>
    <row r="617" spans="1:11">
      <c r="A617" s="11">
        <v>45727</v>
      </c>
      <c r="B617" s="14">
        <v>0.53055555555555556</v>
      </c>
      <c r="C617" s="10" t="s">
        <v>22</v>
      </c>
      <c r="D617" s="10" t="e" cm="1">
        <f t="array" ref="D617">INDEX($H$2:$H$35, MATCH(1, (A617 &gt;= $F$2:$F$35) * (A617 &lt;= $G$2:$G$35), 0))</f>
        <v>#N/A</v>
      </c>
      <c r="E617" s="10" t="str">
        <f>IF(COUNTIF('Top5'!I:I, D617) &gt; 0, "Yes", "No")</f>
        <v>No</v>
      </c>
      <c r="F617" s="10"/>
      <c r="G617">
        <v>45727</v>
      </c>
      <c r="H617">
        <v>0.53055555555555556</v>
      </c>
      <c r="I617" t="s">
        <v>22</v>
      </c>
      <c r="J617" t="s">
        <v>33</v>
      </c>
      <c r="K617" t="s">
        <v>69</v>
      </c>
    </row>
    <row r="618" spans="1:11">
      <c r="A618" s="11">
        <v>45727</v>
      </c>
      <c r="B618" s="14">
        <v>0.5395833333333333</v>
      </c>
      <c r="C618" s="10" t="s">
        <v>22</v>
      </c>
      <c r="D618" s="10" t="e" cm="1">
        <f t="array" ref="D618">INDEX($H$2:$H$35, MATCH(1, (A618 &gt;= $F$2:$F$35) * (A618 &lt;= $G$2:$G$35), 0))</f>
        <v>#N/A</v>
      </c>
      <c r="E618" s="10" t="str">
        <f>IF(COUNTIF('Top5'!I:I, D618) &gt; 0, "Yes", "No")</f>
        <v>No</v>
      </c>
      <c r="F618" s="10"/>
      <c r="G618">
        <v>45727</v>
      </c>
      <c r="H618">
        <v>0.5395833333333333</v>
      </c>
      <c r="I618" t="s">
        <v>22</v>
      </c>
      <c r="J618" t="s">
        <v>33</v>
      </c>
      <c r="K618" t="s">
        <v>69</v>
      </c>
    </row>
    <row r="619" spans="1:11">
      <c r="A619" s="11">
        <v>45727</v>
      </c>
      <c r="B619" s="14">
        <v>0.9916666666666667</v>
      </c>
      <c r="C619" s="10" t="s">
        <v>23</v>
      </c>
      <c r="D619" s="10" t="e" cm="1">
        <f t="array" ref="D619">INDEX($H$2:$H$35, MATCH(1, (A619 &gt;= $F$2:$F$35) * (A619 &lt;= $G$2:$G$35), 0))</f>
        <v>#N/A</v>
      </c>
      <c r="E619" s="10" t="str">
        <f>IF(COUNTIF('Top5'!I:I, D619) &gt; 0, "Yes", "No")</f>
        <v>No</v>
      </c>
      <c r="F619" s="10"/>
      <c r="G619">
        <v>45727</v>
      </c>
      <c r="H619">
        <v>0.9916666666666667</v>
      </c>
      <c r="I619" t="s">
        <v>23</v>
      </c>
      <c r="J619" t="s">
        <v>33</v>
      </c>
      <c r="K619" t="s">
        <v>69</v>
      </c>
    </row>
    <row r="620" spans="1:11">
      <c r="A620" s="11">
        <v>45728</v>
      </c>
      <c r="B620" s="14">
        <v>6.2500000000000003E-3</v>
      </c>
      <c r="C620" s="10" t="s">
        <v>23</v>
      </c>
      <c r="D620" s="10" t="e" cm="1">
        <f t="array" ref="D620">INDEX($H$2:$H$35, MATCH(1, (A620 &gt;= $F$2:$F$35) * (A620 &lt;= $G$2:$G$35), 0))</f>
        <v>#N/A</v>
      </c>
      <c r="E620" s="10" t="str">
        <f>IF(COUNTIF('Top5'!I:I, D620) &gt; 0, "Yes", "No")</f>
        <v>No</v>
      </c>
      <c r="F620" s="10"/>
      <c r="G620">
        <v>45728</v>
      </c>
      <c r="H620">
        <v>6.2500000000000003E-3</v>
      </c>
      <c r="I620" t="s">
        <v>23</v>
      </c>
      <c r="J620" t="s">
        <v>33</v>
      </c>
      <c r="K620" t="s">
        <v>69</v>
      </c>
    </row>
    <row r="621" spans="1:11">
      <c r="A621" s="11">
        <v>45728</v>
      </c>
      <c r="B621" s="14">
        <v>0.38333333333333336</v>
      </c>
      <c r="C621" s="10" t="s">
        <v>22</v>
      </c>
      <c r="D621" s="10" t="e" cm="1">
        <f t="array" ref="D621">INDEX($H$2:$H$35, MATCH(1, (A621 &gt;= $F$2:$F$35) * (A621 &lt;= $G$2:$G$35), 0))</f>
        <v>#N/A</v>
      </c>
      <c r="E621" s="10" t="str">
        <f>IF(COUNTIF('Top5'!I:I, D621) &gt; 0, "Yes", "No")</f>
        <v>No</v>
      </c>
      <c r="F621" s="10"/>
      <c r="G621">
        <v>45728</v>
      </c>
      <c r="H621">
        <v>0.38333333333333336</v>
      </c>
      <c r="I621" t="s">
        <v>22</v>
      </c>
      <c r="J621" t="s">
        <v>33</v>
      </c>
      <c r="K621" t="s">
        <v>69</v>
      </c>
    </row>
    <row r="622" spans="1:11">
      <c r="A622" s="11">
        <v>45728</v>
      </c>
      <c r="B622" s="14">
        <v>0.39930555555555558</v>
      </c>
      <c r="C622" s="10" t="s">
        <v>22</v>
      </c>
      <c r="D622" s="10" t="e" cm="1">
        <f t="array" ref="D622">INDEX($H$2:$H$35, MATCH(1, (A622 &gt;= $F$2:$F$35) * (A622 &lt;= $G$2:$G$35), 0))</f>
        <v>#N/A</v>
      </c>
      <c r="E622" s="10" t="str">
        <f>IF(COUNTIF('Top5'!I:I, D622) &gt; 0, "Yes", "No")</f>
        <v>No</v>
      </c>
      <c r="F622" s="10"/>
      <c r="G622">
        <v>45728</v>
      </c>
      <c r="H622">
        <v>0.39930555555555558</v>
      </c>
      <c r="I622" t="s">
        <v>22</v>
      </c>
      <c r="J622" t="s">
        <v>33</v>
      </c>
      <c r="K622" t="s">
        <v>69</v>
      </c>
    </row>
    <row r="623" spans="1:11">
      <c r="A623" s="11">
        <v>45728</v>
      </c>
      <c r="B623" s="14">
        <v>0.4</v>
      </c>
      <c r="C623" s="10" t="s">
        <v>22</v>
      </c>
      <c r="D623" s="10" t="e" cm="1">
        <f t="array" ref="D623">INDEX($H$2:$H$35, MATCH(1, (A623 &gt;= $F$2:$F$35) * (A623 &lt;= $G$2:$G$35), 0))</f>
        <v>#N/A</v>
      </c>
      <c r="E623" s="10" t="str">
        <f>IF(COUNTIF('Top5'!I:I, D623) &gt; 0, "Yes", "No")</f>
        <v>No</v>
      </c>
      <c r="F623" s="10"/>
      <c r="G623">
        <v>45728</v>
      </c>
      <c r="H623">
        <v>0.4</v>
      </c>
      <c r="I623" t="s">
        <v>22</v>
      </c>
      <c r="J623" t="s">
        <v>33</v>
      </c>
      <c r="K623" t="s">
        <v>69</v>
      </c>
    </row>
    <row r="624" spans="1:11">
      <c r="A624" s="11">
        <v>45728</v>
      </c>
      <c r="B624" s="14">
        <v>0.40416666666666667</v>
      </c>
      <c r="C624" s="10" t="s">
        <v>22</v>
      </c>
      <c r="D624" s="10" t="e" cm="1">
        <f t="array" ref="D624">INDEX($H$2:$H$35, MATCH(1, (A624 &gt;= $F$2:$F$35) * (A624 &lt;= $G$2:$G$35), 0))</f>
        <v>#N/A</v>
      </c>
      <c r="E624" s="10" t="str">
        <f>IF(COUNTIF('Top5'!I:I, D624) &gt; 0, "Yes", "No")</f>
        <v>No</v>
      </c>
      <c r="F624" s="10"/>
      <c r="G624">
        <v>45728</v>
      </c>
      <c r="H624">
        <v>0.40416666666666667</v>
      </c>
      <c r="I624" t="s">
        <v>22</v>
      </c>
      <c r="J624" t="s">
        <v>33</v>
      </c>
      <c r="K624" t="s">
        <v>69</v>
      </c>
    </row>
    <row r="625" spans="1:11">
      <c r="A625" s="11">
        <v>45729</v>
      </c>
      <c r="B625" s="14">
        <v>0.45</v>
      </c>
      <c r="C625" s="10" t="s">
        <v>22</v>
      </c>
      <c r="D625" s="10" t="e" cm="1">
        <f t="array" ref="D625">INDEX($H$2:$H$35, MATCH(1, (A625 &gt;= $F$2:$F$35) * (A625 &lt;= $G$2:$G$35), 0))</f>
        <v>#N/A</v>
      </c>
      <c r="E625" s="10" t="str">
        <f>IF(COUNTIF('Top5'!I:I, D625) &gt; 0, "Yes", "No")</f>
        <v>No</v>
      </c>
      <c r="F625" s="10"/>
      <c r="G625">
        <v>45729</v>
      </c>
      <c r="H625">
        <v>0.45</v>
      </c>
      <c r="I625" t="s">
        <v>22</v>
      </c>
      <c r="J625" t="s">
        <v>33</v>
      </c>
      <c r="K625" t="s">
        <v>69</v>
      </c>
    </row>
    <row r="626" spans="1:11">
      <c r="A626" s="11">
        <v>45729</v>
      </c>
      <c r="B626" s="14">
        <v>0.45833333333333331</v>
      </c>
      <c r="C626" s="10" t="s">
        <v>22</v>
      </c>
      <c r="D626" s="10" t="e" cm="1">
        <f t="array" ref="D626">INDEX($H$2:$H$35, MATCH(1, (A626 &gt;= $F$2:$F$35) * (A626 &lt;= $G$2:$G$35), 0))</f>
        <v>#N/A</v>
      </c>
      <c r="E626" s="10" t="str">
        <f>IF(COUNTIF('Top5'!I:I, D626) &gt; 0, "Yes", "No")</f>
        <v>No</v>
      </c>
      <c r="F626" s="10"/>
      <c r="G626">
        <v>45729</v>
      </c>
      <c r="H626">
        <v>0.45833333333333331</v>
      </c>
      <c r="I626" t="s">
        <v>22</v>
      </c>
      <c r="J626" t="s">
        <v>33</v>
      </c>
      <c r="K626" t="s">
        <v>69</v>
      </c>
    </row>
    <row r="627" spans="1:11">
      <c r="A627" s="11">
        <v>45729</v>
      </c>
      <c r="B627" s="14">
        <v>0.47291666666666665</v>
      </c>
      <c r="C627" s="10" t="s">
        <v>22</v>
      </c>
      <c r="D627" s="10" t="e" cm="1">
        <f t="array" ref="D627">INDEX($H$2:$H$35, MATCH(1, (A627 &gt;= $F$2:$F$35) * (A627 &lt;= $G$2:$G$35), 0))</f>
        <v>#N/A</v>
      </c>
      <c r="E627" s="10" t="str">
        <f>IF(COUNTIF('Top5'!I:I, D627) &gt; 0, "Yes", "No")</f>
        <v>No</v>
      </c>
      <c r="F627" s="10"/>
      <c r="G627">
        <v>45729</v>
      </c>
      <c r="H627">
        <v>0.47291666666666665</v>
      </c>
      <c r="I627" t="s">
        <v>22</v>
      </c>
      <c r="J627" t="s">
        <v>33</v>
      </c>
      <c r="K627" t="s">
        <v>69</v>
      </c>
    </row>
    <row r="628" spans="1:11">
      <c r="A628" s="11">
        <v>45729</v>
      </c>
      <c r="B628" s="14">
        <v>0.47499999999999998</v>
      </c>
      <c r="C628" s="10" t="s">
        <v>22</v>
      </c>
      <c r="D628" s="10" t="e" cm="1">
        <f t="array" ref="D628">INDEX($H$2:$H$35, MATCH(1, (A628 &gt;= $F$2:$F$35) * (A628 &lt;= $G$2:$G$35), 0))</f>
        <v>#N/A</v>
      </c>
      <c r="E628" s="10" t="str">
        <f>IF(COUNTIF('Top5'!I:I, D628) &gt; 0, "Yes", "No")</f>
        <v>No</v>
      </c>
      <c r="F628" s="10"/>
      <c r="G628">
        <v>45729</v>
      </c>
      <c r="H628">
        <v>0.47499999999999998</v>
      </c>
      <c r="I628" t="s">
        <v>22</v>
      </c>
      <c r="J628" t="s">
        <v>33</v>
      </c>
      <c r="K628" t="s">
        <v>69</v>
      </c>
    </row>
    <row r="629" spans="1:11">
      <c r="A629" s="11">
        <v>45729</v>
      </c>
      <c r="B629" s="14">
        <v>0.47569444444444442</v>
      </c>
      <c r="C629" s="10" t="s">
        <v>22</v>
      </c>
      <c r="D629" s="10" t="e" cm="1">
        <f t="array" ref="D629">INDEX($H$2:$H$35, MATCH(1, (A629 &gt;= $F$2:$F$35) * (A629 &lt;= $G$2:$G$35), 0))</f>
        <v>#N/A</v>
      </c>
      <c r="E629" s="10" t="str">
        <f>IF(COUNTIF('Top5'!I:I, D629) &gt; 0, "Yes", "No")</f>
        <v>No</v>
      </c>
      <c r="F629" s="10"/>
      <c r="G629">
        <v>45729</v>
      </c>
      <c r="H629">
        <v>0.47569444444444442</v>
      </c>
      <c r="I629" t="s">
        <v>22</v>
      </c>
      <c r="J629" t="s">
        <v>33</v>
      </c>
      <c r="K629" t="s">
        <v>69</v>
      </c>
    </row>
    <row r="630" spans="1:11">
      <c r="A630" s="11">
        <v>45729</v>
      </c>
      <c r="B630" s="14">
        <v>0.47569444444444442</v>
      </c>
      <c r="C630" s="10" t="s">
        <v>22</v>
      </c>
      <c r="D630" s="10" t="e" cm="1">
        <f t="array" ref="D630">INDEX($H$2:$H$35, MATCH(1, (A630 &gt;= $F$2:$F$35) * (A630 &lt;= $G$2:$G$35), 0))</f>
        <v>#N/A</v>
      </c>
      <c r="E630" s="10" t="str">
        <f>IF(COUNTIF('Top5'!I:I, D630) &gt; 0, "Yes", "No")</f>
        <v>No</v>
      </c>
      <c r="F630" s="10"/>
      <c r="G630">
        <v>45729</v>
      </c>
      <c r="H630">
        <v>0.47569444444444442</v>
      </c>
      <c r="I630" t="s">
        <v>22</v>
      </c>
      <c r="J630" t="s">
        <v>33</v>
      </c>
      <c r="K630" t="s">
        <v>69</v>
      </c>
    </row>
    <row r="631" spans="1:11">
      <c r="A631" s="11">
        <v>45729</v>
      </c>
      <c r="B631" s="14">
        <v>0.47708333333333336</v>
      </c>
      <c r="C631" s="10" t="s">
        <v>22</v>
      </c>
      <c r="D631" s="10" t="e" cm="1">
        <f t="array" ref="D631">INDEX($H$2:$H$35, MATCH(1, (A631 &gt;= $F$2:$F$35) * (A631 &lt;= $G$2:$G$35), 0))</f>
        <v>#N/A</v>
      </c>
      <c r="E631" s="10" t="str">
        <f>IF(COUNTIF('Top5'!I:I, D631) &gt; 0, "Yes", "No")</f>
        <v>No</v>
      </c>
      <c r="F631" s="10"/>
      <c r="G631">
        <v>45729</v>
      </c>
      <c r="H631">
        <v>0.47708333333333336</v>
      </c>
      <c r="I631" t="s">
        <v>22</v>
      </c>
      <c r="J631" t="s">
        <v>33</v>
      </c>
      <c r="K631" t="s">
        <v>69</v>
      </c>
    </row>
    <row r="632" spans="1:11">
      <c r="A632" s="11">
        <v>45729</v>
      </c>
      <c r="B632" s="14">
        <v>0.60486111111111107</v>
      </c>
      <c r="C632" s="10" t="s">
        <v>22</v>
      </c>
      <c r="D632" s="10" t="e" cm="1">
        <f t="array" ref="D632">INDEX($H$2:$H$35, MATCH(1, (A632 &gt;= $F$2:$F$35) * (A632 &lt;= $G$2:$G$35), 0))</f>
        <v>#N/A</v>
      </c>
      <c r="E632" s="10" t="str">
        <f>IF(COUNTIF('Top5'!I:I, D632) &gt; 0, "Yes", "No")</f>
        <v>No</v>
      </c>
      <c r="F632" s="10"/>
      <c r="G632">
        <v>45729</v>
      </c>
      <c r="H632">
        <v>0.60486111111111107</v>
      </c>
      <c r="I632" t="s">
        <v>22</v>
      </c>
      <c r="J632" t="s">
        <v>33</v>
      </c>
      <c r="K632" t="s">
        <v>69</v>
      </c>
    </row>
    <row r="633" spans="1:11">
      <c r="A633" s="11">
        <v>45729</v>
      </c>
      <c r="B633" s="14">
        <v>0.69305555555555554</v>
      </c>
      <c r="C633" s="10" t="s">
        <v>22</v>
      </c>
      <c r="D633" s="10" t="e" cm="1">
        <f t="array" ref="D633">INDEX($H$2:$H$35, MATCH(1, (A633 &gt;= $F$2:$F$35) * (A633 &lt;= $G$2:$G$35), 0))</f>
        <v>#N/A</v>
      </c>
      <c r="E633" s="10" t="str">
        <f>IF(COUNTIF('Top5'!I:I, D633) &gt; 0, "Yes", "No")</f>
        <v>No</v>
      </c>
      <c r="F633" s="10"/>
      <c r="G633">
        <v>45729</v>
      </c>
      <c r="H633">
        <v>0.69305555555555554</v>
      </c>
      <c r="I633" t="s">
        <v>22</v>
      </c>
      <c r="J633" t="s">
        <v>33</v>
      </c>
      <c r="K633" t="s">
        <v>69</v>
      </c>
    </row>
    <row r="634" spans="1:11">
      <c r="A634" s="11">
        <v>45730</v>
      </c>
      <c r="B634" s="14">
        <v>3.472222222222222E-3</v>
      </c>
      <c r="C634" s="10" t="s">
        <v>23</v>
      </c>
      <c r="D634" s="10" t="e" cm="1">
        <f t="array" ref="D634">INDEX($H$2:$H$35, MATCH(1, (A634 &gt;= $F$2:$F$35) * (A634 &lt;= $G$2:$G$35), 0))</f>
        <v>#N/A</v>
      </c>
      <c r="E634" s="10" t="str">
        <f>IF(COUNTIF('Top5'!I:I, D634) &gt; 0, "Yes", "No")</f>
        <v>No</v>
      </c>
      <c r="F634" s="10"/>
      <c r="G634">
        <v>45730</v>
      </c>
      <c r="H634">
        <v>3.472222222222222E-3</v>
      </c>
      <c r="I634" t="s">
        <v>23</v>
      </c>
      <c r="J634" t="s">
        <v>33</v>
      </c>
      <c r="K634" t="s">
        <v>69</v>
      </c>
    </row>
    <row r="635" spans="1:11">
      <c r="A635" s="11">
        <v>45730</v>
      </c>
      <c r="B635" s="14">
        <v>0.75486111111111109</v>
      </c>
      <c r="C635" s="10" t="s">
        <v>23</v>
      </c>
      <c r="D635" s="10" t="e" cm="1">
        <f t="array" ref="D635">INDEX($H$2:$H$35, MATCH(1, (A635 &gt;= $F$2:$F$35) * (A635 &lt;= $G$2:$G$35), 0))</f>
        <v>#N/A</v>
      </c>
      <c r="E635" s="10" t="str">
        <f>IF(COUNTIF('Top5'!I:I, D635) &gt; 0, "Yes", "No")</f>
        <v>No</v>
      </c>
      <c r="F635" s="10"/>
      <c r="G635">
        <v>45730</v>
      </c>
      <c r="H635">
        <v>0.75486111111111109</v>
      </c>
      <c r="I635" t="s">
        <v>23</v>
      </c>
      <c r="J635" t="s">
        <v>33</v>
      </c>
      <c r="K635" t="s">
        <v>69</v>
      </c>
    </row>
    <row r="636" spans="1:11">
      <c r="A636" s="11">
        <v>45730</v>
      </c>
      <c r="B636" s="14">
        <v>0.93055555555555558</v>
      </c>
      <c r="C636" s="10" t="s">
        <v>23</v>
      </c>
      <c r="D636" s="10" t="e" cm="1">
        <f t="array" ref="D636">INDEX($H$2:$H$35, MATCH(1, (A636 &gt;= $F$2:$F$35) * (A636 &lt;= $G$2:$G$35), 0))</f>
        <v>#N/A</v>
      </c>
      <c r="E636" s="10" t="str">
        <f>IF(COUNTIF('Top5'!I:I, D636) &gt; 0, "Yes", "No")</f>
        <v>No</v>
      </c>
      <c r="F636" s="10"/>
      <c r="G636">
        <v>45730</v>
      </c>
      <c r="H636">
        <v>0.93055555555555558</v>
      </c>
      <c r="I636" t="s">
        <v>23</v>
      </c>
      <c r="J636" t="s">
        <v>33</v>
      </c>
      <c r="K636" t="s">
        <v>69</v>
      </c>
    </row>
    <row r="637" spans="1:11">
      <c r="A637" s="11">
        <v>45730</v>
      </c>
      <c r="B637" s="14">
        <v>0.94652777777777775</v>
      </c>
      <c r="C637" s="10" t="s">
        <v>23</v>
      </c>
      <c r="D637" s="10" t="e" cm="1">
        <f t="array" ref="D637">INDEX($H$2:$H$35, MATCH(1, (A637 &gt;= $F$2:$F$35) * (A637 &lt;= $G$2:$G$35), 0))</f>
        <v>#N/A</v>
      </c>
      <c r="E637" s="10" t="str">
        <f>IF(COUNTIF('Top5'!I:I, D637) &gt; 0, "Yes", "No")</f>
        <v>No</v>
      </c>
      <c r="F637" s="10"/>
      <c r="G637">
        <v>45730</v>
      </c>
      <c r="H637">
        <v>0.94652777777777775</v>
      </c>
      <c r="I637" t="s">
        <v>23</v>
      </c>
      <c r="J637" t="s">
        <v>33</v>
      </c>
      <c r="K637" t="s">
        <v>69</v>
      </c>
    </row>
    <row r="638" spans="1:11">
      <c r="A638" s="11">
        <v>45731</v>
      </c>
      <c r="B638" s="14">
        <v>0.42222222222222222</v>
      </c>
      <c r="C638" s="10" t="s">
        <v>22</v>
      </c>
      <c r="D638" s="10" t="e" cm="1">
        <f t="array" ref="D638">INDEX($H$2:$H$35, MATCH(1, (A638 &gt;= $F$2:$F$35) * (A638 &lt;= $G$2:$G$35), 0))</f>
        <v>#N/A</v>
      </c>
      <c r="E638" s="10" t="str">
        <f>IF(COUNTIF('Top5'!I:I, D638) &gt; 0, "Yes", "No")</f>
        <v>No</v>
      </c>
      <c r="F638" s="10"/>
      <c r="G638">
        <v>45731</v>
      </c>
      <c r="H638">
        <v>0.42222222222222222</v>
      </c>
      <c r="I638" t="s">
        <v>22</v>
      </c>
      <c r="J638" t="s">
        <v>35</v>
      </c>
      <c r="K638" t="s">
        <v>69</v>
      </c>
    </row>
    <row r="639" spans="1:11">
      <c r="A639" s="11">
        <v>45731</v>
      </c>
      <c r="B639" s="14">
        <v>0.42430555555555555</v>
      </c>
      <c r="C639" s="10" t="s">
        <v>22</v>
      </c>
      <c r="D639" s="10" t="e" cm="1">
        <f t="array" ref="D639">INDEX($H$2:$H$35, MATCH(1, (A639 &gt;= $F$2:$F$35) * (A639 &lt;= $G$2:$G$35), 0))</f>
        <v>#N/A</v>
      </c>
      <c r="E639" s="10" t="str">
        <f>IF(COUNTIF('Top5'!I:I, D639) &gt; 0, "Yes", "No")</f>
        <v>No</v>
      </c>
      <c r="F639" s="10"/>
      <c r="G639">
        <v>45731</v>
      </c>
      <c r="H639">
        <v>0.42430555555555555</v>
      </c>
      <c r="I639" t="s">
        <v>22</v>
      </c>
      <c r="J639" t="s">
        <v>35</v>
      </c>
      <c r="K639" t="s">
        <v>69</v>
      </c>
    </row>
    <row r="640" spans="1:11">
      <c r="A640" s="11">
        <v>45731</v>
      </c>
      <c r="B640" s="14">
        <v>0.42569444444444443</v>
      </c>
      <c r="C640" s="10" t="s">
        <v>22</v>
      </c>
      <c r="D640" s="10" t="e" cm="1">
        <f t="array" ref="D640">INDEX($H$2:$H$35, MATCH(1, (A640 &gt;= $F$2:$F$35) * (A640 &lt;= $G$2:$G$35), 0))</f>
        <v>#N/A</v>
      </c>
      <c r="E640" s="10" t="str">
        <f>IF(COUNTIF('Top5'!I:I, D640) &gt; 0, "Yes", "No")</f>
        <v>No</v>
      </c>
      <c r="F640" s="10"/>
      <c r="G640">
        <v>45731</v>
      </c>
      <c r="H640">
        <v>0.42569444444444443</v>
      </c>
      <c r="I640" t="s">
        <v>22</v>
      </c>
      <c r="J640" t="s">
        <v>35</v>
      </c>
      <c r="K640" t="s">
        <v>69</v>
      </c>
    </row>
    <row r="641" spans="1:11">
      <c r="A641" s="11">
        <v>45731</v>
      </c>
      <c r="B641" s="14">
        <v>0.43055555555555558</v>
      </c>
      <c r="C641" s="10" t="s">
        <v>22</v>
      </c>
      <c r="D641" s="10" t="e" cm="1">
        <f t="array" ref="D641">INDEX($H$2:$H$35, MATCH(1, (A641 &gt;= $F$2:$F$35) * (A641 &lt;= $G$2:$G$35), 0))</f>
        <v>#N/A</v>
      </c>
      <c r="E641" s="10" t="str">
        <f>IF(COUNTIF('Top5'!I:I, D641) &gt; 0, "Yes", "No")</f>
        <v>No</v>
      </c>
      <c r="F641" s="10"/>
      <c r="G641">
        <v>45731</v>
      </c>
      <c r="H641">
        <v>0.43055555555555558</v>
      </c>
      <c r="I641" t="s">
        <v>22</v>
      </c>
      <c r="J641" t="s">
        <v>35</v>
      </c>
      <c r="K641" t="s">
        <v>69</v>
      </c>
    </row>
    <row r="642" spans="1:11">
      <c r="A642" s="11">
        <v>45731</v>
      </c>
      <c r="B642" s="14">
        <v>0.43125000000000002</v>
      </c>
      <c r="C642" s="10" t="s">
        <v>22</v>
      </c>
      <c r="D642" s="10" t="e" cm="1">
        <f t="array" ref="D642">INDEX($H$2:$H$35, MATCH(1, (A642 &gt;= $F$2:$F$35) * (A642 &lt;= $G$2:$G$35), 0))</f>
        <v>#N/A</v>
      </c>
      <c r="E642" s="10" t="str">
        <f>IF(COUNTIF('Top5'!I:I, D642) &gt; 0, "Yes", "No")</f>
        <v>No</v>
      </c>
      <c r="F642" s="10"/>
      <c r="G642">
        <v>45731</v>
      </c>
      <c r="H642">
        <v>0.43125000000000002</v>
      </c>
      <c r="I642" t="s">
        <v>22</v>
      </c>
      <c r="J642" t="s">
        <v>35</v>
      </c>
      <c r="K642" t="s">
        <v>69</v>
      </c>
    </row>
    <row r="643" spans="1:11">
      <c r="A643" s="11">
        <v>45731</v>
      </c>
      <c r="B643" s="14">
        <v>0.43263888888888891</v>
      </c>
      <c r="C643" s="10" t="s">
        <v>22</v>
      </c>
      <c r="D643" s="10" t="e" cm="1">
        <f t="array" ref="D643">INDEX($H$2:$H$35, MATCH(1, (A643 &gt;= $F$2:$F$35) * (A643 &lt;= $G$2:$G$35), 0))</f>
        <v>#N/A</v>
      </c>
      <c r="E643" s="10" t="str">
        <f>IF(COUNTIF('Top5'!I:I, D643) &gt; 0, "Yes", "No")</f>
        <v>No</v>
      </c>
      <c r="F643" s="10"/>
      <c r="G643">
        <v>45731</v>
      </c>
      <c r="H643">
        <v>0.43263888888888891</v>
      </c>
      <c r="I643" t="s">
        <v>22</v>
      </c>
      <c r="J643" t="s">
        <v>35</v>
      </c>
      <c r="K643" t="s">
        <v>69</v>
      </c>
    </row>
    <row r="644" spans="1:11">
      <c r="A644" s="11">
        <v>45731</v>
      </c>
      <c r="B644" s="14">
        <v>0.49375000000000002</v>
      </c>
      <c r="C644" s="10" t="s">
        <v>22</v>
      </c>
      <c r="D644" s="10" t="e" cm="1">
        <f t="array" ref="D644">INDEX($H$2:$H$35, MATCH(1, (A644 &gt;= $F$2:$F$35) * (A644 &lt;= $G$2:$G$35), 0))</f>
        <v>#N/A</v>
      </c>
      <c r="E644" s="10" t="str">
        <f>IF(COUNTIF('Top5'!I:I, D644) &gt; 0, "Yes", "No")</f>
        <v>No</v>
      </c>
      <c r="F644" s="10"/>
      <c r="G644">
        <v>45731</v>
      </c>
      <c r="H644">
        <v>0.49375000000000002</v>
      </c>
      <c r="I644" t="s">
        <v>22</v>
      </c>
      <c r="J644" t="s">
        <v>35</v>
      </c>
      <c r="K644" t="s">
        <v>69</v>
      </c>
    </row>
    <row r="645" spans="1:11">
      <c r="A645" s="11">
        <v>45732</v>
      </c>
      <c r="B645" s="14">
        <v>0.47569444444444442</v>
      </c>
      <c r="C645" s="10" t="s">
        <v>22</v>
      </c>
      <c r="D645" s="10" t="e" cm="1">
        <f t="array" ref="D645">INDEX($H$2:$H$35, MATCH(1, (A645 &gt;= $F$2:$F$35) * (A645 &lt;= $G$2:$G$35), 0))</f>
        <v>#N/A</v>
      </c>
      <c r="E645" s="10" t="str">
        <f>IF(COUNTIF('Top5'!I:I, D645) &gt; 0, "Yes", "No")</f>
        <v>No</v>
      </c>
      <c r="F645" s="10"/>
      <c r="G645">
        <v>45732</v>
      </c>
      <c r="H645">
        <v>0.47569444444444442</v>
      </c>
      <c r="I645" t="s">
        <v>22</v>
      </c>
      <c r="J645" t="s">
        <v>35</v>
      </c>
      <c r="K645" t="s">
        <v>69</v>
      </c>
    </row>
    <row r="646" spans="1:11">
      <c r="A646" s="11">
        <v>45732</v>
      </c>
      <c r="B646" s="14">
        <v>0.47708333333333336</v>
      </c>
      <c r="C646" s="10" t="s">
        <v>22</v>
      </c>
      <c r="D646" s="10" t="e" cm="1">
        <f t="array" ref="D646">INDEX($H$2:$H$35, MATCH(1, (A646 &gt;= $F$2:$F$35) * (A646 &lt;= $G$2:$G$35), 0))</f>
        <v>#N/A</v>
      </c>
      <c r="E646" s="10" t="str">
        <f>IF(COUNTIF('Top5'!I:I, D646) &gt; 0, "Yes", "No")</f>
        <v>No</v>
      </c>
      <c r="F646" s="10"/>
      <c r="G646">
        <v>45732</v>
      </c>
      <c r="H646">
        <v>0.47708333333333336</v>
      </c>
      <c r="I646" t="s">
        <v>22</v>
      </c>
      <c r="J646" t="s">
        <v>35</v>
      </c>
      <c r="K646" t="s">
        <v>69</v>
      </c>
    </row>
    <row r="647" spans="1:11">
      <c r="A647" s="11">
        <v>45732</v>
      </c>
      <c r="B647" s="14">
        <v>0.4909722222222222</v>
      </c>
      <c r="C647" s="10" t="s">
        <v>22</v>
      </c>
      <c r="D647" s="10" t="e" cm="1">
        <f t="array" ref="D647">INDEX($H$2:$H$35, MATCH(1, (A647 &gt;= $F$2:$F$35) * (A647 &lt;= $G$2:$G$35), 0))</f>
        <v>#N/A</v>
      </c>
      <c r="E647" s="10" t="str">
        <f>IF(COUNTIF('Top5'!I:I, D647) &gt; 0, "Yes", "No")</f>
        <v>No</v>
      </c>
      <c r="F647" s="10"/>
      <c r="G647">
        <v>45732</v>
      </c>
      <c r="H647">
        <v>0.4909722222222222</v>
      </c>
      <c r="I647" t="s">
        <v>22</v>
      </c>
      <c r="J647" t="s">
        <v>35</v>
      </c>
      <c r="K647" t="s">
        <v>69</v>
      </c>
    </row>
    <row r="648" spans="1:11">
      <c r="A648" s="11">
        <v>45732</v>
      </c>
      <c r="B648" s="14">
        <v>0.49375000000000002</v>
      </c>
      <c r="C648" s="10" t="s">
        <v>22</v>
      </c>
      <c r="D648" s="10" t="e" cm="1">
        <f t="array" ref="D648">INDEX($H$2:$H$35, MATCH(1, (A648 &gt;= $F$2:$F$35) * (A648 &lt;= $G$2:$G$35), 0))</f>
        <v>#N/A</v>
      </c>
      <c r="E648" s="10" t="str">
        <f>IF(COUNTIF('Top5'!I:I, D648) &gt; 0, "Yes", "No")</f>
        <v>No</v>
      </c>
      <c r="F648" s="10"/>
      <c r="G648">
        <v>45732</v>
      </c>
      <c r="H648">
        <v>0.49375000000000002</v>
      </c>
      <c r="I648" t="s">
        <v>22</v>
      </c>
      <c r="J648" t="s">
        <v>35</v>
      </c>
      <c r="K648" t="s">
        <v>69</v>
      </c>
    </row>
    <row r="649" spans="1:11">
      <c r="A649" s="11">
        <v>45732</v>
      </c>
      <c r="B649" s="14">
        <v>0.58819444444444446</v>
      </c>
      <c r="C649" s="10" t="s">
        <v>22</v>
      </c>
      <c r="D649" s="10" t="e" cm="1">
        <f t="array" ref="D649">INDEX($H$2:$H$35, MATCH(1, (A649 &gt;= $F$2:$F$35) * (A649 &lt;= $G$2:$G$35), 0))</f>
        <v>#N/A</v>
      </c>
      <c r="E649" s="10" t="str">
        <f>IF(COUNTIF('Top5'!I:I, D649) &gt; 0, "Yes", "No")</f>
        <v>No</v>
      </c>
      <c r="F649" s="10"/>
      <c r="G649">
        <v>45732</v>
      </c>
      <c r="H649">
        <v>0.58819444444444446</v>
      </c>
      <c r="I649" t="s">
        <v>22</v>
      </c>
      <c r="J649" t="s">
        <v>35</v>
      </c>
      <c r="K649" t="s">
        <v>69</v>
      </c>
    </row>
    <row r="650" spans="1:11">
      <c r="A650" s="11">
        <v>45732</v>
      </c>
      <c r="B650" s="14">
        <v>0.95694444444444449</v>
      </c>
      <c r="C650" s="10" t="s">
        <v>23</v>
      </c>
      <c r="D650" s="10" t="e" cm="1">
        <f t="array" ref="D650">INDEX($H$2:$H$35, MATCH(1, (A650 &gt;= $F$2:$F$35) * (A650 &lt;= $G$2:$G$35), 0))</f>
        <v>#N/A</v>
      </c>
      <c r="E650" s="10" t="str">
        <f>IF(COUNTIF('Top5'!I:I, D650) &gt; 0, "Yes", "No")</f>
        <v>No</v>
      </c>
      <c r="F650" s="10"/>
      <c r="G650">
        <v>45732</v>
      </c>
      <c r="H650">
        <v>0.95694444444444449</v>
      </c>
      <c r="I650" t="s">
        <v>23</v>
      </c>
      <c r="J650" t="s">
        <v>35</v>
      </c>
      <c r="K650" t="s">
        <v>69</v>
      </c>
    </row>
    <row r="651" spans="1:11">
      <c r="A651" s="11">
        <v>45732</v>
      </c>
      <c r="B651" s="14">
        <v>0.96111111111111114</v>
      </c>
      <c r="C651" s="10" t="s">
        <v>23</v>
      </c>
      <c r="D651" s="10" t="e" cm="1">
        <f t="array" ref="D651">INDEX($H$2:$H$35, MATCH(1, (A651 &gt;= $F$2:$F$35) * (A651 &lt;= $G$2:$G$35), 0))</f>
        <v>#N/A</v>
      </c>
      <c r="E651" s="10" t="str">
        <f>IF(COUNTIF('Top5'!I:I, D651) &gt; 0, "Yes", "No")</f>
        <v>No</v>
      </c>
      <c r="F651" s="10"/>
      <c r="G651">
        <v>45732</v>
      </c>
      <c r="H651">
        <v>0.96111111111111114</v>
      </c>
      <c r="I651" t="s">
        <v>23</v>
      </c>
      <c r="J651" t="s">
        <v>35</v>
      </c>
      <c r="K651" t="s">
        <v>69</v>
      </c>
    </row>
    <row r="652" spans="1:11">
      <c r="A652" s="11">
        <v>45733</v>
      </c>
      <c r="B652" s="14">
        <v>0.44097222222222221</v>
      </c>
      <c r="C652" s="10" t="s">
        <v>22</v>
      </c>
      <c r="D652" s="10" t="e" cm="1">
        <f t="array" ref="D652">INDEX($H$2:$H$35, MATCH(1, (A652 &gt;= $F$2:$F$35) * (A652 &lt;= $G$2:$G$35), 0))</f>
        <v>#N/A</v>
      </c>
      <c r="E652" s="10" t="str">
        <f>IF(COUNTIF('Top5'!I:I, D652) &gt; 0, "Yes", "No")</f>
        <v>No</v>
      </c>
      <c r="F652" s="10"/>
      <c r="G652">
        <v>45733</v>
      </c>
      <c r="H652">
        <v>0.44097222222222221</v>
      </c>
      <c r="I652" t="s">
        <v>22</v>
      </c>
      <c r="J652" t="s">
        <v>35</v>
      </c>
      <c r="K652" t="s">
        <v>69</v>
      </c>
    </row>
    <row r="653" spans="1:11">
      <c r="A653" s="11">
        <v>45733</v>
      </c>
      <c r="B653" s="14">
        <v>0.44236111111111109</v>
      </c>
      <c r="C653" s="10" t="s">
        <v>22</v>
      </c>
      <c r="D653" s="10" t="e" cm="1">
        <f t="array" ref="D653">INDEX($H$2:$H$35, MATCH(1, (A653 &gt;= $F$2:$F$35) * (A653 &lt;= $G$2:$G$35), 0))</f>
        <v>#N/A</v>
      </c>
      <c r="E653" s="10" t="str">
        <f>IF(COUNTIF('Top5'!I:I, D653) &gt; 0, "Yes", "No")</f>
        <v>No</v>
      </c>
      <c r="F653" s="10"/>
      <c r="G653">
        <v>45733</v>
      </c>
      <c r="H653">
        <v>0.44236111111111109</v>
      </c>
      <c r="I653" t="s">
        <v>22</v>
      </c>
      <c r="J653" t="s">
        <v>35</v>
      </c>
      <c r="K653" t="s">
        <v>69</v>
      </c>
    </row>
    <row r="654" spans="1:11">
      <c r="A654" s="11">
        <v>45733</v>
      </c>
      <c r="B654" s="14">
        <v>0.51180555555555551</v>
      </c>
      <c r="C654" s="10" t="s">
        <v>22</v>
      </c>
      <c r="D654" s="10" t="e" cm="1">
        <f t="array" ref="D654">INDEX($H$2:$H$35, MATCH(1, (A654 &gt;= $F$2:$F$35) * (A654 &lt;= $G$2:$G$35), 0))</f>
        <v>#N/A</v>
      </c>
      <c r="E654" s="10" t="str">
        <f>IF(COUNTIF('Top5'!I:I, D654) &gt; 0, "Yes", "No")</f>
        <v>No</v>
      </c>
      <c r="F654" s="10"/>
      <c r="G654">
        <v>45733</v>
      </c>
      <c r="H654">
        <v>0.51180555555555551</v>
      </c>
      <c r="I654" t="s">
        <v>22</v>
      </c>
      <c r="J654" t="s">
        <v>35</v>
      </c>
      <c r="K654" t="s">
        <v>69</v>
      </c>
    </row>
    <row r="655" spans="1:11">
      <c r="A655" s="11">
        <v>45733</v>
      </c>
      <c r="B655" s="14">
        <v>0.52152777777777781</v>
      </c>
      <c r="C655" s="10" t="s">
        <v>22</v>
      </c>
      <c r="D655" s="10" t="e" cm="1">
        <f t="array" ref="D655">INDEX($H$2:$H$35, MATCH(1, (A655 &gt;= $F$2:$F$35) * (A655 &lt;= $G$2:$G$35), 0))</f>
        <v>#N/A</v>
      </c>
      <c r="E655" s="10" t="str">
        <f>IF(COUNTIF('Top5'!I:I, D655) &gt; 0, "Yes", "No")</f>
        <v>No</v>
      </c>
      <c r="F655" s="10"/>
      <c r="G655">
        <v>45733</v>
      </c>
      <c r="H655">
        <v>0.52152777777777781</v>
      </c>
      <c r="I655" t="s">
        <v>22</v>
      </c>
      <c r="J655" t="s">
        <v>35</v>
      </c>
      <c r="K655" t="s">
        <v>69</v>
      </c>
    </row>
    <row r="656" spans="1:11">
      <c r="A656" s="11">
        <v>45733</v>
      </c>
      <c r="B656" s="14">
        <v>0.59652777777777777</v>
      </c>
      <c r="C656" s="10" t="s">
        <v>22</v>
      </c>
      <c r="D656" s="10" t="e" cm="1">
        <f t="array" ref="D656">INDEX($H$2:$H$35, MATCH(1, (A656 &gt;= $F$2:$F$35) * (A656 &lt;= $G$2:$G$35), 0))</f>
        <v>#N/A</v>
      </c>
      <c r="E656" s="10" t="str">
        <f>IF(COUNTIF('Top5'!I:I, D656) &gt; 0, "Yes", "No")</f>
        <v>No</v>
      </c>
      <c r="F656" s="10"/>
      <c r="G656">
        <v>45733</v>
      </c>
      <c r="H656">
        <v>0.59652777777777777</v>
      </c>
      <c r="I656" t="s">
        <v>22</v>
      </c>
      <c r="J656" t="s">
        <v>35</v>
      </c>
      <c r="K656" t="s">
        <v>69</v>
      </c>
    </row>
    <row r="657" spans="1:11">
      <c r="A657" s="11">
        <v>45733</v>
      </c>
      <c r="B657" s="14">
        <v>0.59791666666666665</v>
      </c>
      <c r="C657" s="10" t="s">
        <v>22</v>
      </c>
      <c r="D657" s="10" t="e" cm="1">
        <f t="array" ref="D657">INDEX($H$2:$H$35, MATCH(1, (A657 &gt;= $F$2:$F$35) * (A657 &lt;= $G$2:$G$35), 0))</f>
        <v>#N/A</v>
      </c>
      <c r="E657" s="10" t="str">
        <f>IF(COUNTIF('Top5'!I:I, D657) &gt; 0, "Yes", "No")</f>
        <v>No</v>
      </c>
      <c r="F657" s="10"/>
      <c r="G657">
        <v>45733</v>
      </c>
      <c r="H657">
        <v>0.59791666666666665</v>
      </c>
      <c r="I657" t="s">
        <v>22</v>
      </c>
      <c r="J657" t="s">
        <v>35</v>
      </c>
      <c r="K657" t="s">
        <v>69</v>
      </c>
    </row>
    <row r="658" spans="1:11">
      <c r="A658" s="11">
        <v>45734</v>
      </c>
      <c r="B658" s="14">
        <v>0.42083333333333334</v>
      </c>
      <c r="C658" s="10" t="s">
        <v>22</v>
      </c>
      <c r="D658" s="10" t="e" cm="1">
        <f t="array" ref="D658">INDEX($H$2:$H$35, MATCH(1, (A658 &gt;= $F$2:$F$35) * (A658 &lt;= $G$2:$G$35), 0))</f>
        <v>#N/A</v>
      </c>
      <c r="E658" s="10" t="str">
        <f>IF(COUNTIF('Top5'!I:I, D658) &gt; 0, "Yes", "No")</f>
        <v>No</v>
      </c>
      <c r="F658" s="10"/>
      <c r="G658">
        <v>45734</v>
      </c>
      <c r="H658">
        <v>0.42083333333333334</v>
      </c>
      <c r="I658" t="s">
        <v>22</v>
      </c>
      <c r="J658" t="s">
        <v>35</v>
      </c>
      <c r="K658" t="s">
        <v>69</v>
      </c>
    </row>
    <row r="659" spans="1:11">
      <c r="A659" s="11">
        <v>45734</v>
      </c>
      <c r="B659" s="14">
        <v>0.42777777777777776</v>
      </c>
      <c r="C659" s="10" t="s">
        <v>22</v>
      </c>
      <c r="D659" s="10" t="e" cm="1">
        <f t="array" ref="D659">INDEX($H$2:$H$35, MATCH(1, (A659 &gt;= $F$2:$F$35) * (A659 &lt;= $G$2:$G$35), 0))</f>
        <v>#N/A</v>
      </c>
      <c r="E659" s="10" t="str">
        <f>IF(COUNTIF('Top5'!I:I, D659) &gt; 0, "Yes", "No")</f>
        <v>No</v>
      </c>
      <c r="F659" s="10"/>
      <c r="G659">
        <v>45734</v>
      </c>
      <c r="H659">
        <v>0.42777777777777776</v>
      </c>
      <c r="I659" t="s">
        <v>22</v>
      </c>
      <c r="J659" t="s">
        <v>35</v>
      </c>
      <c r="K659" t="s">
        <v>69</v>
      </c>
    </row>
    <row r="660" spans="1:11">
      <c r="A660" s="11">
        <v>45734</v>
      </c>
      <c r="B660" s="14">
        <v>0.42916666666666664</v>
      </c>
      <c r="C660" s="10" t="s">
        <v>22</v>
      </c>
      <c r="D660" s="10" t="e" cm="1">
        <f t="array" ref="D660">INDEX($H$2:$H$35, MATCH(1, (A660 &gt;= $F$2:$F$35) * (A660 &lt;= $G$2:$G$35), 0))</f>
        <v>#N/A</v>
      </c>
      <c r="E660" s="10" t="str">
        <f>IF(COUNTIF('Top5'!I:I, D660) &gt; 0, "Yes", "No")</f>
        <v>No</v>
      </c>
      <c r="F660" s="10"/>
      <c r="G660">
        <v>45734</v>
      </c>
      <c r="H660">
        <v>0.42916666666666664</v>
      </c>
      <c r="I660" t="s">
        <v>22</v>
      </c>
      <c r="J660" t="s">
        <v>35</v>
      </c>
      <c r="K660" t="s">
        <v>69</v>
      </c>
    </row>
    <row r="661" spans="1:11">
      <c r="A661" s="11">
        <v>45734</v>
      </c>
      <c r="B661" s="14">
        <v>0.43055555555555558</v>
      </c>
      <c r="C661" s="10" t="s">
        <v>22</v>
      </c>
      <c r="D661" s="10" t="e" cm="1">
        <f t="array" ref="D661">INDEX($H$2:$H$35, MATCH(1, (A661 &gt;= $F$2:$F$35) * (A661 &lt;= $G$2:$G$35), 0))</f>
        <v>#N/A</v>
      </c>
      <c r="E661" s="10" t="str">
        <f>IF(COUNTIF('Top5'!I:I, D661) &gt; 0, "Yes", "No")</f>
        <v>No</v>
      </c>
      <c r="F661" s="10"/>
      <c r="G661">
        <v>45734</v>
      </c>
      <c r="H661">
        <v>0.43055555555555558</v>
      </c>
      <c r="I661" t="s">
        <v>22</v>
      </c>
      <c r="J661" t="s">
        <v>35</v>
      </c>
      <c r="K661" t="s">
        <v>69</v>
      </c>
    </row>
    <row r="662" spans="1:11">
      <c r="A662" s="11">
        <v>45734</v>
      </c>
      <c r="B662" s="14">
        <v>0.6166666666666667</v>
      </c>
      <c r="C662" s="10" t="s">
        <v>22</v>
      </c>
      <c r="D662" s="10" t="e" cm="1">
        <f t="array" ref="D662">INDEX($H$2:$H$35, MATCH(1, (A662 &gt;= $F$2:$F$35) * (A662 &lt;= $G$2:$G$35), 0))</f>
        <v>#N/A</v>
      </c>
      <c r="E662" s="10" t="str">
        <f>IF(COUNTIF('Top5'!I:I, D662) &gt; 0, "Yes", "No")</f>
        <v>No</v>
      </c>
      <c r="F662" s="10"/>
      <c r="G662">
        <v>45734</v>
      </c>
      <c r="H662">
        <v>0.6166666666666667</v>
      </c>
      <c r="I662" t="s">
        <v>22</v>
      </c>
      <c r="J662" t="s">
        <v>35</v>
      </c>
      <c r="K662" t="s">
        <v>69</v>
      </c>
    </row>
    <row r="663" spans="1:11">
      <c r="A663" s="11">
        <v>45734</v>
      </c>
      <c r="B663" s="14">
        <v>0.76111111111111107</v>
      </c>
      <c r="C663" s="10" t="s">
        <v>23</v>
      </c>
      <c r="D663" s="10" t="e" cm="1">
        <f t="array" ref="D663">INDEX($H$2:$H$35, MATCH(1, (A663 &gt;= $F$2:$F$35) * (A663 &lt;= $G$2:$G$35), 0))</f>
        <v>#N/A</v>
      </c>
      <c r="E663" s="10" t="str">
        <f>IF(COUNTIF('Top5'!I:I, D663) &gt; 0, "Yes", "No")</f>
        <v>No</v>
      </c>
      <c r="F663" s="10"/>
      <c r="G663">
        <v>45734</v>
      </c>
      <c r="H663">
        <v>0.76111111111111107</v>
      </c>
      <c r="I663" t="s">
        <v>23</v>
      </c>
      <c r="J663" t="s">
        <v>35</v>
      </c>
      <c r="K663" t="s">
        <v>69</v>
      </c>
    </row>
    <row r="664" spans="1:11">
      <c r="A664" s="11">
        <v>45734</v>
      </c>
      <c r="B664" s="14">
        <v>0.76180555555555551</v>
      </c>
      <c r="C664" s="10" t="s">
        <v>23</v>
      </c>
      <c r="D664" s="10" t="e" cm="1">
        <f t="array" ref="D664">INDEX($H$2:$H$35, MATCH(1, (A664 &gt;= $F$2:$F$35) * (A664 &lt;= $G$2:$G$35), 0))</f>
        <v>#N/A</v>
      </c>
      <c r="E664" s="10" t="str">
        <f>IF(COUNTIF('Top5'!I:I, D664) &gt; 0, "Yes", "No")</f>
        <v>No</v>
      </c>
      <c r="F664" s="10"/>
      <c r="G664">
        <v>45734</v>
      </c>
      <c r="H664">
        <v>0.76180555555555551</v>
      </c>
      <c r="I664" t="s">
        <v>23</v>
      </c>
      <c r="J664" t="s">
        <v>35</v>
      </c>
      <c r="K664" t="s">
        <v>69</v>
      </c>
    </row>
    <row r="665" spans="1:11">
      <c r="A665" s="11">
        <v>45734</v>
      </c>
      <c r="B665" s="14">
        <v>0.86527777777777781</v>
      </c>
      <c r="C665" s="10" t="s">
        <v>23</v>
      </c>
      <c r="D665" s="10" t="e" cm="1">
        <f t="array" ref="D665">INDEX($H$2:$H$35, MATCH(1, (A665 &gt;= $F$2:$F$35) * (A665 &lt;= $G$2:$G$35), 0))</f>
        <v>#N/A</v>
      </c>
      <c r="E665" s="10" t="str">
        <f>IF(COUNTIF('Top5'!I:I, D665) &gt; 0, "Yes", "No")</f>
        <v>No</v>
      </c>
      <c r="F665" s="10"/>
      <c r="G665">
        <v>45734</v>
      </c>
      <c r="H665">
        <v>0.86527777777777781</v>
      </c>
      <c r="I665" t="s">
        <v>23</v>
      </c>
      <c r="J665" t="s">
        <v>35</v>
      </c>
      <c r="K665" t="s">
        <v>69</v>
      </c>
    </row>
    <row r="666" spans="1:11">
      <c r="A666" s="11">
        <v>45734</v>
      </c>
      <c r="B666" s="14">
        <v>0.875</v>
      </c>
      <c r="C666" s="10" t="s">
        <v>23</v>
      </c>
      <c r="D666" s="10" t="e" cm="1">
        <f t="array" ref="D666">INDEX($H$2:$H$35, MATCH(1, (A666 &gt;= $F$2:$F$35) * (A666 &lt;= $G$2:$G$35), 0))</f>
        <v>#N/A</v>
      </c>
      <c r="E666" s="10" t="str">
        <f>IF(COUNTIF('Top5'!I:I, D666) &gt; 0, "Yes", "No")</f>
        <v>No</v>
      </c>
      <c r="F666" s="10"/>
      <c r="G666">
        <v>45734</v>
      </c>
      <c r="H666">
        <v>0.875</v>
      </c>
      <c r="I666" t="s">
        <v>23</v>
      </c>
      <c r="J666" t="s">
        <v>35</v>
      </c>
      <c r="K666" t="s">
        <v>69</v>
      </c>
    </row>
    <row r="667" spans="1:11">
      <c r="A667" s="11">
        <v>45734</v>
      </c>
      <c r="B667" s="14">
        <v>0.87569444444444444</v>
      </c>
      <c r="C667" s="10" t="s">
        <v>23</v>
      </c>
      <c r="D667" s="10" t="e" cm="1">
        <f t="array" ref="D667">INDEX($H$2:$H$35, MATCH(1, (A667 &gt;= $F$2:$F$35) * (A667 &lt;= $G$2:$G$35), 0))</f>
        <v>#N/A</v>
      </c>
      <c r="E667" s="10" t="str">
        <f>IF(COUNTIF('Top5'!I:I, D667) &gt; 0, "Yes", "No")</f>
        <v>No</v>
      </c>
      <c r="F667" s="10"/>
      <c r="G667">
        <v>45734</v>
      </c>
      <c r="H667">
        <v>0.87569444444444444</v>
      </c>
      <c r="I667" t="s">
        <v>23</v>
      </c>
      <c r="J667" t="s">
        <v>35</v>
      </c>
      <c r="K667" t="s">
        <v>69</v>
      </c>
    </row>
    <row r="668" spans="1:11">
      <c r="A668" s="11">
        <v>45734</v>
      </c>
      <c r="B668" s="14">
        <v>0.87638888888888888</v>
      </c>
      <c r="C668" s="10" t="s">
        <v>23</v>
      </c>
      <c r="D668" s="10" t="e" cm="1">
        <f t="array" ref="D668">INDEX($H$2:$H$35, MATCH(1, (A668 &gt;= $F$2:$F$35) * (A668 &lt;= $G$2:$G$35), 0))</f>
        <v>#N/A</v>
      </c>
      <c r="E668" s="10" t="str">
        <f>IF(COUNTIF('Top5'!I:I, D668) &gt; 0, "Yes", "No")</f>
        <v>No</v>
      </c>
      <c r="F668" s="10"/>
      <c r="G668">
        <v>45734</v>
      </c>
      <c r="H668">
        <v>0.87638888888888888</v>
      </c>
      <c r="I668" t="s">
        <v>23</v>
      </c>
      <c r="J668" t="s">
        <v>35</v>
      </c>
      <c r="K668" t="s">
        <v>69</v>
      </c>
    </row>
    <row r="669" spans="1:11">
      <c r="A669" s="11">
        <v>45734</v>
      </c>
      <c r="B669" s="14">
        <v>0.89861111111111114</v>
      </c>
      <c r="C669" s="10" t="s">
        <v>23</v>
      </c>
      <c r="D669" s="10" t="e" cm="1">
        <f t="array" ref="D669">INDEX($H$2:$H$35, MATCH(1, (A669 &gt;= $F$2:$F$35) * (A669 &lt;= $G$2:$G$35), 0))</f>
        <v>#N/A</v>
      </c>
      <c r="E669" s="10" t="str">
        <f>IF(COUNTIF('Top5'!I:I, D669) &gt; 0, "Yes", "No")</f>
        <v>No</v>
      </c>
      <c r="F669" s="10"/>
      <c r="G669">
        <v>45734</v>
      </c>
      <c r="H669">
        <v>0.89861111111111114</v>
      </c>
      <c r="I669" t="s">
        <v>23</v>
      </c>
      <c r="J669" t="s">
        <v>35</v>
      </c>
      <c r="K669" t="s">
        <v>69</v>
      </c>
    </row>
    <row r="670" spans="1:11">
      <c r="A670" s="11">
        <v>45734</v>
      </c>
      <c r="B670" s="14">
        <v>0.89930555555555558</v>
      </c>
      <c r="C670" s="10" t="s">
        <v>23</v>
      </c>
      <c r="D670" s="10" t="e" cm="1">
        <f t="array" ref="D670">INDEX($H$2:$H$35, MATCH(1, (A670 &gt;= $F$2:$F$35) * (A670 &lt;= $G$2:$G$35), 0))</f>
        <v>#N/A</v>
      </c>
      <c r="E670" s="10" t="str">
        <f>IF(COUNTIF('Top5'!I:I, D670) &gt; 0, "Yes", "No")</f>
        <v>No</v>
      </c>
      <c r="F670" s="10"/>
      <c r="G670">
        <v>45734</v>
      </c>
      <c r="H670">
        <v>0.89930555555555558</v>
      </c>
      <c r="I670" t="s">
        <v>23</v>
      </c>
      <c r="J670" t="s">
        <v>35</v>
      </c>
      <c r="K670" t="s">
        <v>69</v>
      </c>
    </row>
    <row r="671" spans="1:11">
      <c r="A671" s="11">
        <v>45734</v>
      </c>
      <c r="B671" s="14">
        <v>0.91527777777777775</v>
      </c>
      <c r="C671" s="10" t="s">
        <v>23</v>
      </c>
      <c r="D671" s="10" t="e" cm="1">
        <f t="array" ref="D671">INDEX($H$2:$H$35, MATCH(1, (A671 &gt;= $F$2:$F$35) * (A671 &lt;= $G$2:$G$35), 0))</f>
        <v>#N/A</v>
      </c>
      <c r="E671" s="10" t="str">
        <f>IF(COUNTIF('Top5'!I:I, D671) &gt; 0, "Yes", "No")</f>
        <v>No</v>
      </c>
      <c r="F671" s="10"/>
      <c r="G671">
        <v>45734</v>
      </c>
      <c r="H671">
        <v>0.91527777777777775</v>
      </c>
      <c r="I671" t="s">
        <v>23</v>
      </c>
      <c r="J671" t="s">
        <v>35</v>
      </c>
      <c r="K671" t="s">
        <v>69</v>
      </c>
    </row>
    <row r="672" spans="1:11">
      <c r="A672" s="11">
        <v>45734</v>
      </c>
      <c r="B672" s="14">
        <v>0.91527777777777775</v>
      </c>
      <c r="C672" s="10" t="s">
        <v>23</v>
      </c>
      <c r="D672" s="10" t="e" cm="1">
        <f t="array" ref="D672">INDEX($H$2:$H$35, MATCH(1, (A672 &gt;= $F$2:$F$35) * (A672 &lt;= $G$2:$G$35), 0))</f>
        <v>#N/A</v>
      </c>
      <c r="E672" s="10" t="str">
        <f>IF(COUNTIF('Top5'!I:I, D672) &gt; 0, "Yes", "No")</f>
        <v>No</v>
      </c>
      <c r="F672" s="10"/>
      <c r="G672">
        <v>45734</v>
      </c>
      <c r="H672">
        <v>0.91527777777777775</v>
      </c>
      <c r="I672" t="s">
        <v>23</v>
      </c>
      <c r="J672" t="s">
        <v>35</v>
      </c>
      <c r="K672" t="s">
        <v>69</v>
      </c>
    </row>
    <row r="673" spans="1:11">
      <c r="A673" s="11">
        <v>45735</v>
      </c>
      <c r="B673" s="14">
        <v>2.7777777777777779E-3</v>
      </c>
      <c r="C673" s="10" t="s">
        <v>23</v>
      </c>
      <c r="D673" s="10" t="e" cm="1">
        <f t="array" ref="D673">INDEX($H$2:$H$35, MATCH(1, (A673 &gt;= $F$2:$F$35) * (A673 &lt;= $G$2:$G$35), 0))</f>
        <v>#N/A</v>
      </c>
      <c r="E673" s="10" t="str">
        <f>IF(COUNTIF('Top5'!I:I, D673) &gt; 0, "Yes", "No")</f>
        <v>No</v>
      </c>
      <c r="F673" s="10"/>
      <c r="G673">
        <v>45735</v>
      </c>
      <c r="H673">
        <v>2.7777777777777779E-3</v>
      </c>
      <c r="I673" t="s">
        <v>23</v>
      </c>
      <c r="J673" t="s">
        <v>35</v>
      </c>
      <c r="K673" t="s">
        <v>69</v>
      </c>
    </row>
    <row r="674" spans="1:11">
      <c r="A674" s="11">
        <v>45735</v>
      </c>
      <c r="B674" s="14">
        <v>2.7777777777777779E-3</v>
      </c>
      <c r="C674" s="10" t="s">
        <v>23</v>
      </c>
      <c r="D674" s="10" t="e" cm="1">
        <f t="array" ref="D674">INDEX($H$2:$H$35, MATCH(1, (A674 &gt;= $F$2:$F$35) * (A674 &lt;= $G$2:$G$35), 0))</f>
        <v>#N/A</v>
      </c>
      <c r="E674" s="10" t="str">
        <f>IF(COUNTIF('Top5'!I:I, D674) &gt; 0, "Yes", "No")</f>
        <v>No</v>
      </c>
      <c r="F674" s="10"/>
      <c r="G674">
        <v>45735</v>
      </c>
      <c r="H674">
        <v>2.7777777777777779E-3</v>
      </c>
      <c r="I674" t="s">
        <v>23</v>
      </c>
      <c r="J674" t="s">
        <v>35</v>
      </c>
      <c r="K674" t="s">
        <v>69</v>
      </c>
    </row>
    <row r="675" spans="1:11">
      <c r="A675" s="11">
        <v>45735</v>
      </c>
      <c r="B675" s="14">
        <v>9.0277777777777769E-3</v>
      </c>
      <c r="C675" s="10" t="s">
        <v>23</v>
      </c>
      <c r="D675" s="10" t="e" cm="1">
        <f t="array" ref="D675">INDEX($H$2:$H$35, MATCH(1, (A675 &gt;= $F$2:$F$35) * (A675 &lt;= $G$2:$G$35), 0))</f>
        <v>#N/A</v>
      </c>
      <c r="E675" s="10" t="str">
        <f>IF(COUNTIF('Top5'!I:I, D675) &gt; 0, "Yes", "No")</f>
        <v>No</v>
      </c>
      <c r="F675" s="10"/>
      <c r="G675">
        <v>45735</v>
      </c>
      <c r="H675">
        <v>9.0277777777777769E-3</v>
      </c>
      <c r="I675" t="s">
        <v>23</v>
      </c>
      <c r="J675" t="s">
        <v>35</v>
      </c>
      <c r="K675" t="s">
        <v>69</v>
      </c>
    </row>
    <row r="676" spans="1:11">
      <c r="A676" s="11">
        <v>45735</v>
      </c>
      <c r="B676" s="14">
        <v>9.7222222222222224E-3</v>
      </c>
      <c r="C676" s="10" t="s">
        <v>23</v>
      </c>
      <c r="D676" s="10" t="e" cm="1">
        <f t="array" ref="D676">INDEX($H$2:$H$35, MATCH(1, (A676 &gt;= $F$2:$F$35) * (A676 &lt;= $G$2:$G$35), 0))</f>
        <v>#N/A</v>
      </c>
      <c r="E676" s="10" t="str">
        <f>IF(COUNTIF('Top5'!I:I, D676) &gt; 0, "Yes", "No")</f>
        <v>No</v>
      </c>
      <c r="F676" s="10"/>
      <c r="G676">
        <v>45735</v>
      </c>
      <c r="H676">
        <v>9.7222222222222224E-3</v>
      </c>
      <c r="I676" t="s">
        <v>23</v>
      </c>
      <c r="J676" t="s">
        <v>35</v>
      </c>
      <c r="K676" t="s">
        <v>69</v>
      </c>
    </row>
    <row r="677" spans="1:11">
      <c r="A677" s="11">
        <v>45735</v>
      </c>
      <c r="B677" s="14">
        <v>1.1111111111111112E-2</v>
      </c>
      <c r="C677" s="10" t="s">
        <v>23</v>
      </c>
      <c r="D677" s="10" t="e" cm="1">
        <f t="array" ref="D677">INDEX($H$2:$H$35, MATCH(1, (A677 &gt;= $F$2:$F$35) * (A677 &lt;= $G$2:$G$35), 0))</f>
        <v>#N/A</v>
      </c>
      <c r="E677" s="10" t="str">
        <f>IF(COUNTIF('Top5'!I:I, D677) &gt; 0, "Yes", "No")</f>
        <v>No</v>
      </c>
      <c r="F677" s="10"/>
      <c r="G677">
        <v>45735</v>
      </c>
      <c r="H677">
        <v>1.1111111111111112E-2</v>
      </c>
      <c r="I677" t="s">
        <v>23</v>
      </c>
      <c r="J677" t="s">
        <v>35</v>
      </c>
      <c r="K677" t="s">
        <v>69</v>
      </c>
    </row>
    <row r="678" spans="1:11">
      <c r="A678" s="11">
        <v>45735</v>
      </c>
      <c r="B678" s="14">
        <v>0.42986111111111114</v>
      </c>
      <c r="C678" s="10" t="s">
        <v>22</v>
      </c>
      <c r="D678" s="10" t="e" cm="1">
        <f t="array" ref="D678">INDEX($H$2:$H$35, MATCH(1, (A678 &gt;= $F$2:$F$35) * (A678 &lt;= $G$2:$G$35), 0))</f>
        <v>#N/A</v>
      </c>
      <c r="E678" s="10" t="str">
        <f>IF(COUNTIF('Top5'!I:I, D678) &gt; 0, "Yes", "No")</f>
        <v>No</v>
      </c>
      <c r="F678" s="10"/>
      <c r="G678">
        <v>45735</v>
      </c>
      <c r="H678">
        <v>0.42986111111111114</v>
      </c>
      <c r="I678" t="s">
        <v>22</v>
      </c>
      <c r="J678" t="s">
        <v>35</v>
      </c>
      <c r="K678" t="s">
        <v>69</v>
      </c>
    </row>
    <row r="679" spans="1:11">
      <c r="A679" s="11">
        <v>45735</v>
      </c>
      <c r="B679" s="14">
        <v>0.44513888888888886</v>
      </c>
      <c r="C679" s="10" t="s">
        <v>22</v>
      </c>
      <c r="D679" s="10" t="e" cm="1">
        <f t="array" ref="D679">INDEX($H$2:$H$35, MATCH(1, (A679 &gt;= $F$2:$F$35) * (A679 &lt;= $G$2:$G$35), 0))</f>
        <v>#N/A</v>
      </c>
      <c r="E679" s="10" t="str">
        <f>IF(COUNTIF('Top5'!I:I, D679) &gt; 0, "Yes", "No")</f>
        <v>No</v>
      </c>
      <c r="F679" s="10"/>
      <c r="G679">
        <v>45735</v>
      </c>
      <c r="H679">
        <v>0.44513888888888886</v>
      </c>
      <c r="I679" t="s">
        <v>22</v>
      </c>
      <c r="J679" t="s">
        <v>35</v>
      </c>
      <c r="K679" t="s">
        <v>69</v>
      </c>
    </row>
    <row r="680" spans="1:11">
      <c r="A680" s="11">
        <v>45735</v>
      </c>
      <c r="B680" s="14">
        <v>0.46527777777777779</v>
      </c>
      <c r="C680" s="10" t="s">
        <v>22</v>
      </c>
      <c r="D680" s="10" t="e" cm="1">
        <f t="array" ref="D680">INDEX($H$2:$H$35, MATCH(1, (A680 &gt;= $F$2:$F$35) * (A680 &lt;= $G$2:$G$35), 0))</f>
        <v>#N/A</v>
      </c>
      <c r="E680" s="10" t="str">
        <f>IF(COUNTIF('Top5'!I:I, D680) &gt; 0, "Yes", "No")</f>
        <v>No</v>
      </c>
      <c r="F680" s="10"/>
      <c r="G680">
        <v>45735</v>
      </c>
      <c r="H680">
        <v>0.46527777777777779</v>
      </c>
      <c r="I680" t="s">
        <v>22</v>
      </c>
      <c r="J680" t="s">
        <v>35</v>
      </c>
      <c r="K680" t="s">
        <v>69</v>
      </c>
    </row>
    <row r="681" spans="1:11">
      <c r="A681" s="11">
        <v>45735</v>
      </c>
      <c r="B681" s="14">
        <v>0.47083333333333333</v>
      </c>
      <c r="C681" s="10" t="s">
        <v>22</v>
      </c>
      <c r="D681" s="10" t="e" cm="1">
        <f t="array" ref="D681">INDEX($H$2:$H$35, MATCH(1, (A681 &gt;= $F$2:$F$35) * (A681 &lt;= $G$2:$G$35), 0))</f>
        <v>#N/A</v>
      </c>
      <c r="E681" s="10" t="str">
        <f>IF(COUNTIF('Top5'!I:I, D681) &gt; 0, "Yes", "No")</f>
        <v>No</v>
      </c>
      <c r="F681" s="10"/>
      <c r="G681">
        <v>45735</v>
      </c>
      <c r="H681">
        <v>0.47083333333333333</v>
      </c>
      <c r="I681" t="s">
        <v>22</v>
      </c>
      <c r="J681" t="s">
        <v>35</v>
      </c>
      <c r="K681" t="s">
        <v>69</v>
      </c>
    </row>
    <row r="682" spans="1:11">
      <c r="A682" s="11">
        <v>45735</v>
      </c>
      <c r="B682" s="14">
        <v>0.50347222222222221</v>
      </c>
      <c r="C682" s="10" t="s">
        <v>22</v>
      </c>
      <c r="D682" s="10" t="e" cm="1">
        <f t="array" ref="D682">INDEX($H$2:$H$35, MATCH(1, (A682 &gt;= $F$2:$F$35) * (A682 &lt;= $G$2:$G$35), 0))</f>
        <v>#N/A</v>
      </c>
      <c r="E682" s="10" t="str">
        <f>IF(COUNTIF('Top5'!I:I, D682) &gt; 0, "Yes", "No")</f>
        <v>No</v>
      </c>
      <c r="F682" s="10"/>
      <c r="G682">
        <v>45735</v>
      </c>
      <c r="H682">
        <v>0.50347222222222221</v>
      </c>
      <c r="I682" t="s">
        <v>22</v>
      </c>
      <c r="J682" t="s">
        <v>35</v>
      </c>
      <c r="K682" t="s">
        <v>69</v>
      </c>
    </row>
    <row r="683" spans="1:11">
      <c r="A683" s="11">
        <v>45735</v>
      </c>
      <c r="B683" s="14">
        <v>0.57013888888888886</v>
      </c>
      <c r="C683" s="10" t="s">
        <v>22</v>
      </c>
      <c r="D683" s="10" t="e" cm="1">
        <f t="array" ref="D683">INDEX($H$2:$H$35, MATCH(1, (A683 &gt;= $F$2:$F$35) * (A683 &lt;= $G$2:$G$35), 0))</f>
        <v>#N/A</v>
      </c>
      <c r="E683" s="10" t="str">
        <f>IF(COUNTIF('Top5'!I:I, D683) &gt; 0, "Yes", "No")</f>
        <v>No</v>
      </c>
      <c r="F683" s="10"/>
      <c r="G683">
        <v>45735</v>
      </c>
      <c r="H683">
        <v>0.57013888888888886</v>
      </c>
      <c r="I683" t="s">
        <v>22</v>
      </c>
      <c r="J683" t="s">
        <v>35</v>
      </c>
      <c r="K683" t="s">
        <v>69</v>
      </c>
    </row>
    <row r="684" spans="1:11">
      <c r="A684" s="11">
        <v>45735</v>
      </c>
      <c r="B684" s="14">
        <v>0.58958333333333335</v>
      </c>
      <c r="C684" s="10" t="s">
        <v>22</v>
      </c>
      <c r="D684" s="10" t="e" cm="1">
        <f t="array" ref="D684">INDEX($H$2:$H$35, MATCH(1, (A684 &gt;= $F$2:$F$35) * (A684 &lt;= $G$2:$G$35), 0))</f>
        <v>#N/A</v>
      </c>
      <c r="E684" s="10" t="str">
        <f>IF(COUNTIF('Top5'!I:I, D684) &gt; 0, "Yes", "No")</f>
        <v>No</v>
      </c>
      <c r="F684" s="10"/>
      <c r="G684">
        <v>45735</v>
      </c>
      <c r="H684">
        <v>0.58958333333333335</v>
      </c>
      <c r="I684" t="s">
        <v>22</v>
      </c>
      <c r="J684" t="s">
        <v>35</v>
      </c>
      <c r="K684" t="s">
        <v>69</v>
      </c>
    </row>
    <row r="685" spans="1:11">
      <c r="A685" s="11">
        <v>45736</v>
      </c>
      <c r="B685" s="14">
        <v>6.2500000000000003E-3</v>
      </c>
      <c r="C685" s="10" t="s">
        <v>23</v>
      </c>
      <c r="D685" s="10" t="e" cm="1">
        <f t="array" ref="D685">INDEX($H$2:$H$35, MATCH(1, (A685 &gt;= $F$2:$F$35) * (A685 &lt;= $G$2:$G$35), 0))</f>
        <v>#N/A</v>
      </c>
      <c r="E685" s="10" t="str">
        <f>IF(COUNTIF('Top5'!I:I, D685) &gt; 0, "Yes", "No")</f>
        <v>No</v>
      </c>
      <c r="F685" s="10"/>
      <c r="G685">
        <v>45736</v>
      </c>
      <c r="H685">
        <v>6.2500000000000003E-3</v>
      </c>
      <c r="I685" t="s">
        <v>23</v>
      </c>
      <c r="J685" t="s">
        <v>35</v>
      </c>
      <c r="K685" t="s">
        <v>69</v>
      </c>
    </row>
    <row r="686" spans="1:11">
      <c r="A686" s="11">
        <v>45736</v>
      </c>
      <c r="B686" s="14">
        <v>0.39652777777777776</v>
      </c>
      <c r="C686" s="10" t="s">
        <v>22</v>
      </c>
      <c r="D686" s="10" t="e" cm="1">
        <f t="array" ref="D686">INDEX($H$2:$H$35, MATCH(1, (A686 &gt;= $F$2:$F$35) * (A686 &lt;= $G$2:$G$35), 0))</f>
        <v>#N/A</v>
      </c>
      <c r="E686" s="10" t="str">
        <f>IF(COUNTIF('Top5'!I:I, D686) &gt; 0, "Yes", "No")</f>
        <v>No</v>
      </c>
      <c r="F686" s="10"/>
      <c r="G686">
        <v>45736</v>
      </c>
      <c r="H686">
        <v>0.39652777777777776</v>
      </c>
      <c r="I686" t="s">
        <v>22</v>
      </c>
      <c r="J686" t="s">
        <v>35</v>
      </c>
      <c r="K686" t="s">
        <v>69</v>
      </c>
    </row>
    <row r="687" spans="1:11">
      <c r="A687" s="11">
        <v>45736</v>
      </c>
      <c r="B687" s="14">
        <v>0.41944444444444445</v>
      </c>
      <c r="C687" s="10" t="s">
        <v>22</v>
      </c>
      <c r="D687" s="10" t="e" cm="1">
        <f t="array" ref="D687">INDEX($H$2:$H$35, MATCH(1, (A687 &gt;= $F$2:$F$35) * (A687 &lt;= $G$2:$G$35), 0))</f>
        <v>#N/A</v>
      </c>
      <c r="E687" s="10" t="str">
        <f>IF(COUNTIF('Top5'!I:I, D687) &gt; 0, "Yes", "No")</f>
        <v>No</v>
      </c>
      <c r="F687" s="10"/>
      <c r="G687">
        <v>45736</v>
      </c>
      <c r="H687">
        <v>0.41944444444444445</v>
      </c>
      <c r="I687" t="s">
        <v>22</v>
      </c>
      <c r="J687" t="s">
        <v>35</v>
      </c>
      <c r="K687" t="s">
        <v>69</v>
      </c>
    </row>
    <row r="688" spans="1:11">
      <c r="A688" s="11">
        <v>45736</v>
      </c>
      <c r="B688" s="14">
        <v>0.42083333333333334</v>
      </c>
      <c r="C688" s="10" t="s">
        <v>22</v>
      </c>
      <c r="D688" s="10" t="e" cm="1">
        <f t="array" ref="D688">INDEX($H$2:$H$35, MATCH(1, (A688 &gt;= $F$2:$F$35) * (A688 &lt;= $G$2:$G$35), 0))</f>
        <v>#N/A</v>
      </c>
      <c r="E688" s="10" t="str">
        <f>IF(COUNTIF('Top5'!I:I, D688) &gt; 0, "Yes", "No")</f>
        <v>No</v>
      </c>
      <c r="F688" s="10"/>
      <c r="G688">
        <v>45736</v>
      </c>
      <c r="H688">
        <v>0.42083333333333334</v>
      </c>
      <c r="I688" t="s">
        <v>22</v>
      </c>
      <c r="J688" t="s">
        <v>35</v>
      </c>
      <c r="K688" t="s">
        <v>69</v>
      </c>
    </row>
    <row r="689" spans="1:11">
      <c r="A689" s="11">
        <v>45736</v>
      </c>
      <c r="B689" s="14">
        <v>0.42430555555555555</v>
      </c>
      <c r="C689" s="10" t="s">
        <v>22</v>
      </c>
      <c r="D689" s="10" t="e" cm="1">
        <f t="array" ref="D689">INDEX($H$2:$H$35, MATCH(1, (A689 &gt;= $F$2:$F$35) * (A689 &lt;= $G$2:$G$35), 0))</f>
        <v>#N/A</v>
      </c>
      <c r="E689" s="10" t="str">
        <f>IF(COUNTIF('Top5'!I:I, D689) &gt; 0, "Yes", "No")</f>
        <v>No</v>
      </c>
      <c r="F689" s="10"/>
      <c r="G689">
        <v>45736</v>
      </c>
      <c r="H689">
        <v>0.42430555555555555</v>
      </c>
      <c r="I689" t="s">
        <v>22</v>
      </c>
      <c r="J689" t="s">
        <v>35</v>
      </c>
      <c r="K689" t="s">
        <v>69</v>
      </c>
    </row>
    <row r="690" spans="1:11">
      <c r="A690" s="11">
        <v>45736</v>
      </c>
      <c r="B690" s="14">
        <v>0.42499999999999999</v>
      </c>
      <c r="C690" s="10" t="s">
        <v>22</v>
      </c>
      <c r="D690" s="10" t="e" cm="1">
        <f t="array" ref="D690">INDEX($H$2:$H$35, MATCH(1, (A690 &gt;= $F$2:$F$35) * (A690 &lt;= $G$2:$G$35), 0))</f>
        <v>#N/A</v>
      </c>
      <c r="E690" s="10" t="str">
        <f>IF(COUNTIF('Top5'!I:I, D690) &gt; 0, "Yes", "No")</f>
        <v>No</v>
      </c>
      <c r="F690" s="10"/>
      <c r="G690">
        <v>45736</v>
      </c>
      <c r="H690">
        <v>0.42499999999999999</v>
      </c>
      <c r="I690" t="s">
        <v>22</v>
      </c>
      <c r="J690" t="s">
        <v>35</v>
      </c>
      <c r="K690" t="s">
        <v>69</v>
      </c>
    </row>
    <row r="691" spans="1:11">
      <c r="A691" s="11">
        <v>45736</v>
      </c>
      <c r="B691" s="14">
        <v>0.42916666666666664</v>
      </c>
      <c r="C691" s="10" t="s">
        <v>22</v>
      </c>
      <c r="D691" s="10" t="e" cm="1">
        <f t="array" ref="D691">INDEX($H$2:$H$35, MATCH(1, (A691 &gt;= $F$2:$F$35) * (A691 &lt;= $G$2:$G$35), 0))</f>
        <v>#N/A</v>
      </c>
      <c r="E691" s="10" t="str">
        <f>IF(COUNTIF('Top5'!I:I, D691) &gt; 0, "Yes", "No")</f>
        <v>No</v>
      </c>
      <c r="F691" s="10"/>
      <c r="G691">
        <v>45736</v>
      </c>
      <c r="H691">
        <v>0.42916666666666664</v>
      </c>
      <c r="I691" t="s">
        <v>22</v>
      </c>
      <c r="J691" t="s">
        <v>35</v>
      </c>
      <c r="K691" t="s">
        <v>69</v>
      </c>
    </row>
    <row r="692" spans="1:11">
      <c r="A692" s="11">
        <v>45736</v>
      </c>
      <c r="B692" s="14">
        <v>0.46458333333333335</v>
      </c>
      <c r="C692" s="10" t="s">
        <v>22</v>
      </c>
      <c r="D692" s="10" t="e" cm="1">
        <f t="array" ref="D692">INDEX($H$2:$H$35, MATCH(1, (A692 &gt;= $F$2:$F$35) * (A692 &lt;= $G$2:$G$35), 0))</f>
        <v>#N/A</v>
      </c>
      <c r="E692" s="10" t="str">
        <f>IF(COUNTIF('Top5'!I:I, D692) &gt; 0, "Yes", "No")</f>
        <v>No</v>
      </c>
      <c r="F692" s="10"/>
      <c r="G692">
        <v>45736</v>
      </c>
      <c r="H692">
        <v>0.46458333333333335</v>
      </c>
      <c r="I692" t="s">
        <v>22</v>
      </c>
      <c r="J692" t="s">
        <v>35</v>
      </c>
      <c r="K692" t="s">
        <v>69</v>
      </c>
    </row>
    <row r="693" spans="1:11">
      <c r="A693" s="11">
        <v>45736</v>
      </c>
      <c r="B693" s="14">
        <v>0.57222222222222219</v>
      </c>
      <c r="C693" s="10" t="s">
        <v>22</v>
      </c>
      <c r="D693" s="10" t="e" cm="1">
        <f t="array" ref="D693">INDEX($H$2:$H$35, MATCH(1, (A693 &gt;= $F$2:$F$35) * (A693 &lt;= $G$2:$G$35), 0))</f>
        <v>#N/A</v>
      </c>
      <c r="E693" s="10" t="str">
        <f>IF(COUNTIF('Top5'!I:I, D693) &gt; 0, "Yes", "No")</f>
        <v>No</v>
      </c>
      <c r="F693" s="10"/>
      <c r="G693">
        <v>45736</v>
      </c>
      <c r="H693">
        <v>0.57222222222222219</v>
      </c>
      <c r="I693" t="s">
        <v>22</v>
      </c>
      <c r="J693" t="s">
        <v>35</v>
      </c>
      <c r="K693" t="s">
        <v>69</v>
      </c>
    </row>
    <row r="694" spans="1:11">
      <c r="A694" s="11">
        <v>45736</v>
      </c>
      <c r="B694" s="14">
        <v>0.7270833333333333</v>
      </c>
      <c r="C694" s="10" t="s">
        <v>23</v>
      </c>
      <c r="D694" s="10" t="e" cm="1">
        <f t="array" ref="D694">INDEX($H$2:$H$35, MATCH(1, (A694 &gt;= $F$2:$F$35) * (A694 &lt;= $G$2:$G$35), 0))</f>
        <v>#N/A</v>
      </c>
      <c r="E694" s="10" t="str">
        <f>IF(COUNTIF('Top5'!I:I, D694) &gt; 0, "Yes", "No")</f>
        <v>No</v>
      </c>
      <c r="F694" s="10"/>
      <c r="G694">
        <v>45736</v>
      </c>
      <c r="H694">
        <v>0.7270833333333333</v>
      </c>
      <c r="I694" t="s">
        <v>23</v>
      </c>
      <c r="J694" t="s">
        <v>35</v>
      </c>
      <c r="K694" t="s">
        <v>69</v>
      </c>
    </row>
    <row r="695" spans="1:11">
      <c r="A695" s="11">
        <v>45736</v>
      </c>
      <c r="B695" s="14">
        <v>0.7319444444444444</v>
      </c>
      <c r="C695" s="10" t="s">
        <v>23</v>
      </c>
      <c r="D695" s="10" t="e" cm="1">
        <f t="array" ref="D695">INDEX($H$2:$H$35, MATCH(1, (A695 &gt;= $F$2:$F$35) * (A695 &lt;= $G$2:$G$35), 0))</f>
        <v>#N/A</v>
      </c>
      <c r="E695" s="10" t="str">
        <f>IF(COUNTIF('Top5'!I:I, D695) &gt; 0, "Yes", "No")</f>
        <v>No</v>
      </c>
      <c r="F695" s="10"/>
      <c r="G695">
        <v>45736</v>
      </c>
      <c r="H695">
        <v>0.7319444444444444</v>
      </c>
      <c r="I695" t="s">
        <v>23</v>
      </c>
      <c r="J695" t="s">
        <v>35</v>
      </c>
      <c r="K695" t="s">
        <v>69</v>
      </c>
    </row>
    <row r="696" spans="1:11">
      <c r="A696" s="11">
        <v>45736</v>
      </c>
      <c r="B696" s="14">
        <v>0.8833333333333333</v>
      </c>
      <c r="C696" s="10" t="s">
        <v>23</v>
      </c>
      <c r="D696" s="10" t="e" cm="1">
        <f t="array" ref="D696">INDEX($H$2:$H$35, MATCH(1, (A696 &gt;= $F$2:$F$35) * (A696 &lt;= $G$2:$G$35), 0))</f>
        <v>#N/A</v>
      </c>
      <c r="E696" s="10" t="str">
        <f>IF(COUNTIF('Top5'!I:I, D696) &gt; 0, "Yes", "No")</f>
        <v>No</v>
      </c>
      <c r="F696" s="10"/>
      <c r="G696">
        <v>45736</v>
      </c>
      <c r="H696">
        <v>0.8833333333333333</v>
      </c>
      <c r="I696" t="s">
        <v>23</v>
      </c>
      <c r="J696" t="s">
        <v>35</v>
      </c>
      <c r="K696" t="s">
        <v>69</v>
      </c>
    </row>
    <row r="697" spans="1:11">
      <c r="A697" s="11">
        <v>45736</v>
      </c>
      <c r="B697" s="14">
        <v>0.88402777777777775</v>
      </c>
      <c r="C697" s="10" t="s">
        <v>23</v>
      </c>
      <c r="D697" s="10" t="e" cm="1">
        <f t="array" ref="D697">INDEX($H$2:$H$35, MATCH(1, (A697 &gt;= $F$2:$F$35) * (A697 &lt;= $G$2:$G$35), 0))</f>
        <v>#N/A</v>
      </c>
      <c r="E697" s="10" t="str">
        <f>IF(COUNTIF('Top5'!I:I, D697) &gt; 0, "Yes", "No")</f>
        <v>No</v>
      </c>
      <c r="F697" s="10"/>
      <c r="G697">
        <v>45736</v>
      </c>
      <c r="H697">
        <v>0.88402777777777775</v>
      </c>
      <c r="I697" t="s">
        <v>23</v>
      </c>
      <c r="J697" t="s">
        <v>35</v>
      </c>
      <c r="K697" t="s">
        <v>69</v>
      </c>
    </row>
    <row r="698" spans="1:11">
      <c r="A698" s="11">
        <v>45736</v>
      </c>
      <c r="B698" s="14">
        <v>0.88541666666666663</v>
      </c>
      <c r="C698" s="10" t="s">
        <v>23</v>
      </c>
      <c r="D698" s="10" t="e" cm="1">
        <f t="array" ref="D698">INDEX($H$2:$H$35, MATCH(1, (A698 &gt;= $F$2:$F$35) * (A698 &lt;= $G$2:$G$35), 0))</f>
        <v>#N/A</v>
      </c>
      <c r="E698" s="10" t="str">
        <f>IF(COUNTIF('Top5'!I:I, D698) &gt; 0, "Yes", "No")</f>
        <v>No</v>
      </c>
      <c r="F698" s="10"/>
      <c r="G698">
        <v>45736</v>
      </c>
      <c r="H698">
        <v>0.88541666666666663</v>
      </c>
      <c r="I698" t="s">
        <v>23</v>
      </c>
      <c r="J698" t="s">
        <v>35</v>
      </c>
      <c r="K698" t="s">
        <v>69</v>
      </c>
    </row>
    <row r="699" spans="1:11">
      <c r="A699" s="11">
        <v>45736</v>
      </c>
      <c r="B699" s="14">
        <v>0.88680555555555551</v>
      </c>
      <c r="C699" s="10" t="s">
        <v>23</v>
      </c>
      <c r="D699" s="10" t="e" cm="1">
        <f t="array" ref="D699">INDEX($H$2:$H$35, MATCH(1, (A699 &gt;= $F$2:$F$35) * (A699 &lt;= $G$2:$G$35), 0))</f>
        <v>#N/A</v>
      </c>
      <c r="E699" s="10" t="str">
        <f>IF(COUNTIF('Top5'!I:I, D699) &gt; 0, "Yes", "No")</f>
        <v>No</v>
      </c>
      <c r="F699" s="10"/>
      <c r="G699">
        <v>45736</v>
      </c>
      <c r="H699">
        <v>0.88680555555555551</v>
      </c>
      <c r="I699" t="s">
        <v>23</v>
      </c>
      <c r="J699" t="s">
        <v>35</v>
      </c>
      <c r="K699" t="s">
        <v>69</v>
      </c>
    </row>
    <row r="700" spans="1:11">
      <c r="A700" s="11">
        <v>45736</v>
      </c>
      <c r="B700" s="14">
        <v>0.8930555555555556</v>
      </c>
      <c r="C700" s="10" t="s">
        <v>23</v>
      </c>
      <c r="D700" s="10" t="e" cm="1">
        <f t="array" ref="D700">INDEX($H$2:$H$35, MATCH(1, (A700 &gt;= $F$2:$F$35) * (A700 &lt;= $G$2:$G$35), 0))</f>
        <v>#N/A</v>
      </c>
      <c r="E700" s="10" t="str">
        <f>IF(COUNTIF('Top5'!I:I, D700) &gt; 0, "Yes", "No")</f>
        <v>No</v>
      </c>
      <c r="F700" s="10"/>
      <c r="G700">
        <v>45736</v>
      </c>
      <c r="H700">
        <v>0.8930555555555556</v>
      </c>
      <c r="I700" t="s">
        <v>23</v>
      </c>
      <c r="J700" t="s">
        <v>35</v>
      </c>
      <c r="K700" t="s">
        <v>69</v>
      </c>
    </row>
    <row r="701" spans="1:11">
      <c r="A701" s="11">
        <v>45736</v>
      </c>
      <c r="B701" s="14">
        <v>0.91249999999999998</v>
      </c>
      <c r="C701" s="10" t="s">
        <v>23</v>
      </c>
      <c r="D701" s="10" t="e" cm="1">
        <f t="array" ref="D701">INDEX($H$2:$H$35, MATCH(1, (A701 &gt;= $F$2:$F$35) * (A701 &lt;= $G$2:$G$35), 0))</f>
        <v>#N/A</v>
      </c>
      <c r="E701" s="10" t="str">
        <f>IF(COUNTIF('Top5'!I:I, D701) &gt; 0, "Yes", "No")</f>
        <v>No</v>
      </c>
      <c r="F701" s="10"/>
      <c r="G701">
        <v>45736</v>
      </c>
      <c r="H701">
        <v>0.91249999999999998</v>
      </c>
      <c r="I701" t="s">
        <v>23</v>
      </c>
      <c r="J701" t="s">
        <v>35</v>
      </c>
      <c r="K701" t="s">
        <v>69</v>
      </c>
    </row>
    <row r="702" spans="1:11">
      <c r="A702" s="11">
        <v>45737</v>
      </c>
      <c r="B702" s="14">
        <v>0.40208333333333335</v>
      </c>
      <c r="C702" s="10" t="s">
        <v>22</v>
      </c>
      <c r="D702" s="10" t="e" cm="1">
        <f t="array" ref="D702">INDEX($H$2:$H$35, MATCH(1, (A702 &gt;= $F$2:$F$35) * (A702 &lt;= $G$2:$G$35), 0))</f>
        <v>#N/A</v>
      </c>
      <c r="E702" s="10" t="str">
        <f>IF(COUNTIF('Top5'!I:I, D702) &gt; 0, "Yes", "No")</f>
        <v>No</v>
      </c>
      <c r="F702" s="10"/>
      <c r="G702">
        <v>45737</v>
      </c>
      <c r="H702">
        <v>0.40208333333333335</v>
      </c>
      <c r="I702" t="s">
        <v>22</v>
      </c>
      <c r="J702" t="s">
        <v>35</v>
      </c>
      <c r="K702" t="s">
        <v>69</v>
      </c>
    </row>
    <row r="703" spans="1:11">
      <c r="A703" s="11">
        <v>45737</v>
      </c>
      <c r="B703" s="14">
        <v>0.40208333333333335</v>
      </c>
      <c r="C703" s="10" t="s">
        <v>22</v>
      </c>
      <c r="D703" s="10" t="e" cm="1">
        <f t="array" ref="D703">INDEX($H$2:$H$35, MATCH(1, (A703 &gt;= $F$2:$F$35) * (A703 &lt;= $G$2:$G$35), 0))</f>
        <v>#N/A</v>
      </c>
      <c r="E703" s="10" t="str">
        <f>IF(COUNTIF('Top5'!I:I, D703) &gt; 0, "Yes", "No")</f>
        <v>No</v>
      </c>
      <c r="F703" s="10"/>
      <c r="G703">
        <v>45737</v>
      </c>
      <c r="H703">
        <v>0.40208333333333335</v>
      </c>
      <c r="I703" t="s">
        <v>22</v>
      </c>
      <c r="J703" t="s">
        <v>35</v>
      </c>
      <c r="K703" t="s">
        <v>69</v>
      </c>
    </row>
    <row r="704" spans="1:11">
      <c r="A704" s="11">
        <v>45737</v>
      </c>
      <c r="B704" s="14">
        <v>0.47499999999999998</v>
      </c>
      <c r="C704" s="10" t="s">
        <v>22</v>
      </c>
      <c r="D704" s="10" t="e" cm="1">
        <f t="array" ref="D704">INDEX($H$2:$H$35, MATCH(1, (A704 &gt;= $F$2:$F$35) * (A704 &lt;= $G$2:$G$35), 0))</f>
        <v>#N/A</v>
      </c>
      <c r="E704" s="10" t="str">
        <f>IF(COUNTIF('Top5'!I:I, D704) &gt; 0, "Yes", "No")</f>
        <v>No</v>
      </c>
      <c r="F704" s="10"/>
      <c r="G704">
        <v>45737</v>
      </c>
      <c r="H704">
        <v>0.47499999999999998</v>
      </c>
      <c r="I704" t="s">
        <v>22</v>
      </c>
      <c r="J704" t="s">
        <v>35</v>
      </c>
      <c r="K704" t="s">
        <v>69</v>
      </c>
    </row>
    <row r="705" spans="1:11">
      <c r="A705" s="11">
        <v>45737</v>
      </c>
      <c r="B705" s="14">
        <v>0.47569444444444442</v>
      </c>
      <c r="C705" s="10" t="s">
        <v>22</v>
      </c>
      <c r="D705" s="10" t="e" cm="1">
        <f t="array" ref="D705">INDEX($H$2:$H$35, MATCH(1, (A705 &gt;= $F$2:$F$35) * (A705 &lt;= $G$2:$G$35), 0))</f>
        <v>#N/A</v>
      </c>
      <c r="E705" s="10" t="str">
        <f>IF(COUNTIF('Top5'!I:I, D705) &gt; 0, "Yes", "No")</f>
        <v>No</v>
      </c>
      <c r="F705" s="10"/>
      <c r="G705">
        <v>45737</v>
      </c>
      <c r="H705">
        <v>0.47569444444444442</v>
      </c>
      <c r="I705" t="s">
        <v>22</v>
      </c>
      <c r="J705" t="s">
        <v>35</v>
      </c>
      <c r="K705" t="s">
        <v>69</v>
      </c>
    </row>
    <row r="706" spans="1:11">
      <c r="A706" s="11">
        <v>45737</v>
      </c>
      <c r="B706" s="14">
        <v>0.48333333333333334</v>
      </c>
      <c r="C706" s="10" t="s">
        <v>22</v>
      </c>
      <c r="D706" s="10" t="e" cm="1">
        <f t="array" ref="D706">INDEX($H$2:$H$35, MATCH(1, (A706 &gt;= $F$2:$F$35) * (A706 &lt;= $G$2:$G$35), 0))</f>
        <v>#N/A</v>
      </c>
      <c r="E706" s="10" t="str">
        <f>IF(COUNTIF('Top5'!I:I, D706) &gt; 0, "Yes", "No")</f>
        <v>No</v>
      </c>
      <c r="F706" s="10"/>
      <c r="G706">
        <v>45737</v>
      </c>
      <c r="H706">
        <v>0.48333333333333334</v>
      </c>
      <c r="I706" t="s">
        <v>22</v>
      </c>
      <c r="J706" t="s">
        <v>35</v>
      </c>
      <c r="K706" t="s">
        <v>69</v>
      </c>
    </row>
    <row r="707" spans="1:11">
      <c r="A707" s="11">
        <v>45737</v>
      </c>
      <c r="B707" s="14">
        <v>0.48472222222222222</v>
      </c>
      <c r="C707" s="10" t="s">
        <v>22</v>
      </c>
      <c r="D707" s="10" t="e" cm="1">
        <f t="array" ref="D707">INDEX($H$2:$H$35, MATCH(1, (A707 &gt;= $F$2:$F$35) * (A707 &lt;= $G$2:$G$35), 0))</f>
        <v>#N/A</v>
      </c>
      <c r="E707" s="10" t="str">
        <f>IF(COUNTIF('Top5'!I:I, D707) &gt; 0, "Yes", "No")</f>
        <v>No</v>
      </c>
      <c r="F707" s="10"/>
      <c r="G707">
        <v>45737</v>
      </c>
      <c r="H707">
        <v>0.48472222222222222</v>
      </c>
      <c r="I707" t="s">
        <v>22</v>
      </c>
      <c r="J707" t="s">
        <v>35</v>
      </c>
      <c r="K707" t="s">
        <v>69</v>
      </c>
    </row>
    <row r="708" spans="1:11">
      <c r="A708" s="11">
        <v>45737</v>
      </c>
      <c r="B708" s="14">
        <v>0.48819444444444443</v>
      </c>
      <c r="C708" s="10" t="s">
        <v>22</v>
      </c>
      <c r="D708" s="10" t="e" cm="1">
        <f t="array" ref="D708">INDEX($H$2:$H$35, MATCH(1, (A708 &gt;= $F$2:$F$35) * (A708 &lt;= $G$2:$G$35), 0))</f>
        <v>#N/A</v>
      </c>
      <c r="E708" s="10" t="str">
        <f>IF(COUNTIF('Top5'!I:I, D708) &gt; 0, "Yes", "No")</f>
        <v>No</v>
      </c>
      <c r="F708" s="10"/>
      <c r="G708">
        <v>45737</v>
      </c>
      <c r="H708">
        <v>0.48819444444444443</v>
      </c>
      <c r="I708" t="s">
        <v>22</v>
      </c>
      <c r="J708" t="s">
        <v>35</v>
      </c>
      <c r="K708" t="s">
        <v>69</v>
      </c>
    </row>
    <row r="709" spans="1:11">
      <c r="A709" s="11">
        <v>45737</v>
      </c>
      <c r="B709" s="14">
        <v>0.4909722222222222</v>
      </c>
      <c r="C709" s="10" t="s">
        <v>22</v>
      </c>
      <c r="D709" s="10" t="e" cm="1">
        <f t="array" ref="D709">INDEX($H$2:$H$35, MATCH(1, (A709 &gt;= $F$2:$F$35) * (A709 &lt;= $G$2:$G$35), 0))</f>
        <v>#N/A</v>
      </c>
      <c r="E709" s="10" t="str">
        <f>IF(COUNTIF('Top5'!I:I, D709) &gt; 0, "Yes", "No")</f>
        <v>No</v>
      </c>
      <c r="F709" s="10"/>
      <c r="G709">
        <v>45737</v>
      </c>
      <c r="H709">
        <v>0.4909722222222222</v>
      </c>
      <c r="I709" t="s">
        <v>22</v>
      </c>
      <c r="J709" t="s">
        <v>35</v>
      </c>
      <c r="K709" t="s">
        <v>69</v>
      </c>
    </row>
    <row r="710" spans="1:11">
      <c r="A710" s="11">
        <v>45737</v>
      </c>
      <c r="B710" s="14">
        <v>0.72777777777777775</v>
      </c>
      <c r="C710" s="10" t="s">
        <v>23</v>
      </c>
      <c r="D710" s="10" t="e" cm="1">
        <f t="array" ref="D710">INDEX($H$2:$H$35, MATCH(1, (A710 &gt;= $F$2:$F$35) * (A710 &lt;= $G$2:$G$35), 0))</f>
        <v>#N/A</v>
      </c>
      <c r="E710" s="10" t="str">
        <f>IF(COUNTIF('Top5'!I:I, D710) &gt; 0, "Yes", "No")</f>
        <v>No</v>
      </c>
      <c r="F710" s="10"/>
      <c r="G710">
        <v>45737</v>
      </c>
      <c r="H710">
        <v>0.72777777777777775</v>
      </c>
      <c r="I710" t="s">
        <v>23</v>
      </c>
      <c r="J710" t="s">
        <v>35</v>
      </c>
      <c r="K710" t="s">
        <v>69</v>
      </c>
    </row>
    <row r="711" spans="1:11">
      <c r="A711" s="11">
        <v>45737</v>
      </c>
      <c r="B711" s="14">
        <v>0.75138888888888888</v>
      </c>
      <c r="C711" s="10" t="s">
        <v>23</v>
      </c>
      <c r="D711" s="10" t="e" cm="1">
        <f t="array" ref="D711">INDEX($H$2:$H$35, MATCH(1, (A711 &gt;= $F$2:$F$35) * (A711 &lt;= $G$2:$G$35), 0))</f>
        <v>#N/A</v>
      </c>
      <c r="E711" s="10" t="str">
        <f>IF(COUNTIF('Top5'!I:I, D711) &gt; 0, "Yes", "No")</f>
        <v>No</v>
      </c>
      <c r="F711" s="10"/>
      <c r="G711">
        <v>45737</v>
      </c>
      <c r="H711">
        <v>0.75138888888888888</v>
      </c>
      <c r="I711" t="s">
        <v>23</v>
      </c>
      <c r="J711" t="s">
        <v>35</v>
      </c>
      <c r="K711" t="s">
        <v>69</v>
      </c>
    </row>
    <row r="712" spans="1:11">
      <c r="A712" s="11">
        <v>45737</v>
      </c>
      <c r="B712" s="14">
        <v>0.93194444444444446</v>
      </c>
      <c r="C712" s="10" t="s">
        <v>23</v>
      </c>
      <c r="D712" s="10" t="e" cm="1">
        <f t="array" ref="D712">INDEX($H$2:$H$35, MATCH(1, (A712 &gt;= $F$2:$F$35) * (A712 &lt;= $G$2:$G$35), 0))</f>
        <v>#N/A</v>
      </c>
      <c r="E712" s="10" t="str">
        <f>IF(COUNTIF('Top5'!I:I, D712) &gt; 0, "Yes", "No")</f>
        <v>No</v>
      </c>
      <c r="F712" s="10"/>
      <c r="G712">
        <v>45737</v>
      </c>
      <c r="H712">
        <v>0.93194444444444446</v>
      </c>
      <c r="I712" t="s">
        <v>23</v>
      </c>
      <c r="J712" t="s">
        <v>35</v>
      </c>
      <c r="K712" t="s">
        <v>69</v>
      </c>
    </row>
    <row r="713" spans="1:11">
      <c r="A713" s="11">
        <v>45738</v>
      </c>
      <c r="B713" s="14">
        <v>0.41458333333333336</v>
      </c>
      <c r="C713" s="10" t="s">
        <v>22</v>
      </c>
      <c r="D713" s="10" t="e" cm="1">
        <f t="array" ref="D713">INDEX($H$2:$H$35, MATCH(1, (A713 &gt;= $F$2:$F$35) * (A713 &lt;= $G$2:$G$35), 0))</f>
        <v>#N/A</v>
      </c>
      <c r="E713" s="10" t="str">
        <f>IF(COUNTIF('Top5'!I:I, D713) &gt; 0, "Yes", "No")</f>
        <v>No</v>
      </c>
      <c r="F713" s="10"/>
      <c r="G713">
        <v>45738</v>
      </c>
      <c r="H713">
        <v>0.41458333333333336</v>
      </c>
      <c r="I713" t="s">
        <v>22</v>
      </c>
      <c r="J713" t="s">
        <v>50</v>
      </c>
      <c r="K713" t="s">
        <v>68</v>
      </c>
    </row>
    <row r="714" spans="1:11">
      <c r="A714" s="11">
        <v>45738</v>
      </c>
      <c r="B714" s="14">
        <v>0.47638888888888886</v>
      </c>
      <c r="C714" s="10" t="s">
        <v>22</v>
      </c>
      <c r="D714" s="10" t="e" cm="1">
        <f t="array" ref="D714">INDEX($H$2:$H$35, MATCH(1, (A714 &gt;= $F$2:$F$35) * (A714 &lt;= $G$2:$G$35), 0))</f>
        <v>#N/A</v>
      </c>
      <c r="E714" s="10" t="str">
        <f>IF(COUNTIF('Top5'!I:I, D714) &gt; 0, "Yes", "No")</f>
        <v>No</v>
      </c>
      <c r="F714" s="10"/>
      <c r="G714">
        <v>45738</v>
      </c>
      <c r="H714">
        <v>0.47638888888888886</v>
      </c>
      <c r="I714" t="s">
        <v>22</v>
      </c>
      <c r="J714" t="s">
        <v>50</v>
      </c>
      <c r="K714" t="s">
        <v>68</v>
      </c>
    </row>
    <row r="715" spans="1:11">
      <c r="A715" s="11">
        <v>45738</v>
      </c>
      <c r="B715" s="14">
        <v>0.95763888888888893</v>
      </c>
      <c r="C715" s="10" t="s">
        <v>23</v>
      </c>
      <c r="D715" s="10" t="e" cm="1">
        <f t="array" ref="D715">INDEX($H$2:$H$35, MATCH(1, (A715 &gt;= $F$2:$F$35) * (A715 &lt;= $G$2:$G$35), 0))</f>
        <v>#N/A</v>
      </c>
      <c r="E715" s="10" t="str">
        <f>IF(COUNTIF('Top5'!I:I, D715) &gt; 0, "Yes", "No")</f>
        <v>No</v>
      </c>
      <c r="F715" s="10"/>
      <c r="G715">
        <v>45738</v>
      </c>
      <c r="H715">
        <v>0.95763888888888893</v>
      </c>
      <c r="I715" t="s">
        <v>23</v>
      </c>
      <c r="J715" t="s">
        <v>50</v>
      </c>
      <c r="K715" t="s">
        <v>68</v>
      </c>
    </row>
    <row r="716" spans="1:11">
      <c r="A716" s="11">
        <v>45738</v>
      </c>
      <c r="B716" s="14">
        <v>0.96527777777777779</v>
      </c>
      <c r="C716" s="10" t="s">
        <v>23</v>
      </c>
      <c r="D716" s="10" t="e" cm="1">
        <f t="array" ref="D716">INDEX($H$2:$H$35, MATCH(1, (A716 &gt;= $F$2:$F$35) * (A716 &lt;= $G$2:$G$35), 0))</f>
        <v>#N/A</v>
      </c>
      <c r="E716" s="10" t="str">
        <f>IF(COUNTIF('Top5'!I:I, D716) &gt; 0, "Yes", "No")</f>
        <v>No</v>
      </c>
      <c r="F716" s="10"/>
      <c r="G716">
        <v>45738</v>
      </c>
      <c r="H716">
        <v>0.96527777777777779</v>
      </c>
      <c r="I716" t="s">
        <v>23</v>
      </c>
      <c r="J716" t="s">
        <v>50</v>
      </c>
      <c r="K716" t="s">
        <v>68</v>
      </c>
    </row>
    <row r="717" spans="1:11">
      <c r="A717" s="11">
        <v>45738</v>
      </c>
      <c r="B717" s="14">
        <v>0.96875</v>
      </c>
      <c r="C717" s="10" t="s">
        <v>23</v>
      </c>
      <c r="D717" s="10" t="e" cm="1">
        <f t="array" ref="D717">INDEX($H$2:$H$35, MATCH(1, (A717 &gt;= $F$2:$F$35) * (A717 &lt;= $G$2:$G$35), 0))</f>
        <v>#N/A</v>
      </c>
      <c r="E717" s="10" t="str">
        <f>IF(COUNTIF('Top5'!I:I, D717) &gt; 0, "Yes", "No")</f>
        <v>No</v>
      </c>
      <c r="F717" s="10"/>
      <c r="G717">
        <v>45738</v>
      </c>
      <c r="H717">
        <v>0.96875</v>
      </c>
      <c r="I717" t="s">
        <v>23</v>
      </c>
      <c r="J717" t="s">
        <v>50</v>
      </c>
      <c r="K717" t="s">
        <v>68</v>
      </c>
    </row>
    <row r="718" spans="1:11">
      <c r="A718" s="11">
        <v>45739</v>
      </c>
      <c r="B718" s="14">
        <v>0.40902777777777777</v>
      </c>
      <c r="C718" s="10" t="s">
        <v>22</v>
      </c>
      <c r="D718" s="10" t="e" cm="1">
        <f t="array" ref="D718">INDEX($H$2:$H$35, MATCH(1, (A718 &gt;= $F$2:$F$35) * (A718 &lt;= $G$2:$G$35), 0))</f>
        <v>#N/A</v>
      </c>
      <c r="E718" s="10" t="str">
        <f>IF(COUNTIF('Top5'!I:I, D718) &gt; 0, "Yes", "No")</f>
        <v>No</v>
      </c>
      <c r="F718" s="10"/>
      <c r="G718">
        <v>45739</v>
      </c>
      <c r="H718">
        <v>0.40902777777777777</v>
      </c>
      <c r="I718" t="s">
        <v>22</v>
      </c>
      <c r="J718" t="s">
        <v>50</v>
      </c>
      <c r="K718" t="s">
        <v>68</v>
      </c>
    </row>
    <row r="719" spans="1:11">
      <c r="A719" s="11">
        <v>45739</v>
      </c>
      <c r="B719" s="14">
        <v>0.53680555555555554</v>
      </c>
      <c r="C719" s="10" t="s">
        <v>22</v>
      </c>
      <c r="D719" s="10" t="e" cm="1">
        <f t="array" ref="D719">INDEX($H$2:$H$35, MATCH(1, (A719 &gt;= $F$2:$F$35) * (A719 &lt;= $G$2:$G$35), 0))</f>
        <v>#N/A</v>
      </c>
      <c r="E719" s="10" t="str">
        <f>IF(COUNTIF('Top5'!I:I, D719) &gt; 0, "Yes", "No")</f>
        <v>No</v>
      </c>
      <c r="F719" s="10"/>
      <c r="G719">
        <v>45739</v>
      </c>
      <c r="H719">
        <v>0.53680555555555554</v>
      </c>
      <c r="I719" t="s">
        <v>22</v>
      </c>
      <c r="J719" t="s">
        <v>50</v>
      </c>
      <c r="K719" t="s">
        <v>68</v>
      </c>
    </row>
    <row r="720" spans="1:11">
      <c r="A720" s="11">
        <v>45739</v>
      </c>
      <c r="B720" s="14">
        <v>0.72847222222222219</v>
      </c>
      <c r="C720" s="10" t="s">
        <v>23</v>
      </c>
      <c r="D720" s="10" t="e" cm="1">
        <f t="array" ref="D720">INDEX($H$2:$H$35, MATCH(1, (A720 &gt;= $F$2:$F$35) * (A720 &lt;= $G$2:$G$35), 0))</f>
        <v>#N/A</v>
      </c>
      <c r="E720" s="10" t="str">
        <f>IF(COUNTIF('Top5'!I:I, D720) &gt; 0, "Yes", "No")</f>
        <v>No</v>
      </c>
      <c r="F720" s="10"/>
      <c r="G720">
        <v>45739</v>
      </c>
      <c r="H720">
        <v>0.72847222222222219</v>
      </c>
      <c r="I720" t="s">
        <v>23</v>
      </c>
      <c r="J720" t="s">
        <v>50</v>
      </c>
      <c r="K720" t="s">
        <v>68</v>
      </c>
    </row>
    <row r="721" spans="1:11">
      <c r="A721" s="11">
        <v>45739</v>
      </c>
      <c r="B721" s="14">
        <v>0.72916666666666663</v>
      </c>
      <c r="C721" s="10" t="s">
        <v>23</v>
      </c>
      <c r="D721" s="10" t="e" cm="1">
        <f t="array" ref="D721">INDEX($H$2:$H$35, MATCH(1, (A721 &gt;= $F$2:$F$35) * (A721 &lt;= $G$2:$G$35), 0))</f>
        <v>#N/A</v>
      </c>
      <c r="E721" s="10" t="str">
        <f>IF(COUNTIF('Top5'!I:I, D721) &gt; 0, "Yes", "No")</f>
        <v>No</v>
      </c>
      <c r="F721" s="10"/>
      <c r="G721">
        <v>45739</v>
      </c>
      <c r="H721">
        <v>0.72916666666666663</v>
      </c>
      <c r="I721" t="s">
        <v>23</v>
      </c>
      <c r="J721" t="s">
        <v>50</v>
      </c>
      <c r="K721" t="s">
        <v>68</v>
      </c>
    </row>
    <row r="722" spans="1:11">
      <c r="A722" s="11">
        <v>45740</v>
      </c>
      <c r="B722" s="14">
        <v>0.49930555555555556</v>
      </c>
      <c r="C722" s="10" t="s">
        <v>22</v>
      </c>
      <c r="D722" s="10" t="e" cm="1">
        <f t="array" ref="D722">INDEX($H$2:$H$35, MATCH(1, (A722 &gt;= $F$2:$F$35) * (A722 &lt;= $G$2:$G$35), 0))</f>
        <v>#N/A</v>
      </c>
      <c r="E722" s="10" t="str">
        <f>IF(COUNTIF('Top5'!I:I, D722) &gt; 0, "Yes", "No")</f>
        <v>No</v>
      </c>
      <c r="F722" s="10"/>
      <c r="G722">
        <v>45740</v>
      </c>
      <c r="H722">
        <v>0.49930555555555556</v>
      </c>
      <c r="I722" t="s">
        <v>22</v>
      </c>
      <c r="J722" t="s">
        <v>50</v>
      </c>
      <c r="K722" t="s">
        <v>68</v>
      </c>
    </row>
    <row r="723" spans="1:11">
      <c r="A723" s="11">
        <v>45740</v>
      </c>
      <c r="B723" s="14">
        <v>0.62291666666666667</v>
      </c>
      <c r="C723" s="10" t="s">
        <v>22</v>
      </c>
      <c r="D723" s="10" t="e" cm="1">
        <f t="array" ref="D723">INDEX($H$2:$H$35, MATCH(1, (A723 &gt;= $F$2:$F$35) * (A723 &lt;= $G$2:$G$35), 0))</f>
        <v>#N/A</v>
      </c>
      <c r="E723" s="10" t="str">
        <f>IF(COUNTIF('Top5'!I:I, D723) &gt; 0, "Yes", "No")</f>
        <v>No</v>
      </c>
      <c r="F723" s="10"/>
      <c r="G723">
        <v>45740</v>
      </c>
      <c r="H723">
        <v>0.62291666666666667</v>
      </c>
      <c r="I723" t="s">
        <v>22</v>
      </c>
      <c r="J723" t="s">
        <v>50</v>
      </c>
      <c r="K723" t="s">
        <v>68</v>
      </c>
    </row>
    <row r="724" spans="1:11">
      <c r="A724" s="11">
        <v>45740</v>
      </c>
      <c r="B724" s="14">
        <v>0.62708333333333333</v>
      </c>
      <c r="C724" s="10" t="s">
        <v>22</v>
      </c>
      <c r="D724" s="10" t="e" cm="1">
        <f t="array" ref="D724">INDEX($H$2:$H$35, MATCH(1, (A724 &gt;= $F$2:$F$35) * (A724 &lt;= $G$2:$G$35), 0))</f>
        <v>#N/A</v>
      </c>
      <c r="E724" s="10" t="str">
        <f>IF(COUNTIF('Top5'!I:I, D724) &gt; 0, "Yes", "No")</f>
        <v>No</v>
      </c>
      <c r="F724" s="10"/>
      <c r="G724">
        <v>45740</v>
      </c>
      <c r="H724">
        <v>0.62708333333333333</v>
      </c>
      <c r="I724" t="s">
        <v>22</v>
      </c>
      <c r="J724" t="s">
        <v>50</v>
      </c>
      <c r="K724" t="s">
        <v>68</v>
      </c>
    </row>
    <row r="725" spans="1:11">
      <c r="A725" s="11">
        <v>45740</v>
      </c>
      <c r="B725" s="14">
        <v>0.62986111111111109</v>
      </c>
      <c r="C725" s="10" t="s">
        <v>22</v>
      </c>
      <c r="D725" s="10" t="e" cm="1">
        <f t="array" ref="D725">INDEX($H$2:$H$35, MATCH(1, (A725 &gt;= $F$2:$F$35) * (A725 &lt;= $G$2:$G$35), 0))</f>
        <v>#N/A</v>
      </c>
      <c r="E725" s="10" t="str">
        <f>IF(COUNTIF('Top5'!I:I, D725) &gt; 0, "Yes", "No")</f>
        <v>No</v>
      </c>
      <c r="F725" s="10"/>
      <c r="G725">
        <v>45740</v>
      </c>
      <c r="H725">
        <v>0.62986111111111109</v>
      </c>
      <c r="I725" t="s">
        <v>22</v>
      </c>
      <c r="J725" t="s">
        <v>50</v>
      </c>
      <c r="K725" t="s">
        <v>68</v>
      </c>
    </row>
    <row r="726" spans="1:11">
      <c r="A726" s="11">
        <v>45740</v>
      </c>
      <c r="B726" s="14">
        <v>0.64027777777777772</v>
      </c>
      <c r="C726" s="10" t="s">
        <v>22</v>
      </c>
      <c r="D726" s="10" t="e" cm="1">
        <f t="array" ref="D726">INDEX($H$2:$H$35, MATCH(1, (A726 &gt;= $F$2:$F$35) * (A726 &lt;= $G$2:$G$35), 0))</f>
        <v>#N/A</v>
      </c>
      <c r="E726" s="10" t="str">
        <f>IF(COUNTIF('Top5'!I:I, D726) &gt; 0, "Yes", "No")</f>
        <v>No</v>
      </c>
      <c r="F726" s="10"/>
      <c r="G726">
        <v>45740</v>
      </c>
      <c r="H726">
        <v>0.64027777777777772</v>
      </c>
      <c r="I726" t="s">
        <v>22</v>
      </c>
      <c r="J726" t="s">
        <v>50</v>
      </c>
      <c r="K726" t="s">
        <v>68</v>
      </c>
    </row>
    <row r="727" spans="1:11">
      <c r="A727" s="11">
        <v>45740</v>
      </c>
      <c r="B727" s="14">
        <v>0.65</v>
      </c>
      <c r="C727" s="10" t="s">
        <v>22</v>
      </c>
      <c r="D727" s="10" t="e" cm="1">
        <f t="array" ref="D727">INDEX($H$2:$H$35, MATCH(1, (A727 &gt;= $F$2:$F$35) * (A727 &lt;= $G$2:$G$35), 0))</f>
        <v>#N/A</v>
      </c>
      <c r="E727" s="10" t="str">
        <f>IF(COUNTIF('Top5'!I:I, D727) &gt; 0, "Yes", "No")</f>
        <v>No</v>
      </c>
      <c r="F727" s="10"/>
      <c r="G727">
        <v>45740</v>
      </c>
      <c r="H727">
        <v>0.65</v>
      </c>
      <c r="I727" t="s">
        <v>22</v>
      </c>
      <c r="J727" t="s">
        <v>50</v>
      </c>
      <c r="K727" t="s">
        <v>68</v>
      </c>
    </row>
    <row r="728" spans="1:11">
      <c r="A728" s="11">
        <v>45741</v>
      </c>
      <c r="B728" s="14">
        <v>0.50486111111111109</v>
      </c>
      <c r="C728" s="10" t="s">
        <v>22</v>
      </c>
      <c r="D728" s="10" t="e" cm="1">
        <f t="array" ref="D728">INDEX($H$2:$H$35, MATCH(1, (A728 &gt;= $F$2:$F$35) * (A728 &lt;= $G$2:$G$35), 0))</f>
        <v>#N/A</v>
      </c>
      <c r="E728" s="10" t="str">
        <f>IF(COUNTIF('Top5'!I:I, D728) &gt; 0, "Yes", "No")</f>
        <v>No</v>
      </c>
      <c r="F728" s="10"/>
      <c r="G728">
        <v>45741</v>
      </c>
      <c r="H728">
        <v>0.50486111111111109</v>
      </c>
      <c r="I728" t="s">
        <v>22</v>
      </c>
      <c r="J728" t="s">
        <v>50</v>
      </c>
      <c r="K728" t="s">
        <v>68</v>
      </c>
    </row>
    <row r="729" spans="1:11">
      <c r="A729" s="11">
        <v>45741</v>
      </c>
      <c r="B729" s="14">
        <v>0.51944444444444449</v>
      </c>
      <c r="C729" s="10" t="s">
        <v>22</v>
      </c>
      <c r="D729" s="10" t="e" cm="1">
        <f t="array" ref="D729">INDEX($H$2:$H$35, MATCH(1, (A729 &gt;= $F$2:$F$35) * (A729 &lt;= $G$2:$G$35), 0))</f>
        <v>#N/A</v>
      </c>
      <c r="E729" s="10" t="str">
        <f>IF(COUNTIF('Top5'!I:I, D729) &gt; 0, "Yes", "No")</f>
        <v>No</v>
      </c>
      <c r="F729" s="10"/>
      <c r="G729">
        <v>45741</v>
      </c>
      <c r="H729">
        <v>0.51944444444444449</v>
      </c>
      <c r="I729" t="s">
        <v>22</v>
      </c>
      <c r="J729" t="s">
        <v>50</v>
      </c>
      <c r="K729" t="s">
        <v>68</v>
      </c>
    </row>
    <row r="730" spans="1:11">
      <c r="A730" s="11">
        <v>45741</v>
      </c>
      <c r="B730" s="14">
        <v>0.54583333333333328</v>
      </c>
      <c r="C730" s="10" t="s">
        <v>22</v>
      </c>
      <c r="D730" s="10" t="e" cm="1">
        <f t="array" ref="D730">INDEX($H$2:$H$35, MATCH(1, (A730 &gt;= $F$2:$F$35) * (A730 &lt;= $G$2:$G$35), 0))</f>
        <v>#N/A</v>
      </c>
      <c r="E730" s="10" t="str">
        <f>IF(COUNTIF('Top5'!I:I, D730) &gt; 0, "Yes", "No")</f>
        <v>No</v>
      </c>
      <c r="F730" s="10"/>
      <c r="G730">
        <v>45741</v>
      </c>
      <c r="H730">
        <v>0.54583333333333328</v>
      </c>
      <c r="I730" t="s">
        <v>22</v>
      </c>
      <c r="J730" t="s">
        <v>50</v>
      </c>
      <c r="K730" t="s">
        <v>68</v>
      </c>
    </row>
    <row r="731" spans="1:11">
      <c r="A731" s="11">
        <v>45741</v>
      </c>
      <c r="B731" s="14">
        <v>0.56319444444444444</v>
      </c>
      <c r="C731" s="10" t="s">
        <v>22</v>
      </c>
      <c r="D731" s="10" t="e" cm="1">
        <f t="array" ref="D731">INDEX($H$2:$H$35, MATCH(1, (A731 &gt;= $F$2:$F$35) * (A731 &lt;= $G$2:$G$35), 0))</f>
        <v>#N/A</v>
      </c>
      <c r="E731" s="10" t="str">
        <f>IF(COUNTIF('Top5'!I:I, D731) &gt; 0, "Yes", "No")</f>
        <v>No</v>
      </c>
      <c r="F731" s="10"/>
      <c r="G731">
        <v>45741</v>
      </c>
      <c r="H731">
        <v>0.56319444444444444</v>
      </c>
      <c r="I731" t="s">
        <v>22</v>
      </c>
      <c r="J731" t="s">
        <v>50</v>
      </c>
      <c r="K731" t="s">
        <v>68</v>
      </c>
    </row>
    <row r="732" spans="1:11">
      <c r="A732" s="11">
        <v>45741</v>
      </c>
      <c r="B732" s="14">
        <v>0.56736111111111109</v>
      </c>
      <c r="C732" s="10" t="s">
        <v>22</v>
      </c>
      <c r="D732" s="10" t="e" cm="1">
        <f t="array" ref="D732">INDEX($H$2:$H$35, MATCH(1, (A732 &gt;= $F$2:$F$35) * (A732 &lt;= $G$2:$G$35), 0))</f>
        <v>#N/A</v>
      </c>
      <c r="E732" s="10" t="str">
        <f>IF(COUNTIF('Top5'!I:I, D732) &gt; 0, "Yes", "No")</f>
        <v>No</v>
      </c>
      <c r="F732" s="10"/>
      <c r="G732">
        <v>45741</v>
      </c>
      <c r="H732">
        <v>0.56736111111111109</v>
      </c>
      <c r="I732" t="s">
        <v>22</v>
      </c>
      <c r="J732" t="s">
        <v>50</v>
      </c>
      <c r="K732" t="s">
        <v>68</v>
      </c>
    </row>
    <row r="733" spans="1:11">
      <c r="A733" s="11">
        <v>45741</v>
      </c>
      <c r="B733" s="14">
        <v>0.57361111111111107</v>
      </c>
      <c r="C733" s="10" t="s">
        <v>22</v>
      </c>
      <c r="D733" s="10" t="e" cm="1">
        <f t="array" ref="D733">INDEX($H$2:$H$35, MATCH(1, (A733 &gt;= $F$2:$F$35) * (A733 &lt;= $G$2:$G$35), 0))</f>
        <v>#N/A</v>
      </c>
      <c r="E733" s="10" t="str">
        <f>IF(COUNTIF('Top5'!I:I, D733) &gt; 0, "Yes", "No")</f>
        <v>No</v>
      </c>
      <c r="F733" s="10"/>
      <c r="G733">
        <v>45741</v>
      </c>
      <c r="H733">
        <v>0.57361111111111107</v>
      </c>
      <c r="I733" t="s">
        <v>22</v>
      </c>
      <c r="J733" t="s">
        <v>50</v>
      </c>
      <c r="K733" t="s">
        <v>68</v>
      </c>
    </row>
    <row r="734" spans="1:11">
      <c r="A734" s="11">
        <v>45741</v>
      </c>
      <c r="B734" s="14">
        <v>0.5854166666666667</v>
      </c>
      <c r="C734" s="10" t="s">
        <v>22</v>
      </c>
      <c r="D734" s="10" t="e" cm="1">
        <f t="array" ref="D734">INDEX($H$2:$H$35, MATCH(1, (A734 &gt;= $F$2:$F$35) * (A734 &lt;= $G$2:$G$35), 0))</f>
        <v>#N/A</v>
      </c>
      <c r="E734" s="10" t="str">
        <f>IF(COUNTIF('Top5'!I:I, D734) &gt; 0, "Yes", "No")</f>
        <v>No</v>
      </c>
      <c r="F734" s="10"/>
      <c r="G734">
        <v>45741</v>
      </c>
      <c r="H734">
        <v>0.5854166666666667</v>
      </c>
      <c r="I734" t="s">
        <v>22</v>
      </c>
      <c r="J734" t="s">
        <v>50</v>
      </c>
      <c r="K734" t="s">
        <v>68</v>
      </c>
    </row>
    <row r="735" spans="1:11">
      <c r="A735" s="11">
        <v>45742</v>
      </c>
      <c r="B735" s="14">
        <v>0.83472222222222225</v>
      </c>
      <c r="C735" s="10" t="s">
        <v>23</v>
      </c>
      <c r="D735" s="10" t="e" cm="1">
        <f t="array" ref="D735">INDEX($H$2:$H$35, MATCH(1, (A735 &gt;= $F$2:$F$35) * (A735 &lt;= $G$2:$G$35), 0))</f>
        <v>#N/A</v>
      </c>
      <c r="E735" s="10" t="str">
        <f>IF(COUNTIF('Top5'!I:I, D735) &gt; 0, "Yes", "No")</f>
        <v>No</v>
      </c>
      <c r="F735" s="10"/>
      <c r="G735">
        <v>45742</v>
      </c>
      <c r="H735">
        <v>0.83472222222222225</v>
      </c>
      <c r="I735" t="s">
        <v>23</v>
      </c>
      <c r="J735" t="s">
        <v>50</v>
      </c>
      <c r="K735" t="s">
        <v>68</v>
      </c>
    </row>
    <row r="736" spans="1:11">
      <c r="A736" s="11">
        <v>45743</v>
      </c>
      <c r="B736" s="14">
        <v>0.40416666666666667</v>
      </c>
      <c r="C736" s="10" t="s">
        <v>22</v>
      </c>
      <c r="D736" s="10" t="e" cm="1">
        <f t="array" ref="D736">INDEX($H$2:$H$35, MATCH(1, (A736 &gt;= $F$2:$F$35) * (A736 &lt;= $G$2:$G$35), 0))</f>
        <v>#N/A</v>
      </c>
      <c r="E736" s="10" t="str">
        <f>IF(COUNTIF('Top5'!I:I, D736) &gt; 0, "Yes", "No")</f>
        <v>No</v>
      </c>
      <c r="F736" s="10"/>
      <c r="G736">
        <v>45743</v>
      </c>
      <c r="H736">
        <v>0.40416666666666667</v>
      </c>
      <c r="I736" t="s">
        <v>22</v>
      </c>
      <c r="J736" t="s">
        <v>50</v>
      </c>
      <c r="K736" t="s">
        <v>68</v>
      </c>
    </row>
    <row r="737" spans="1:11">
      <c r="A737" s="11">
        <v>45743</v>
      </c>
      <c r="B737" s="14">
        <v>0.40763888888888888</v>
      </c>
      <c r="C737" s="10" t="s">
        <v>22</v>
      </c>
      <c r="D737" s="10" t="e" cm="1">
        <f t="array" ref="D737">INDEX($H$2:$H$35, MATCH(1, (A737 &gt;= $F$2:$F$35) * (A737 &lt;= $G$2:$G$35), 0))</f>
        <v>#N/A</v>
      </c>
      <c r="E737" s="10" t="str">
        <f>IF(COUNTIF('Top5'!I:I, D737) &gt; 0, "Yes", "No")</f>
        <v>No</v>
      </c>
      <c r="F737" s="10"/>
      <c r="G737">
        <v>45743</v>
      </c>
      <c r="H737">
        <v>0.40763888888888888</v>
      </c>
      <c r="I737" t="s">
        <v>22</v>
      </c>
      <c r="J737" t="s">
        <v>50</v>
      </c>
      <c r="K737" t="s">
        <v>68</v>
      </c>
    </row>
    <row r="738" spans="1:11">
      <c r="A738" s="11">
        <v>45744</v>
      </c>
      <c r="B738" s="14">
        <v>1.3888888888888889E-3</v>
      </c>
      <c r="C738" s="10" t="s">
        <v>23</v>
      </c>
      <c r="D738" s="10" t="e" cm="1">
        <f t="array" ref="D738">INDEX($H$2:$H$35, MATCH(1, (A738 &gt;= $F$2:$F$35) * (A738 &lt;= $G$2:$G$35), 0))</f>
        <v>#N/A</v>
      </c>
      <c r="E738" s="10" t="str">
        <f>IF(COUNTIF('Top5'!I:I, D738) &gt; 0, "Yes", "No")</f>
        <v>No</v>
      </c>
      <c r="F738" s="10"/>
      <c r="G738">
        <v>45744</v>
      </c>
      <c r="H738">
        <v>1.3888888888888889E-3</v>
      </c>
      <c r="I738" t="s">
        <v>23</v>
      </c>
      <c r="J738" t="s">
        <v>50</v>
      </c>
      <c r="K738" t="s">
        <v>68</v>
      </c>
    </row>
    <row r="739" spans="1:11">
      <c r="A739" s="11">
        <v>45744</v>
      </c>
      <c r="B739" s="14">
        <v>0.45833333333333331</v>
      </c>
      <c r="C739" s="10" t="s">
        <v>22</v>
      </c>
      <c r="D739" s="10" t="e" cm="1">
        <f t="array" ref="D739">INDEX($H$2:$H$35, MATCH(1, (A739 &gt;= $F$2:$F$35) * (A739 &lt;= $G$2:$G$35), 0))</f>
        <v>#N/A</v>
      </c>
      <c r="E739" s="10" t="str">
        <f>IF(COUNTIF('Top5'!I:I, D739) &gt; 0, "Yes", "No")</f>
        <v>No</v>
      </c>
      <c r="F739" s="10"/>
      <c r="G739">
        <v>45744</v>
      </c>
      <c r="H739">
        <v>0.45833333333333331</v>
      </c>
      <c r="I739" t="s">
        <v>22</v>
      </c>
      <c r="J739" t="s">
        <v>50</v>
      </c>
      <c r="K739" t="s">
        <v>68</v>
      </c>
    </row>
    <row r="740" spans="1:11">
      <c r="A740" s="11">
        <v>45744</v>
      </c>
      <c r="B740" s="14">
        <v>0.65902777777777777</v>
      </c>
      <c r="C740" s="10" t="s">
        <v>22</v>
      </c>
      <c r="D740" s="10" t="e" cm="1">
        <f t="array" ref="D740">INDEX($H$2:$H$35, MATCH(1, (A740 &gt;= $F$2:$F$35) * (A740 &lt;= $G$2:$G$35), 0))</f>
        <v>#N/A</v>
      </c>
      <c r="E740" s="10" t="str">
        <f>IF(COUNTIF('Top5'!I:I, D740) &gt; 0, "Yes", "No")</f>
        <v>No</v>
      </c>
      <c r="F740" s="10"/>
      <c r="G740">
        <v>45744</v>
      </c>
      <c r="H740">
        <v>0.65902777777777777</v>
      </c>
      <c r="I740" t="s">
        <v>22</v>
      </c>
      <c r="J740" t="s">
        <v>50</v>
      </c>
      <c r="K740" t="s">
        <v>68</v>
      </c>
    </row>
    <row r="741" spans="1:11">
      <c r="A741" s="11">
        <v>45744</v>
      </c>
      <c r="B741" s="14">
        <v>0.66597222222222219</v>
      </c>
      <c r="C741" s="10" t="s">
        <v>22</v>
      </c>
      <c r="D741" s="10" t="e" cm="1">
        <f t="array" ref="D741">INDEX($H$2:$H$35, MATCH(1, (A741 &gt;= $F$2:$F$35) * (A741 &lt;= $G$2:$G$35), 0))</f>
        <v>#N/A</v>
      </c>
      <c r="E741" s="10" t="str">
        <f>IF(COUNTIF('Top5'!I:I, D741) &gt; 0, "Yes", "No")</f>
        <v>No</v>
      </c>
      <c r="F741" s="10"/>
      <c r="G741">
        <v>45744</v>
      </c>
      <c r="H741">
        <v>0.66597222222222219</v>
      </c>
      <c r="I741" t="s">
        <v>22</v>
      </c>
      <c r="J741" t="s">
        <v>50</v>
      </c>
      <c r="K741" t="s">
        <v>68</v>
      </c>
    </row>
    <row r="742" spans="1:11">
      <c r="A742" s="11">
        <v>45744</v>
      </c>
      <c r="B742" s="14">
        <v>0.66666666666666663</v>
      </c>
      <c r="C742" s="10" t="s">
        <v>22</v>
      </c>
      <c r="D742" s="10" t="e" cm="1">
        <f t="array" ref="D742">INDEX($H$2:$H$35, MATCH(1, (A742 &gt;= $F$2:$F$35) * (A742 &lt;= $G$2:$G$35), 0))</f>
        <v>#N/A</v>
      </c>
      <c r="E742" s="10" t="str">
        <f>IF(COUNTIF('Top5'!I:I, D742) &gt; 0, "Yes", "No")</f>
        <v>No</v>
      </c>
      <c r="F742" s="10"/>
      <c r="G742">
        <v>45744</v>
      </c>
      <c r="H742">
        <v>0.66666666666666663</v>
      </c>
      <c r="I742" t="s">
        <v>22</v>
      </c>
      <c r="J742" t="s">
        <v>50</v>
      </c>
      <c r="K742" t="s">
        <v>68</v>
      </c>
    </row>
    <row r="743" spans="1:11">
      <c r="A743" s="11">
        <v>45744</v>
      </c>
      <c r="B743" s="14">
        <v>0.71388888888888891</v>
      </c>
      <c r="C743" s="10" t="s">
        <v>23</v>
      </c>
      <c r="D743" s="10" t="e" cm="1">
        <f t="array" ref="D743">INDEX($H$2:$H$35, MATCH(1, (A743 &gt;= $F$2:$F$35) * (A743 &lt;= $G$2:$G$35), 0))</f>
        <v>#N/A</v>
      </c>
      <c r="E743" s="10" t="str">
        <f>IF(COUNTIF('Top5'!I:I, D743) &gt; 0, "Yes", "No")</f>
        <v>No</v>
      </c>
      <c r="F743" s="10"/>
      <c r="G743">
        <v>45744</v>
      </c>
      <c r="H743">
        <v>0.71388888888888891</v>
      </c>
      <c r="I743" t="s">
        <v>23</v>
      </c>
      <c r="J743" t="s">
        <v>50</v>
      </c>
      <c r="K743" t="s">
        <v>68</v>
      </c>
    </row>
    <row r="744" spans="1:11">
      <c r="A744" s="11">
        <v>45744</v>
      </c>
      <c r="B744" s="14">
        <v>0.71666666666666667</v>
      </c>
      <c r="C744" s="10" t="s">
        <v>23</v>
      </c>
      <c r="D744" s="10" t="e" cm="1">
        <f t="array" ref="D744">INDEX($H$2:$H$35, MATCH(1, (A744 &gt;= $F$2:$F$35) * (A744 &lt;= $G$2:$G$35), 0))</f>
        <v>#N/A</v>
      </c>
      <c r="E744" s="10" t="str">
        <f>IF(COUNTIF('Top5'!I:I, D744) &gt; 0, "Yes", "No")</f>
        <v>No</v>
      </c>
      <c r="F744" s="10"/>
      <c r="G744">
        <v>45744</v>
      </c>
      <c r="H744">
        <v>0.71666666666666667</v>
      </c>
      <c r="I744" t="s">
        <v>23</v>
      </c>
      <c r="J744" t="s">
        <v>50</v>
      </c>
      <c r="K744" t="s">
        <v>68</v>
      </c>
    </row>
    <row r="745" spans="1:11">
      <c r="A745" s="11">
        <v>45744</v>
      </c>
      <c r="B745" s="14">
        <v>0.75138888888888888</v>
      </c>
      <c r="C745" s="10" t="s">
        <v>23</v>
      </c>
      <c r="D745" s="10" t="e" cm="1">
        <f t="array" ref="D745">INDEX($H$2:$H$35, MATCH(1, (A745 &gt;= $F$2:$F$35) * (A745 &lt;= $G$2:$G$35), 0))</f>
        <v>#N/A</v>
      </c>
      <c r="E745" s="10" t="str">
        <f>IF(COUNTIF('Top5'!I:I, D745) &gt; 0, "Yes", "No")</f>
        <v>No</v>
      </c>
      <c r="F745" s="10"/>
      <c r="G745">
        <v>45744</v>
      </c>
      <c r="H745">
        <v>0.75138888888888888</v>
      </c>
      <c r="I745" t="s">
        <v>23</v>
      </c>
      <c r="J745" t="s">
        <v>50</v>
      </c>
      <c r="K745" t="s">
        <v>68</v>
      </c>
    </row>
    <row r="746" spans="1:11">
      <c r="A746" s="11">
        <v>45744</v>
      </c>
      <c r="B746" s="14">
        <v>0.94722222222222219</v>
      </c>
      <c r="C746" s="10" t="s">
        <v>23</v>
      </c>
      <c r="D746" s="10" t="e" cm="1">
        <f t="array" ref="D746">INDEX($H$2:$H$35, MATCH(1, (A746 &gt;= $F$2:$F$35) * (A746 &lt;= $G$2:$G$35), 0))</f>
        <v>#N/A</v>
      </c>
      <c r="E746" s="10" t="str">
        <f>IF(COUNTIF('Top5'!I:I, D746) &gt; 0, "Yes", "No")</f>
        <v>No</v>
      </c>
      <c r="F746" s="10"/>
      <c r="G746">
        <v>45744</v>
      </c>
      <c r="H746">
        <v>0.94722222222222219</v>
      </c>
      <c r="I746" t="s">
        <v>23</v>
      </c>
      <c r="J746" t="s">
        <v>50</v>
      </c>
      <c r="K746" t="s">
        <v>68</v>
      </c>
    </row>
    <row r="747" spans="1:11">
      <c r="A747" s="11">
        <v>45744</v>
      </c>
      <c r="B747" s="14">
        <v>0.94722222222222219</v>
      </c>
      <c r="C747" s="10" t="s">
        <v>23</v>
      </c>
      <c r="D747" s="10" t="e" cm="1">
        <f t="array" ref="D747">INDEX($H$2:$H$35, MATCH(1, (A747 &gt;= $F$2:$F$35) * (A747 &lt;= $G$2:$G$35), 0))</f>
        <v>#N/A</v>
      </c>
      <c r="E747" s="10" t="str">
        <f>IF(COUNTIF('Top5'!I:I, D747) &gt; 0, "Yes", "No")</f>
        <v>No</v>
      </c>
      <c r="F747" s="10"/>
      <c r="G747">
        <v>45744</v>
      </c>
      <c r="H747">
        <v>0.94722222222222219</v>
      </c>
      <c r="I747" t="s">
        <v>23</v>
      </c>
      <c r="J747" t="s">
        <v>50</v>
      </c>
      <c r="K747" t="s">
        <v>68</v>
      </c>
    </row>
    <row r="748" spans="1:11">
      <c r="A748" s="11">
        <v>45745</v>
      </c>
      <c r="B748" s="14">
        <v>0.47499999999999998</v>
      </c>
      <c r="C748" s="10" t="s">
        <v>22</v>
      </c>
      <c r="D748" s="10" t="e" cm="1">
        <f t="array" ref="D748">INDEX($H$2:$H$35, MATCH(1, (A748 &gt;= $F$2:$F$35) * (A748 &lt;= $G$2:$G$35), 0))</f>
        <v>#N/A</v>
      </c>
      <c r="E748" s="10" t="str">
        <f>IF(COUNTIF('Top5'!I:I, D748) &gt; 0, "Yes", "No")</f>
        <v>No</v>
      </c>
      <c r="F748" s="10"/>
      <c r="G748">
        <v>45745</v>
      </c>
      <c r="H748">
        <v>0.47499999999999998</v>
      </c>
      <c r="I748" t="s">
        <v>22</v>
      </c>
      <c r="J748" t="s">
        <v>63</v>
      </c>
      <c r="K748" t="s">
        <v>68</v>
      </c>
    </row>
    <row r="749" spans="1:11">
      <c r="A749" s="11">
        <v>45745</v>
      </c>
      <c r="B749" s="14">
        <v>0.48194444444444445</v>
      </c>
      <c r="C749" s="10" t="s">
        <v>22</v>
      </c>
      <c r="D749" s="10" t="e" cm="1">
        <f t="array" ref="D749">INDEX($H$2:$H$35, MATCH(1, (A749 &gt;= $F$2:$F$35) * (A749 &lt;= $G$2:$G$35), 0))</f>
        <v>#N/A</v>
      </c>
      <c r="E749" s="10" t="str">
        <f>IF(COUNTIF('Top5'!I:I, D749) &gt; 0, "Yes", "No")</f>
        <v>No</v>
      </c>
      <c r="F749" s="10"/>
      <c r="G749">
        <v>45745</v>
      </c>
      <c r="H749">
        <v>0.48194444444444445</v>
      </c>
      <c r="I749" t="s">
        <v>22</v>
      </c>
      <c r="J749" t="s">
        <v>63</v>
      </c>
      <c r="K749" t="s">
        <v>68</v>
      </c>
    </row>
    <row r="750" spans="1:11">
      <c r="A750" s="11">
        <v>45745</v>
      </c>
      <c r="B750" s="14">
        <v>0.53125</v>
      </c>
      <c r="C750" s="10" t="s">
        <v>22</v>
      </c>
      <c r="D750" s="10" t="e" cm="1">
        <f t="array" ref="D750">INDEX($H$2:$H$35, MATCH(1, (A750 &gt;= $F$2:$F$35) * (A750 &lt;= $G$2:$G$35), 0))</f>
        <v>#N/A</v>
      </c>
      <c r="E750" s="10" t="str">
        <f>IF(COUNTIF('Top5'!I:I, D750) &gt; 0, "Yes", "No")</f>
        <v>No</v>
      </c>
      <c r="F750" s="10"/>
      <c r="G750">
        <v>45745</v>
      </c>
      <c r="H750">
        <v>0.53125</v>
      </c>
      <c r="I750" t="s">
        <v>22</v>
      </c>
      <c r="J750" t="s">
        <v>63</v>
      </c>
      <c r="K750" t="s">
        <v>68</v>
      </c>
    </row>
    <row r="751" spans="1:11">
      <c r="A751" s="11">
        <v>45745</v>
      </c>
      <c r="B751" s="14">
        <v>0.53194444444444444</v>
      </c>
      <c r="C751" s="10" t="s">
        <v>22</v>
      </c>
      <c r="D751" s="10" t="e" cm="1">
        <f t="array" ref="D751">INDEX($H$2:$H$35, MATCH(1, (A751 &gt;= $F$2:$F$35) * (A751 &lt;= $G$2:$G$35), 0))</f>
        <v>#N/A</v>
      </c>
      <c r="E751" s="10" t="str">
        <f>IF(COUNTIF('Top5'!I:I, D751) &gt; 0, "Yes", "No")</f>
        <v>No</v>
      </c>
      <c r="F751" s="10"/>
      <c r="G751">
        <v>45745</v>
      </c>
      <c r="H751">
        <v>0.53194444444444444</v>
      </c>
      <c r="I751" t="s">
        <v>22</v>
      </c>
      <c r="J751" t="s">
        <v>63</v>
      </c>
      <c r="K751" t="s">
        <v>68</v>
      </c>
    </row>
    <row r="752" spans="1:11">
      <c r="A752" s="11">
        <v>45745</v>
      </c>
      <c r="B752" s="14">
        <v>0.53402777777777777</v>
      </c>
      <c r="C752" s="10" t="s">
        <v>22</v>
      </c>
      <c r="D752" s="10" t="e" cm="1">
        <f t="array" ref="D752">INDEX($H$2:$H$35, MATCH(1, (A752 &gt;= $F$2:$F$35) * (A752 &lt;= $G$2:$G$35), 0))</f>
        <v>#N/A</v>
      </c>
      <c r="E752" s="10" t="str">
        <f>IF(COUNTIF('Top5'!I:I, D752) &gt; 0, "Yes", "No")</f>
        <v>No</v>
      </c>
      <c r="F752" s="10"/>
      <c r="G752">
        <v>45745</v>
      </c>
      <c r="H752">
        <v>0.53402777777777777</v>
      </c>
      <c r="I752" t="s">
        <v>22</v>
      </c>
      <c r="J752" t="s">
        <v>63</v>
      </c>
      <c r="K752" t="s">
        <v>68</v>
      </c>
    </row>
    <row r="753" spans="1:11">
      <c r="A753" s="11">
        <v>45745</v>
      </c>
      <c r="B753" s="14">
        <v>0.75624999999999998</v>
      </c>
      <c r="C753" s="10" t="s">
        <v>23</v>
      </c>
      <c r="D753" s="10" t="e" cm="1">
        <f t="array" ref="D753">INDEX($H$2:$H$35, MATCH(1, (A753 &gt;= $F$2:$F$35) * (A753 &lt;= $G$2:$G$35), 0))</f>
        <v>#N/A</v>
      </c>
      <c r="E753" s="10" t="str">
        <f>IF(COUNTIF('Top5'!I:I, D753) &gt; 0, "Yes", "No")</f>
        <v>No</v>
      </c>
      <c r="F753" s="10"/>
      <c r="G753">
        <v>45745</v>
      </c>
      <c r="H753">
        <v>0.75624999999999998</v>
      </c>
      <c r="I753" t="s">
        <v>23</v>
      </c>
      <c r="J753" t="s">
        <v>63</v>
      </c>
      <c r="K753" t="s">
        <v>68</v>
      </c>
    </row>
    <row r="754" spans="1:11">
      <c r="A754" s="11">
        <v>45746</v>
      </c>
      <c r="B754" s="14">
        <v>1.3888888888888889E-3</v>
      </c>
      <c r="C754" s="10" t="s">
        <v>23</v>
      </c>
      <c r="D754" s="10" t="e" cm="1">
        <f t="array" ref="D754">INDEX($H$2:$H$35, MATCH(1, (A754 &gt;= $F$2:$F$35) * (A754 &lt;= $G$2:$G$35), 0))</f>
        <v>#N/A</v>
      </c>
      <c r="E754" s="10" t="str">
        <f>IF(COUNTIF('Top5'!I:I, D754) &gt; 0, "Yes", "No")</f>
        <v>No</v>
      </c>
      <c r="F754" s="10"/>
      <c r="G754">
        <v>45746</v>
      </c>
      <c r="H754">
        <v>1.3888888888888889E-3</v>
      </c>
      <c r="I754" t="s">
        <v>23</v>
      </c>
      <c r="J754" t="s">
        <v>63</v>
      </c>
      <c r="K754" t="s">
        <v>68</v>
      </c>
    </row>
    <row r="755" spans="1:11">
      <c r="A755" s="11">
        <v>45746</v>
      </c>
      <c r="B755" s="14">
        <v>3.472222222222222E-3</v>
      </c>
      <c r="C755" s="10" t="s">
        <v>23</v>
      </c>
      <c r="D755" s="10" t="e" cm="1">
        <f t="array" ref="D755">INDEX($H$2:$H$35, MATCH(1, (A755 &gt;= $F$2:$F$35) * (A755 &lt;= $G$2:$G$35), 0))</f>
        <v>#N/A</v>
      </c>
      <c r="E755" s="10" t="str">
        <f>IF(COUNTIF('Top5'!I:I, D755) &gt; 0, "Yes", "No")</f>
        <v>No</v>
      </c>
      <c r="F755" s="10"/>
      <c r="G755">
        <v>45746</v>
      </c>
      <c r="H755">
        <v>3.472222222222222E-3</v>
      </c>
      <c r="I755" t="s">
        <v>23</v>
      </c>
      <c r="J755" t="s">
        <v>63</v>
      </c>
      <c r="K755" t="s">
        <v>68</v>
      </c>
    </row>
    <row r="756" spans="1:11">
      <c r="A756" s="11">
        <v>45746</v>
      </c>
      <c r="B756" s="14">
        <v>6.2500000000000003E-3</v>
      </c>
      <c r="C756" s="10" t="s">
        <v>23</v>
      </c>
      <c r="D756" s="10" t="e" cm="1">
        <f t="array" ref="D756">INDEX($H$2:$H$35, MATCH(1, (A756 &gt;= $F$2:$F$35) * (A756 &lt;= $G$2:$G$35), 0))</f>
        <v>#N/A</v>
      </c>
      <c r="E756" s="10" t="str">
        <f>IF(COUNTIF('Top5'!I:I, D756) &gt; 0, "Yes", "No")</f>
        <v>No</v>
      </c>
      <c r="F756" s="10"/>
      <c r="G756">
        <v>45746</v>
      </c>
      <c r="H756">
        <v>6.2500000000000003E-3</v>
      </c>
      <c r="I756" t="s">
        <v>23</v>
      </c>
      <c r="J756" t="s">
        <v>63</v>
      </c>
      <c r="K756" t="s">
        <v>68</v>
      </c>
    </row>
    <row r="757" spans="1:11">
      <c r="A757" s="11">
        <v>45746</v>
      </c>
      <c r="B757" s="14">
        <v>6.2500000000000003E-3</v>
      </c>
      <c r="C757" s="10" t="s">
        <v>23</v>
      </c>
      <c r="D757" s="10" t="e" cm="1">
        <f t="array" ref="D757">INDEX($H$2:$H$35, MATCH(1, (A757 &gt;= $F$2:$F$35) * (A757 &lt;= $G$2:$G$35), 0))</f>
        <v>#N/A</v>
      </c>
      <c r="E757" s="10" t="str">
        <f>IF(COUNTIF('Top5'!I:I, D757) &gt; 0, "Yes", "No")</f>
        <v>No</v>
      </c>
      <c r="F757" s="10"/>
      <c r="G757">
        <v>45746</v>
      </c>
      <c r="H757">
        <v>6.2500000000000003E-3</v>
      </c>
      <c r="I757" t="s">
        <v>23</v>
      </c>
      <c r="J757" t="s">
        <v>63</v>
      </c>
      <c r="K757" t="s">
        <v>68</v>
      </c>
    </row>
    <row r="758" spans="1:11">
      <c r="A758" s="11">
        <v>45746</v>
      </c>
      <c r="B758" s="14">
        <v>7.6388888888888886E-3</v>
      </c>
      <c r="C758" s="10" t="s">
        <v>23</v>
      </c>
      <c r="D758" s="10" t="e" cm="1">
        <f t="array" ref="D758">INDEX($H$2:$H$35, MATCH(1, (A758 &gt;= $F$2:$F$35) * (A758 &lt;= $G$2:$G$35), 0))</f>
        <v>#N/A</v>
      </c>
      <c r="E758" s="10" t="str">
        <f>IF(COUNTIF('Top5'!I:I, D758) &gt; 0, "Yes", "No")</f>
        <v>No</v>
      </c>
      <c r="F758" s="10"/>
      <c r="G758">
        <v>45746</v>
      </c>
      <c r="H758">
        <v>7.6388888888888886E-3</v>
      </c>
      <c r="I758" t="s">
        <v>23</v>
      </c>
      <c r="J758" t="s">
        <v>63</v>
      </c>
      <c r="K758" t="s">
        <v>68</v>
      </c>
    </row>
    <row r="759" spans="1:11">
      <c r="A759" s="11">
        <v>45746</v>
      </c>
      <c r="B759" s="14">
        <v>7.6388888888888886E-3</v>
      </c>
      <c r="C759" s="10" t="s">
        <v>23</v>
      </c>
      <c r="D759" s="10" t="e" cm="1">
        <f t="array" ref="D759">INDEX($H$2:$H$35, MATCH(1, (A759 &gt;= $F$2:$F$35) * (A759 &lt;= $G$2:$G$35), 0))</f>
        <v>#N/A</v>
      </c>
      <c r="E759" s="10" t="str">
        <f>IF(COUNTIF('Top5'!I:I, D759) &gt; 0, "Yes", "No")</f>
        <v>No</v>
      </c>
      <c r="F759" s="10"/>
      <c r="G759">
        <v>45746</v>
      </c>
      <c r="H759">
        <v>7.6388888888888886E-3</v>
      </c>
      <c r="I759" t="s">
        <v>23</v>
      </c>
      <c r="J759" t="s">
        <v>63</v>
      </c>
      <c r="K759" t="s">
        <v>68</v>
      </c>
    </row>
    <row r="760" spans="1:11">
      <c r="A760" s="11">
        <v>45746</v>
      </c>
      <c r="B760" s="14">
        <v>1.1805555555555555E-2</v>
      </c>
      <c r="C760" s="10" t="s">
        <v>23</v>
      </c>
      <c r="D760" s="10" t="e" cm="1">
        <f t="array" ref="D760">INDEX($H$2:$H$35, MATCH(1, (A760 &gt;= $F$2:$F$35) * (A760 &lt;= $G$2:$G$35), 0))</f>
        <v>#N/A</v>
      </c>
      <c r="E760" s="10" t="str">
        <f>IF(COUNTIF('Top5'!I:I, D760) &gt; 0, "Yes", "No")</f>
        <v>No</v>
      </c>
      <c r="F760" s="10"/>
      <c r="G760">
        <v>45746</v>
      </c>
      <c r="H760">
        <v>1.1805555555555555E-2</v>
      </c>
      <c r="I760" t="s">
        <v>23</v>
      </c>
      <c r="J760" t="s">
        <v>63</v>
      </c>
      <c r="K760" t="s">
        <v>68</v>
      </c>
    </row>
    <row r="761" spans="1:11">
      <c r="A761" s="11">
        <v>45746</v>
      </c>
      <c r="B761" s="14">
        <v>1.2500000000000001E-2</v>
      </c>
      <c r="C761" s="10" t="s">
        <v>23</v>
      </c>
      <c r="D761" s="10" t="e" cm="1">
        <f t="array" ref="D761">INDEX($H$2:$H$35, MATCH(1, (A761 &gt;= $F$2:$F$35) * (A761 &lt;= $G$2:$G$35), 0))</f>
        <v>#N/A</v>
      </c>
      <c r="E761" s="10" t="str">
        <f>IF(COUNTIF('Top5'!I:I, D761) &gt; 0, "Yes", "No")</f>
        <v>No</v>
      </c>
      <c r="F761" s="10"/>
      <c r="G761">
        <v>45746</v>
      </c>
      <c r="H761">
        <v>1.2500000000000001E-2</v>
      </c>
      <c r="I761" t="s">
        <v>23</v>
      </c>
      <c r="J761" t="s">
        <v>63</v>
      </c>
      <c r="K761" t="s">
        <v>68</v>
      </c>
    </row>
    <row r="762" spans="1:11">
      <c r="A762" s="11">
        <v>45746</v>
      </c>
      <c r="B762" s="14">
        <v>1.7361111111111112E-2</v>
      </c>
      <c r="C762" s="10" t="s">
        <v>23</v>
      </c>
      <c r="D762" s="10" t="e" cm="1">
        <f t="array" ref="D762">INDEX($H$2:$H$35, MATCH(1, (A762 &gt;= $F$2:$F$35) * (A762 &lt;= $G$2:$G$35), 0))</f>
        <v>#N/A</v>
      </c>
      <c r="E762" s="10" t="str">
        <f>IF(COUNTIF('Top5'!I:I, D762) &gt; 0, "Yes", "No")</f>
        <v>No</v>
      </c>
      <c r="F762" s="10"/>
      <c r="G762">
        <v>45746</v>
      </c>
      <c r="H762">
        <v>1.7361111111111112E-2</v>
      </c>
      <c r="I762" t="s">
        <v>23</v>
      </c>
      <c r="J762" t="s">
        <v>63</v>
      </c>
      <c r="K762" t="s">
        <v>68</v>
      </c>
    </row>
    <row r="763" spans="1:11">
      <c r="A763" s="11">
        <v>45746</v>
      </c>
      <c r="B763" s="14">
        <v>0.61250000000000004</v>
      </c>
      <c r="C763" s="10" t="s">
        <v>22</v>
      </c>
      <c r="D763" s="10" t="e" cm="1">
        <f t="array" ref="D763">INDEX($H$2:$H$35, MATCH(1, (A763 &gt;= $F$2:$F$35) * (A763 &lt;= $G$2:$G$35), 0))</f>
        <v>#N/A</v>
      </c>
      <c r="E763" s="10" t="str">
        <f>IF(COUNTIF('Top5'!I:I, D763) &gt; 0, "Yes", "No")</f>
        <v>No</v>
      </c>
      <c r="F763" s="10"/>
      <c r="G763">
        <v>45746</v>
      </c>
      <c r="H763">
        <v>0.61250000000000004</v>
      </c>
      <c r="I763" t="s">
        <v>22</v>
      </c>
      <c r="J763" t="s">
        <v>63</v>
      </c>
      <c r="K763" t="s">
        <v>68</v>
      </c>
    </row>
    <row r="764" spans="1:11">
      <c r="A764" s="11">
        <v>45746</v>
      </c>
      <c r="B764" s="14">
        <v>0.69027777777777777</v>
      </c>
      <c r="C764" s="10" t="s">
        <v>22</v>
      </c>
      <c r="D764" s="10" t="e" cm="1">
        <f t="array" ref="D764">INDEX($H$2:$H$35, MATCH(1, (A764 &gt;= $F$2:$F$35) * (A764 &lt;= $G$2:$G$35), 0))</f>
        <v>#N/A</v>
      </c>
      <c r="E764" s="10" t="str">
        <f>IF(COUNTIF('Top5'!I:I, D764) &gt; 0, "Yes", "No")</f>
        <v>No</v>
      </c>
      <c r="F764" s="10"/>
      <c r="G764">
        <v>45746</v>
      </c>
      <c r="H764">
        <v>0.69027777777777777</v>
      </c>
      <c r="I764" t="s">
        <v>22</v>
      </c>
      <c r="J764" t="s">
        <v>63</v>
      </c>
      <c r="K764" t="s">
        <v>68</v>
      </c>
    </row>
    <row r="765" spans="1:11">
      <c r="A765" s="11">
        <v>45746</v>
      </c>
      <c r="B765" s="14">
        <v>0.7104166666666667</v>
      </c>
      <c r="C765" s="10" t="s">
        <v>23</v>
      </c>
      <c r="D765" s="10" t="e" cm="1">
        <f t="array" ref="D765">INDEX($H$2:$H$35, MATCH(1, (A765 &gt;= $F$2:$F$35) * (A765 &lt;= $G$2:$G$35), 0))</f>
        <v>#N/A</v>
      </c>
      <c r="E765" s="10" t="str">
        <f>IF(COUNTIF('Top5'!I:I, D765) &gt; 0, "Yes", "No")</f>
        <v>No</v>
      </c>
      <c r="F765" s="10"/>
      <c r="G765">
        <v>45746</v>
      </c>
      <c r="H765">
        <v>0.7104166666666667</v>
      </c>
      <c r="I765" t="s">
        <v>23</v>
      </c>
      <c r="J765" t="s">
        <v>63</v>
      </c>
      <c r="K765" t="s">
        <v>68</v>
      </c>
    </row>
    <row r="766" spans="1:11">
      <c r="A766" s="11">
        <v>45746</v>
      </c>
      <c r="B766" s="14">
        <v>0.71111111111111114</v>
      </c>
      <c r="C766" s="10" t="s">
        <v>23</v>
      </c>
      <c r="D766" s="10" t="e" cm="1">
        <f t="array" ref="D766">INDEX($H$2:$H$35, MATCH(1, (A766 &gt;= $F$2:$F$35) * (A766 &lt;= $G$2:$G$35), 0))</f>
        <v>#N/A</v>
      </c>
      <c r="E766" s="10" t="str">
        <f>IF(COUNTIF('Top5'!I:I, D766) &gt; 0, "Yes", "No")</f>
        <v>No</v>
      </c>
      <c r="F766" s="10"/>
      <c r="G766">
        <v>45746</v>
      </c>
      <c r="H766">
        <v>0.71111111111111114</v>
      </c>
      <c r="I766" t="s">
        <v>23</v>
      </c>
      <c r="J766" t="s">
        <v>63</v>
      </c>
      <c r="K766" t="s">
        <v>68</v>
      </c>
    </row>
    <row r="767" spans="1:11">
      <c r="A767" s="11">
        <v>45746</v>
      </c>
      <c r="B767" s="14">
        <v>0.73888888888888893</v>
      </c>
      <c r="C767" s="10" t="s">
        <v>23</v>
      </c>
      <c r="D767" s="10" t="e" cm="1">
        <f t="array" ref="D767">INDEX($H$2:$H$35, MATCH(1, (A767 &gt;= $F$2:$F$35) * (A767 &lt;= $G$2:$G$35), 0))</f>
        <v>#N/A</v>
      </c>
      <c r="E767" s="10" t="str">
        <f>IF(COUNTIF('Top5'!I:I, D767) &gt; 0, "Yes", "No")</f>
        <v>No</v>
      </c>
      <c r="F767" s="10"/>
      <c r="G767">
        <v>45746</v>
      </c>
      <c r="H767">
        <v>0.73888888888888893</v>
      </c>
      <c r="I767" t="s">
        <v>23</v>
      </c>
      <c r="J767" t="s">
        <v>63</v>
      </c>
      <c r="K767" t="s">
        <v>68</v>
      </c>
    </row>
    <row r="768" spans="1:11">
      <c r="A768" s="11">
        <v>45746</v>
      </c>
      <c r="B768" s="14">
        <v>0.95763888888888893</v>
      </c>
      <c r="C768" s="10" t="s">
        <v>23</v>
      </c>
      <c r="D768" s="10" t="e" cm="1">
        <f t="array" ref="D768">INDEX($H$2:$H$35, MATCH(1, (A768 &gt;= $F$2:$F$35) * (A768 &lt;= $G$2:$G$35), 0))</f>
        <v>#N/A</v>
      </c>
      <c r="E768" s="10" t="str">
        <f>IF(COUNTIF('Top5'!I:I, D768) &gt; 0, "Yes", "No")</f>
        <v>No</v>
      </c>
      <c r="F768" s="10"/>
      <c r="G768">
        <v>45746</v>
      </c>
      <c r="H768">
        <v>0.95763888888888893</v>
      </c>
      <c r="I768" t="s">
        <v>23</v>
      </c>
      <c r="J768" t="s">
        <v>63</v>
      </c>
      <c r="K768" t="s">
        <v>68</v>
      </c>
    </row>
    <row r="769" spans="1:11">
      <c r="A769" s="11">
        <v>45746</v>
      </c>
      <c r="B769" s="14">
        <v>0.98958333333333337</v>
      </c>
      <c r="C769" s="10" t="s">
        <v>23</v>
      </c>
      <c r="D769" s="10" t="e" cm="1">
        <f t="array" ref="D769">INDEX($H$2:$H$35, MATCH(1, (A769 &gt;= $F$2:$F$35) * (A769 &lt;= $G$2:$G$35), 0))</f>
        <v>#N/A</v>
      </c>
      <c r="E769" s="10" t="str">
        <f>IF(COUNTIF('Top5'!I:I, D769) &gt; 0, "Yes", "No")</f>
        <v>No</v>
      </c>
      <c r="F769" s="10"/>
      <c r="G769">
        <v>45746</v>
      </c>
      <c r="H769">
        <v>0.98958333333333337</v>
      </c>
      <c r="I769" t="s">
        <v>23</v>
      </c>
      <c r="J769" t="s">
        <v>63</v>
      </c>
      <c r="K769" t="s">
        <v>68</v>
      </c>
    </row>
    <row r="770" spans="1:11">
      <c r="A770" s="11">
        <v>45746</v>
      </c>
      <c r="B770" s="14">
        <v>0.99027777777777781</v>
      </c>
      <c r="C770" s="10" t="s">
        <v>23</v>
      </c>
      <c r="D770" s="10" t="e" cm="1">
        <f t="array" ref="D770">INDEX($H$2:$H$35, MATCH(1, (A770 &gt;= $F$2:$F$35) * (A770 &lt;= $G$2:$G$35), 0))</f>
        <v>#N/A</v>
      </c>
      <c r="E770" s="10" t="str">
        <f>IF(COUNTIF('Top5'!I:I, D770) &gt; 0, "Yes", "No")</f>
        <v>No</v>
      </c>
      <c r="F770" s="10"/>
      <c r="G770">
        <v>45746</v>
      </c>
      <c r="H770">
        <v>0.99027777777777781</v>
      </c>
      <c r="I770" t="s">
        <v>23</v>
      </c>
      <c r="J770" t="s">
        <v>63</v>
      </c>
      <c r="K770" t="s">
        <v>68</v>
      </c>
    </row>
    <row r="771" spans="1:11">
      <c r="A771" s="11">
        <v>45747</v>
      </c>
      <c r="B771" s="14">
        <v>0.62013888888888891</v>
      </c>
      <c r="C771" s="10" t="s">
        <v>22</v>
      </c>
      <c r="D771" s="10" t="e" cm="1">
        <f t="array" ref="D771">INDEX($H$2:$H$35, MATCH(1, (A771 &gt;= $F$2:$F$35) * (A771 &lt;= $G$2:$G$35), 0))</f>
        <v>#N/A</v>
      </c>
      <c r="E771" s="10" t="str">
        <f>IF(COUNTIF('Top5'!I:I, D771) &gt; 0, "Yes", "No")</f>
        <v>No</v>
      </c>
      <c r="F771" s="10"/>
      <c r="G771">
        <v>45747</v>
      </c>
      <c r="H771">
        <v>0.62013888888888891</v>
      </c>
      <c r="I771" t="s">
        <v>22</v>
      </c>
      <c r="J771" t="s">
        <v>63</v>
      </c>
      <c r="K771" t="s">
        <v>68</v>
      </c>
    </row>
    <row r="772" spans="1:11">
      <c r="A772" s="11">
        <v>45747</v>
      </c>
      <c r="B772" s="14">
        <v>0.89722222222222225</v>
      </c>
      <c r="C772" s="10" t="s">
        <v>23</v>
      </c>
      <c r="D772" s="10" t="e" cm="1">
        <f t="array" ref="D772">INDEX($H$2:$H$35, MATCH(1, (A772 &gt;= $F$2:$F$35) * (A772 &lt;= $G$2:$G$35), 0))</f>
        <v>#N/A</v>
      </c>
      <c r="E772" s="10" t="str">
        <f>IF(COUNTIF('Top5'!I:I, D772) &gt; 0, "Yes", "No")</f>
        <v>No</v>
      </c>
      <c r="F772" s="10"/>
      <c r="G772">
        <v>45747</v>
      </c>
      <c r="H772">
        <v>0.89722222222222225</v>
      </c>
      <c r="I772" t="s">
        <v>23</v>
      </c>
      <c r="J772" t="s">
        <v>63</v>
      </c>
      <c r="K772" t="s">
        <v>68</v>
      </c>
    </row>
    <row r="773" spans="1:11">
      <c r="A773" s="11">
        <v>45747</v>
      </c>
      <c r="B773" s="14">
        <v>0.91805555555555551</v>
      </c>
      <c r="C773" s="10" t="s">
        <v>23</v>
      </c>
      <c r="D773" s="10" t="e" cm="1">
        <f t="array" ref="D773">INDEX($H$2:$H$35, MATCH(1, (A773 &gt;= $F$2:$F$35) * (A773 &lt;= $G$2:$G$35), 0))</f>
        <v>#N/A</v>
      </c>
      <c r="E773" s="10" t="str">
        <f>IF(COUNTIF('Top5'!I:I, D773) &gt; 0, "Yes", "No")</f>
        <v>No</v>
      </c>
      <c r="F773" s="10"/>
      <c r="G773">
        <v>45747</v>
      </c>
      <c r="H773">
        <v>0.91805555555555551</v>
      </c>
      <c r="I773" t="s">
        <v>23</v>
      </c>
      <c r="J773" t="s">
        <v>63</v>
      </c>
      <c r="K773" t="s">
        <v>68</v>
      </c>
    </row>
    <row r="774" spans="1:11">
      <c r="A774" s="11">
        <v>45747</v>
      </c>
      <c r="B774" s="14">
        <v>0.92361111111111116</v>
      </c>
      <c r="C774" s="10" t="s">
        <v>23</v>
      </c>
      <c r="D774" s="10" t="e" cm="1">
        <f t="array" ref="D774">INDEX($H$2:$H$35, MATCH(1, (A774 &gt;= $F$2:$F$35) * (A774 &lt;= $G$2:$G$35), 0))</f>
        <v>#N/A</v>
      </c>
      <c r="E774" s="10" t="str">
        <f>IF(COUNTIF('Top5'!I:I, D774) &gt; 0, "Yes", "No")</f>
        <v>No</v>
      </c>
      <c r="F774" s="10"/>
      <c r="G774">
        <v>45747</v>
      </c>
      <c r="H774">
        <v>0.92361111111111116</v>
      </c>
      <c r="I774" t="s">
        <v>23</v>
      </c>
      <c r="J774" t="s">
        <v>63</v>
      </c>
      <c r="K774" t="s">
        <v>68</v>
      </c>
    </row>
    <row r="775" spans="1:11">
      <c r="A775" s="11">
        <v>45748</v>
      </c>
      <c r="B775" s="14">
        <v>0.40902777777777777</v>
      </c>
      <c r="C775" s="10" t="s">
        <v>22</v>
      </c>
      <c r="D775" s="10" t="e" cm="1">
        <f t="array" ref="D775">INDEX($H$2:$H$35, MATCH(1, (A775 &gt;= $F$2:$F$35) * (A775 &lt;= $G$2:$G$35), 0))</f>
        <v>#N/A</v>
      </c>
      <c r="E775" s="10" t="str">
        <f>IF(COUNTIF('Top5'!I:I, D775) &gt; 0, "Yes", "No")</f>
        <v>No</v>
      </c>
      <c r="F775" s="10"/>
      <c r="G775">
        <v>45748</v>
      </c>
      <c r="H775">
        <v>0.40902777777777777</v>
      </c>
      <c r="I775" t="s">
        <v>22</v>
      </c>
      <c r="J775" t="s">
        <v>34</v>
      </c>
      <c r="K775" t="s">
        <v>69</v>
      </c>
    </row>
    <row r="776" spans="1:11">
      <c r="A776" s="11">
        <v>45748</v>
      </c>
      <c r="B776" s="14">
        <v>0.40972222222222221</v>
      </c>
      <c r="C776" s="10" t="s">
        <v>22</v>
      </c>
      <c r="D776" s="10" t="e" cm="1">
        <f t="array" ref="D776">INDEX($H$2:$H$35, MATCH(1, (A776 &gt;= $F$2:$F$35) * (A776 &lt;= $G$2:$G$35), 0))</f>
        <v>#N/A</v>
      </c>
      <c r="E776" s="10" t="str">
        <f>IF(COUNTIF('Top5'!I:I, D776) &gt; 0, "Yes", "No")</f>
        <v>No</v>
      </c>
      <c r="F776" s="10"/>
      <c r="G776">
        <v>45748</v>
      </c>
      <c r="H776">
        <v>0.40972222222222221</v>
      </c>
      <c r="I776" t="s">
        <v>22</v>
      </c>
      <c r="J776" t="s">
        <v>34</v>
      </c>
      <c r="K776" t="s">
        <v>69</v>
      </c>
    </row>
    <row r="777" spans="1:11">
      <c r="A777" s="11">
        <v>45748</v>
      </c>
      <c r="B777" s="14">
        <v>0.41041666666666665</v>
      </c>
      <c r="C777" s="10" t="s">
        <v>22</v>
      </c>
      <c r="D777" s="10" t="e" cm="1">
        <f t="array" ref="D777">INDEX($H$2:$H$35, MATCH(1, (A777 &gt;= $F$2:$F$35) * (A777 &lt;= $G$2:$G$35), 0))</f>
        <v>#N/A</v>
      </c>
      <c r="E777" s="10" t="str">
        <f>IF(COUNTIF('Top5'!I:I, D777) &gt; 0, "Yes", "No")</f>
        <v>No</v>
      </c>
      <c r="F777" s="10"/>
      <c r="G777">
        <v>45748</v>
      </c>
      <c r="H777">
        <v>0.41041666666666665</v>
      </c>
      <c r="I777" t="s">
        <v>22</v>
      </c>
      <c r="J777" t="s">
        <v>34</v>
      </c>
      <c r="K777" t="s">
        <v>69</v>
      </c>
    </row>
    <row r="778" spans="1:11">
      <c r="A778" s="11">
        <v>45748</v>
      </c>
      <c r="B778" s="14">
        <v>0.70208333333333328</v>
      </c>
      <c r="C778" s="10" t="s">
        <v>22</v>
      </c>
      <c r="D778" s="10" t="e" cm="1">
        <f t="array" ref="D778">INDEX($H$2:$H$35, MATCH(1, (A778 &gt;= $F$2:$F$35) * (A778 &lt;= $G$2:$G$35), 0))</f>
        <v>#N/A</v>
      </c>
      <c r="E778" s="10" t="str">
        <f>IF(COUNTIF('Top5'!I:I, D778) &gt; 0, "Yes", "No")</f>
        <v>No</v>
      </c>
      <c r="F778" s="10"/>
      <c r="G778">
        <v>45748</v>
      </c>
      <c r="H778">
        <v>0.70208333333333328</v>
      </c>
      <c r="I778" t="s">
        <v>22</v>
      </c>
      <c r="J778" t="s">
        <v>34</v>
      </c>
      <c r="K778" t="s">
        <v>69</v>
      </c>
    </row>
    <row r="779" spans="1:11">
      <c r="A779" s="11">
        <v>45749</v>
      </c>
      <c r="B779" s="14">
        <v>0.66180555555555554</v>
      </c>
      <c r="C779" s="10" t="s">
        <v>22</v>
      </c>
      <c r="D779" s="10" t="e" cm="1">
        <f t="array" ref="D779">INDEX($H$2:$H$35, MATCH(1, (A779 &gt;= $F$2:$F$35) * (A779 &lt;= $G$2:$G$35), 0))</f>
        <v>#N/A</v>
      </c>
      <c r="E779" s="10" t="str">
        <f>IF(COUNTIF('Top5'!I:I, D779) &gt; 0, "Yes", "No")</f>
        <v>No</v>
      </c>
      <c r="F779" s="10"/>
      <c r="G779">
        <v>45749</v>
      </c>
      <c r="H779">
        <v>0.66180555555555554</v>
      </c>
      <c r="I779" t="s">
        <v>22</v>
      </c>
      <c r="J779" t="s">
        <v>34</v>
      </c>
      <c r="K779" t="s">
        <v>69</v>
      </c>
    </row>
    <row r="780" spans="1:11">
      <c r="A780" s="11">
        <v>45749</v>
      </c>
      <c r="B780" s="14">
        <v>0.66319444444444442</v>
      </c>
      <c r="C780" s="10" t="s">
        <v>22</v>
      </c>
      <c r="D780" s="10" t="e" cm="1">
        <f t="array" ref="D780">INDEX($H$2:$H$35, MATCH(1, (A780 &gt;= $F$2:$F$35) * (A780 &lt;= $G$2:$G$35), 0))</f>
        <v>#N/A</v>
      </c>
      <c r="E780" s="10" t="str">
        <f>IF(COUNTIF('Top5'!I:I, D780) &gt; 0, "Yes", "No")</f>
        <v>No</v>
      </c>
      <c r="F780" s="10"/>
      <c r="G780">
        <v>45749</v>
      </c>
      <c r="H780">
        <v>0.66319444444444442</v>
      </c>
      <c r="I780" t="s">
        <v>22</v>
      </c>
      <c r="J780" t="s">
        <v>34</v>
      </c>
      <c r="K780" t="s">
        <v>69</v>
      </c>
    </row>
    <row r="781" spans="1:11">
      <c r="A781" s="11">
        <v>45749</v>
      </c>
      <c r="B781" s="14">
        <v>0.66319444444444442</v>
      </c>
      <c r="C781" s="10" t="s">
        <v>22</v>
      </c>
      <c r="D781" s="10" t="e" cm="1">
        <f t="array" ref="D781">INDEX($H$2:$H$35, MATCH(1, (A781 &gt;= $F$2:$F$35) * (A781 &lt;= $G$2:$G$35), 0))</f>
        <v>#N/A</v>
      </c>
      <c r="E781" s="10" t="str">
        <f>IF(COUNTIF('Top5'!I:I, D781) &gt; 0, "Yes", "No")</f>
        <v>No</v>
      </c>
      <c r="F781" s="10"/>
      <c r="G781">
        <v>45749</v>
      </c>
      <c r="H781">
        <v>0.66319444444444442</v>
      </c>
      <c r="I781" t="s">
        <v>22</v>
      </c>
      <c r="J781" t="s">
        <v>34</v>
      </c>
      <c r="K781" t="s">
        <v>69</v>
      </c>
    </row>
    <row r="782" spans="1:11">
      <c r="A782" s="11">
        <v>45749</v>
      </c>
      <c r="B782" s="14">
        <v>0.90902777777777777</v>
      </c>
      <c r="C782" s="10" t="s">
        <v>23</v>
      </c>
      <c r="D782" s="10" t="e" cm="1">
        <f t="array" ref="D782">INDEX($H$2:$H$35, MATCH(1, (A782 &gt;= $F$2:$F$35) * (A782 &lt;= $G$2:$G$35), 0))</f>
        <v>#N/A</v>
      </c>
      <c r="E782" s="10" t="str">
        <f>IF(COUNTIF('Top5'!I:I, D782) &gt; 0, "Yes", "No")</f>
        <v>No</v>
      </c>
      <c r="F782" s="10"/>
      <c r="G782">
        <v>45749</v>
      </c>
      <c r="H782">
        <v>0.90902777777777777</v>
      </c>
      <c r="I782" t="s">
        <v>23</v>
      </c>
      <c r="J782" t="s">
        <v>34</v>
      </c>
      <c r="K782" t="s">
        <v>69</v>
      </c>
    </row>
    <row r="783" spans="1:11">
      <c r="A783" s="11">
        <v>45750</v>
      </c>
      <c r="B783" s="14">
        <v>0.43263888888888891</v>
      </c>
      <c r="C783" s="10" t="s">
        <v>22</v>
      </c>
      <c r="D783" s="10" t="e" cm="1">
        <f t="array" ref="D783">INDEX($H$2:$H$35, MATCH(1, (A783 &gt;= $F$2:$F$35) * (A783 &lt;= $G$2:$G$35), 0))</f>
        <v>#N/A</v>
      </c>
      <c r="E783" s="10" t="str">
        <f>IF(COUNTIF('Top5'!I:I, D783) &gt; 0, "Yes", "No")</f>
        <v>No</v>
      </c>
      <c r="F783" s="10"/>
      <c r="G783">
        <v>45750</v>
      </c>
      <c r="H783">
        <v>0.43263888888888891</v>
      </c>
      <c r="I783" t="s">
        <v>22</v>
      </c>
      <c r="J783" t="s">
        <v>34</v>
      </c>
      <c r="K783" t="s">
        <v>69</v>
      </c>
    </row>
    <row r="784" spans="1:11">
      <c r="A784" s="11">
        <v>45750</v>
      </c>
      <c r="B784" s="14">
        <v>0.48680555555555555</v>
      </c>
      <c r="C784" s="10" t="s">
        <v>22</v>
      </c>
      <c r="D784" s="10" t="e" cm="1">
        <f t="array" ref="D784">INDEX($H$2:$H$35, MATCH(1, (A784 &gt;= $F$2:$F$35) * (A784 &lt;= $G$2:$G$35), 0))</f>
        <v>#N/A</v>
      </c>
      <c r="E784" s="10" t="str">
        <f>IF(COUNTIF('Top5'!I:I, D784) &gt; 0, "Yes", "No")</f>
        <v>No</v>
      </c>
      <c r="F784" s="10"/>
      <c r="G784">
        <v>45750</v>
      </c>
      <c r="H784">
        <v>0.48680555555555555</v>
      </c>
      <c r="I784" t="s">
        <v>22</v>
      </c>
      <c r="J784" t="s">
        <v>34</v>
      </c>
      <c r="K784" t="s">
        <v>69</v>
      </c>
    </row>
    <row r="785" spans="1:11">
      <c r="A785" s="11">
        <v>45750</v>
      </c>
      <c r="B785" s="14">
        <v>0.50069444444444444</v>
      </c>
      <c r="C785" s="10" t="s">
        <v>22</v>
      </c>
      <c r="D785" s="10" t="e" cm="1">
        <f t="array" ref="D785">INDEX($H$2:$H$35, MATCH(1, (A785 &gt;= $F$2:$F$35) * (A785 &lt;= $G$2:$G$35), 0))</f>
        <v>#N/A</v>
      </c>
      <c r="E785" s="10" t="str">
        <f>IF(COUNTIF('Top5'!I:I, D785) &gt; 0, "Yes", "No")</f>
        <v>No</v>
      </c>
      <c r="F785" s="10"/>
      <c r="G785">
        <v>45750</v>
      </c>
      <c r="H785">
        <v>0.50069444444444444</v>
      </c>
      <c r="I785" t="s">
        <v>22</v>
      </c>
      <c r="J785" t="s">
        <v>34</v>
      </c>
      <c r="K785" t="s">
        <v>69</v>
      </c>
    </row>
    <row r="786" spans="1:11">
      <c r="A786" s="11">
        <v>45750</v>
      </c>
      <c r="B786" s="14">
        <v>0.51111111111111107</v>
      </c>
      <c r="C786" s="10" t="s">
        <v>22</v>
      </c>
      <c r="D786" s="10" t="e" cm="1">
        <f t="array" ref="D786">INDEX($H$2:$H$35, MATCH(1, (A786 &gt;= $F$2:$F$35) * (A786 &lt;= $G$2:$G$35), 0))</f>
        <v>#N/A</v>
      </c>
      <c r="E786" s="10" t="str">
        <f>IF(COUNTIF('Top5'!I:I, D786) &gt; 0, "Yes", "No")</f>
        <v>No</v>
      </c>
      <c r="F786" s="10"/>
      <c r="G786">
        <v>45750</v>
      </c>
      <c r="H786">
        <v>0.51111111111111107</v>
      </c>
      <c r="I786" t="s">
        <v>22</v>
      </c>
      <c r="J786" t="s">
        <v>34</v>
      </c>
      <c r="K786" t="s">
        <v>69</v>
      </c>
    </row>
    <row r="787" spans="1:11">
      <c r="A787" s="11">
        <v>45750</v>
      </c>
      <c r="B787" s="14">
        <v>0.51180555555555551</v>
      </c>
      <c r="C787" s="10" t="s">
        <v>22</v>
      </c>
      <c r="D787" s="10" t="e" cm="1">
        <f t="array" ref="D787">INDEX($H$2:$H$35, MATCH(1, (A787 &gt;= $F$2:$F$35) * (A787 &lt;= $G$2:$G$35), 0))</f>
        <v>#N/A</v>
      </c>
      <c r="E787" s="10" t="str">
        <f>IF(COUNTIF('Top5'!I:I, D787) &gt; 0, "Yes", "No")</f>
        <v>No</v>
      </c>
      <c r="F787" s="10"/>
      <c r="G787">
        <v>45750</v>
      </c>
      <c r="H787">
        <v>0.51180555555555551</v>
      </c>
      <c r="I787" t="s">
        <v>22</v>
      </c>
      <c r="J787" t="s">
        <v>34</v>
      </c>
      <c r="K787" t="s">
        <v>69</v>
      </c>
    </row>
    <row r="788" spans="1:11">
      <c r="A788" s="11">
        <v>45750</v>
      </c>
      <c r="B788" s="14">
        <v>0.57222222222222219</v>
      </c>
      <c r="C788" s="10" t="s">
        <v>22</v>
      </c>
      <c r="D788" s="10" t="e" cm="1">
        <f t="array" ref="D788">INDEX($H$2:$H$35, MATCH(1, (A788 &gt;= $F$2:$F$35) * (A788 &lt;= $G$2:$G$35), 0))</f>
        <v>#N/A</v>
      </c>
      <c r="E788" s="10" t="str">
        <f>IF(COUNTIF('Top5'!I:I, D788) &gt; 0, "Yes", "No")</f>
        <v>No</v>
      </c>
      <c r="F788" s="10"/>
      <c r="G788">
        <v>45750</v>
      </c>
      <c r="H788">
        <v>0.57222222222222219</v>
      </c>
      <c r="I788" t="s">
        <v>22</v>
      </c>
      <c r="J788" t="s">
        <v>34</v>
      </c>
      <c r="K788" t="s">
        <v>69</v>
      </c>
    </row>
    <row r="789" spans="1:11">
      <c r="A789" s="11">
        <v>45750</v>
      </c>
      <c r="B789" s="14">
        <v>0.74375000000000002</v>
      </c>
      <c r="C789" s="10" t="s">
        <v>23</v>
      </c>
      <c r="D789" s="10" t="e" cm="1">
        <f t="array" ref="D789">INDEX($H$2:$H$35, MATCH(1, (A789 &gt;= $F$2:$F$35) * (A789 &lt;= $G$2:$G$35), 0))</f>
        <v>#N/A</v>
      </c>
      <c r="E789" s="10" t="str">
        <f>IF(COUNTIF('Top5'!I:I, D789) &gt; 0, "Yes", "No")</f>
        <v>No</v>
      </c>
      <c r="F789" s="10"/>
      <c r="G789">
        <v>45750</v>
      </c>
      <c r="H789">
        <v>0.74375000000000002</v>
      </c>
      <c r="I789" t="s">
        <v>23</v>
      </c>
      <c r="J789" t="s">
        <v>34</v>
      </c>
      <c r="K789" t="s">
        <v>69</v>
      </c>
    </row>
    <row r="790" spans="1:11">
      <c r="A790" s="11">
        <v>45750</v>
      </c>
      <c r="B790" s="14">
        <v>0.76458333333333328</v>
      </c>
      <c r="C790" s="10" t="s">
        <v>23</v>
      </c>
      <c r="D790" s="10" t="e" cm="1">
        <f t="array" ref="D790">INDEX($H$2:$H$35, MATCH(1, (A790 &gt;= $F$2:$F$35) * (A790 &lt;= $G$2:$G$35), 0))</f>
        <v>#N/A</v>
      </c>
      <c r="E790" s="10" t="str">
        <f>IF(COUNTIF('Top5'!I:I, D790) &gt; 0, "Yes", "No")</f>
        <v>No</v>
      </c>
      <c r="F790" s="10"/>
      <c r="G790">
        <v>45750</v>
      </c>
      <c r="H790">
        <v>0.76458333333333328</v>
      </c>
      <c r="I790" t="s">
        <v>23</v>
      </c>
      <c r="J790" t="s">
        <v>34</v>
      </c>
      <c r="K790" t="s">
        <v>69</v>
      </c>
    </row>
    <row r="791" spans="1:11">
      <c r="A791" s="11">
        <v>45750</v>
      </c>
      <c r="B791" s="14">
        <v>0.77152777777777781</v>
      </c>
      <c r="C791" s="10" t="s">
        <v>23</v>
      </c>
      <c r="D791" s="10" t="e" cm="1">
        <f t="array" ref="D791">INDEX($H$2:$H$35, MATCH(1, (A791 &gt;= $F$2:$F$35) * (A791 &lt;= $G$2:$G$35), 0))</f>
        <v>#N/A</v>
      </c>
      <c r="E791" s="10" t="str">
        <f>IF(COUNTIF('Top5'!I:I, D791) &gt; 0, "Yes", "No")</f>
        <v>No</v>
      </c>
      <c r="F791" s="10"/>
      <c r="G791">
        <v>45750</v>
      </c>
      <c r="H791">
        <v>0.77152777777777781</v>
      </c>
      <c r="I791" t="s">
        <v>23</v>
      </c>
      <c r="J791" t="s">
        <v>34</v>
      </c>
      <c r="K791" t="s">
        <v>69</v>
      </c>
    </row>
    <row r="792" spans="1:11">
      <c r="A792" s="11">
        <v>45750</v>
      </c>
      <c r="B792" s="14">
        <v>0.81736111111111109</v>
      </c>
      <c r="C792" s="10" t="s">
        <v>23</v>
      </c>
      <c r="D792" s="10" t="e" cm="1">
        <f t="array" ref="D792">INDEX($H$2:$H$35, MATCH(1, (A792 &gt;= $F$2:$F$35) * (A792 &lt;= $G$2:$G$35), 0))</f>
        <v>#N/A</v>
      </c>
      <c r="E792" s="10" t="str">
        <f>IF(COUNTIF('Top5'!I:I, D792) &gt; 0, "Yes", "No")</f>
        <v>No</v>
      </c>
      <c r="F792" s="10"/>
      <c r="G792">
        <v>45750</v>
      </c>
      <c r="H792">
        <v>0.81736111111111109</v>
      </c>
      <c r="I792" t="s">
        <v>23</v>
      </c>
      <c r="J792" t="s">
        <v>34</v>
      </c>
      <c r="K792" t="s">
        <v>69</v>
      </c>
    </row>
    <row r="793" spans="1:11">
      <c r="A793" s="11">
        <v>45750</v>
      </c>
      <c r="B793" s="14">
        <v>0.88194444444444442</v>
      </c>
      <c r="C793" s="10" t="s">
        <v>23</v>
      </c>
      <c r="D793" s="10" t="e" cm="1">
        <f t="array" ref="D793">INDEX($H$2:$H$35, MATCH(1, (A793 &gt;= $F$2:$F$35) * (A793 &lt;= $G$2:$G$35), 0))</f>
        <v>#N/A</v>
      </c>
      <c r="E793" s="10" t="str">
        <f>IF(COUNTIF('Top5'!I:I, D793) &gt; 0, "Yes", "No")</f>
        <v>No</v>
      </c>
      <c r="F793" s="10"/>
      <c r="G793">
        <v>45750</v>
      </c>
      <c r="H793">
        <v>0.88194444444444442</v>
      </c>
      <c r="I793" t="s">
        <v>23</v>
      </c>
      <c r="J793" t="s">
        <v>34</v>
      </c>
      <c r="K793" t="s">
        <v>69</v>
      </c>
    </row>
    <row r="794" spans="1:11">
      <c r="A794" s="11">
        <v>45751</v>
      </c>
      <c r="B794" s="14">
        <v>1.1111111111111112E-2</v>
      </c>
      <c r="C794" s="10" t="s">
        <v>23</v>
      </c>
      <c r="D794" s="10" t="e" cm="1">
        <f t="array" ref="D794">INDEX($H$2:$H$35, MATCH(1, (A794 &gt;= $F$2:$F$35) * (A794 &lt;= $G$2:$G$35), 0))</f>
        <v>#N/A</v>
      </c>
      <c r="E794" s="10" t="str">
        <f>IF(COUNTIF('Top5'!I:I, D794) &gt; 0, "Yes", "No")</f>
        <v>No</v>
      </c>
      <c r="F794" s="10"/>
      <c r="G794">
        <v>45751</v>
      </c>
      <c r="H794">
        <v>1.1111111111111112E-2</v>
      </c>
      <c r="I794" t="s">
        <v>23</v>
      </c>
      <c r="J794" t="s">
        <v>34</v>
      </c>
      <c r="K794" t="s">
        <v>69</v>
      </c>
    </row>
    <row r="795" spans="1:11">
      <c r="A795" s="11">
        <v>45751</v>
      </c>
      <c r="B795" s="14">
        <v>1.1111111111111112E-2</v>
      </c>
      <c r="C795" s="10" t="s">
        <v>23</v>
      </c>
      <c r="D795" s="10" t="e" cm="1">
        <f t="array" ref="D795">INDEX($H$2:$H$35, MATCH(1, (A795 &gt;= $F$2:$F$35) * (A795 &lt;= $G$2:$G$35), 0))</f>
        <v>#N/A</v>
      </c>
      <c r="E795" s="10" t="str">
        <f>IF(COUNTIF('Top5'!I:I, D795) &gt; 0, "Yes", "No")</f>
        <v>No</v>
      </c>
      <c r="F795" s="10"/>
      <c r="G795">
        <v>45751</v>
      </c>
      <c r="H795">
        <v>1.1111111111111112E-2</v>
      </c>
      <c r="I795" t="s">
        <v>23</v>
      </c>
      <c r="J795" t="s">
        <v>34</v>
      </c>
      <c r="K795" t="s">
        <v>69</v>
      </c>
    </row>
    <row r="796" spans="1:11">
      <c r="A796" s="11">
        <v>45751</v>
      </c>
      <c r="B796" s="14">
        <v>0.7368055555555556</v>
      </c>
      <c r="C796" s="10" t="s">
        <v>23</v>
      </c>
      <c r="D796" s="10" t="e" cm="1">
        <f t="array" ref="D796">INDEX($H$2:$H$35, MATCH(1, (A796 &gt;= $F$2:$F$35) * (A796 &lt;= $G$2:$G$35), 0))</f>
        <v>#N/A</v>
      </c>
      <c r="E796" s="10" t="str">
        <f>IF(COUNTIF('Top5'!I:I, D796) &gt; 0, "Yes", "No")</f>
        <v>No</v>
      </c>
      <c r="F796" s="10"/>
      <c r="G796">
        <v>45751</v>
      </c>
      <c r="H796">
        <v>0.7368055555555556</v>
      </c>
      <c r="I796" t="s">
        <v>23</v>
      </c>
      <c r="J796" t="s">
        <v>34</v>
      </c>
      <c r="K796" t="s">
        <v>69</v>
      </c>
    </row>
    <row r="797" spans="1:11">
      <c r="A797" s="11">
        <v>45751</v>
      </c>
      <c r="B797" s="14">
        <v>0.89652777777777781</v>
      </c>
      <c r="C797" s="10" t="s">
        <v>23</v>
      </c>
      <c r="D797" s="10" t="e" cm="1">
        <f t="array" ref="D797">INDEX($H$2:$H$35, MATCH(1, (A797 &gt;= $F$2:$F$35) * (A797 &lt;= $G$2:$G$35), 0))</f>
        <v>#N/A</v>
      </c>
      <c r="E797" s="10" t="str">
        <f>IF(COUNTIF('Top5'!I:I, D797) &gt; 0, "Yes", "No")</f>
        <v>No</v>
      </c>
      <c r="F797" s="10"/>
      <c r="G797">
        <v>45751</v>
      </c>
      <c r="H797">
        <v>0.89652777777777781</v>
      </c>
      <c r="I797" t="s">
        <v>23</v>
      </c>
      <c r="J797" t="s">
        <v>34</v>
      </c>
      <c r="K797" t="s">
        <v>69</v>
      </c>
    </row>
    <row r="798" spans="1:11">
      <c r="A798" s="11">
        <v>45752</v>
      </c>
      <c r="B798" s="14">
        <v>0.41944444444444445</v>
      </c>
      <c r="C798" s="10" t="s">
        <v>22</v>
      </c>
      <c r="D798" s="10" t="e" cm="1">
        <f t="array" ref="D798">INDEX($H$2:$H$35, MATCH(1, (A798 &gt;= $F$2:$F$35) * (A798 &lt;= $G$2:$G$35), 0))</f>
        <v>#N/A</v>
      </c>
      <c r="E798" s="10" t="str">
        <f>IF(COUNTIF('Top5'!I:I, D798) &gt; 0, "Yes", "No")</f>
        <v>No</v>
      </c>
      <c r="F798" s="10"/>
      <c r="G798">
        <v>45752</v>
      </c>
      <c r="H798">
        <v>0.41944444444444445</v>
      </c>
      <c r="I798" t="s">
        <v>22</v>
      </c>
      <c r="J798" t="s">
        <v>34</v>
      </c>
      <c r="K798" t="s">
        <v>69</v>
      </c>
    </row>
    <row r="799" spans="1:11">
      <c r="A799" s="11">
        <v>45752</v>
      </c>
      <c r="B799" s="14">
        <v>0.42291666666666666</v>
      </c>
      <c r="C799" s="10" t="s">
        <v>22</v>
      </c>
      <c r="D799" s="10" t="e" cm="1">
        <f t="array" ref="D799">INDEX($H$2:$H$35, MATCH(1, (A799 &gt;= $F$2:$F$35) * (A799 &lt;= $G$2:$G$35), 0))</f>
        <v>#N/A</v>
      </c>
      <c r="E799" s="10" t="str">
        <f>IF(COUNTIF('Top5'!I:I, D799) &gt; 0, "Yes", "No")</f>
        <v>No</v>
      </c>
      <c r="F799" s="10"/>
      <c r="G799">
        <v>45752</v>
      </c>
      <c r="H799">
        <v>0.42291666666666666</v>
      </c>
      <c r="I799" t="s">
        <v>22</v>
      </c>
      <c r="J799" t="s">
        <v>34</v>
      </c>
      <c r="K799" t="s">
        <v>69</v>
      </c>
    </row>
    <row r="800" spans="1:11">
      <c r="A800" s="11">
        <v>45752</v>
      </c>
      <c r="B800" s="14">
        <v>0.49861111111111112</v>
      </c>
      <c r="C800" s="10" t="s">
        <v>22</v>
      </c>
      <c r="D800" s="10" t="e" cm="1">
        <f t="array" ref="D800">INDEX($H$2:$H$35, MATCH(1, (A800 &gt;= $F$2:$F$35) * (A800 &lt;= $G$2:$G$35), 0))</f>
        <v>#N/A</v>
      </c>
      <c r="E800" s="10" t="str">
        <f>IF(COUNTIF('Top5'!I:I, D800) &gt; 0, "Yes", "No")</f>
        <v>No</v>
      </c>
      <c r="F800" s="10"/>
      <c r="G800">
        <v>45752</v>
      </c>
      <c r="H800">
        <v>0.49861111111111112</v>
      </c>
      <c r="I800" t="s">
        <v>22</v>
      </c>
      <c r="J800" t="s">
        <v>34</v>
      </c>
      <c r="K800" t="s">
        <v>69</v>
      </c>
    </row>
    <row r="801" spans="1:11">
      <c r="A801" s="11">
        <v>45752</v>
      </c>
      <c r="B801" s="14">
        <v>0.53402777777777777</v>
      </c>
      <c r="C801" s="10" t="s">
        <v>22</v>
      </c>
      <c r="D801" s="10" t="e" cm="1">
        <f t="array" ref="D801">INDEX($H$2:$H$35, MATCH(1, (A801 &gt;= $F$2:$F$35) * (A801 &lt;= $G$2:$G$35), 0))</f>
        <v>#N/A</v>
      </c>
      <c r="E801" s="10" t="str">
        <f>IF(COUNTIF('Top5'!I:I, D801) &gt; 0, "Yes", "No")</f>
        <v>No</v>
      </c>
      <c r="F801" s="10"/>
      <c r="G801">
        <v>45752</v>
      </c>
      <c r="H801">
        <v>0.53402777777777777</v>
      </c>
      <c r="I801" t="s">
        <v>22</v>
      </c>
      <c r="J801" t="s">
        <v>34</v>
      </c>
      <c r="K801" t="s">
        <v>69</v>
      </c>
    </row>
    <row r="802" spans="1:11">
      <c r="A802" s="11">
        <v>45752</v>
      </c>
      <c r="B802" s="14">
        <v>0.53541666666666665</v>
      </c>
      <c r="C802" s="10" t="s">
        <v>22</v>
      </c>
      <c r="D802" s="10" t="e" cm="1">
        <f t="array" ref="D802">INDEX($H$2:$H$35, MATCH(1, (A802 &gt;= $F$2:$F$35) * (A802 &lt;= $G$2:$G$35), 0))</f>
        <v>#N/A</v>
      </c>
      <c r="E802" s="10" t="str">
        <f>IF(COUNTIF('Top5'!I:I, D802) &gt; 0, "Yes", "No")</f>
        <v>No</v>
      </c>
      <c r="F802" s="10"/>
      <c r="G802">
        <v>45752</v>
      </c>
      <c r="H802">
        <v>0.53541666666666665</v>
      </c>
      <c r="I802" t="s">
        <v>22</v>
      </c>
      <c r="J802" t="s">
        <v>34</v>
      </c>
      <c r="K802" t="s">
        <v>69</v>
      </c>
    </row>
    <row r="803" spans="1:11">
      <c r="A803" s="11">
        <v>45752</v>
      </c>
      <c r="B803" s="14">
        <v>0.53819444444444442</v>
      </c>
      <c r="C803" s="10" t="s">
        <v>22</v>
      </c>
      <c r="D803" s="10" t="e" cm="1">
        <f t="array" ref="D803">INDEX($H$2:$H$35, MATCH(1, (A803 &gt;= $F$2:$F$35) * (A803 &lt;= $G$2:$G$35), 0))</f>
        <v>#N/A</v>
      </c>
      <c r="E803" s="10" t="str">
        <f>IF(COUNTIF('Top5'!I:I, D803) &gt; 0, "Yes", "No")</f>
        <v>No</v>
      </c>
      <c r="F803" s="10"/>
      <c r="G803">
        <v>45752</v>
      </c>
      <c r="H803">
        <v>0.53819444444444442</v>
      </c>
      <c r="I803" t="s">
        <v>22</v>
      </c>
      <c r="J803" t="s">
        <v>34</v>
      </c>
      <c r="K803" t="s">
        <v>69</v>
      </c>
    </row>
    <row r="804" spans="1:11">
      <c r="A804" s="11">
        <v>45752</v>
      </c>
      <c r="B804" s="14">
        <v>0.59930555555555554</v>
      </c>
      <c r="C804" s="10" t="s">
        <v>22</v>
      </c>
      <c r="D804" s="10" t="e" cm="1">
        <f t="array" ref="D804">INDEX($H$2:$H$35, MATCH(1, (A804 &gt;= $F$2:$F$35) * (A804 &lt;= $G$2:$G$35), 0))</f>
        <v>#N/A</v>
      </c>
      <c r="E804" s="10" t="str">
        <f>IF(COUNTIF('Top5'!I:I, D804) &gt; 0, "Yes", "No")</f>
        <v>No</v>
      </c>
      <c r="F804" s="10"/>
      <c r="G804">
        <v>45752</v>
      </c>
      <c r="H804">
        <v>0.59930555555555554</v>
      </c>
      <c r="I804" t="s">
        <v>22</v>
      </c>
      <c r="J804" t="s">
        <v>34</v>
      </c>
      <c r="K804" t="s">
        <v>69</v>
      </c>
    </row>
    <row r="805" spans="1:11">
      <c r="A805" s="11">
        <v>45752</v>
      </c>
      <c r="B805" s="14">
        <v>0.79027777777777775</v>
      </c>
      <c r="C805" s="10" t="s">
        <v>23</v>
      </c>
      <c r="D805" s="10" t="e" cm="1">
        <f t="array" ref="D805">INDEX($H$2:$H$35, MATCH(1, (A805 &gt;= $F$2:$F$35) * (A805 &lt;= $G$2:$G$35), 0))</f>
        <v>#N/A</v>
      </c>
      <c r="E805" s="10" t="str">
        <f>IF(COUNTIF('Top5'!I:I, D805) &gt; 0, "Yes", "No")</f>
        <v>No</v>
      </c>
      <c r="F805" s="10"/>
      <c r="G805">
        <v>45752</v>
      </c>
      <c r="H805">
        <v>0.79027777777777775</v>
      </c>
      <c r="I805" t="s">
        <v>23</v>
      </c>
      <c r="J805" t="s">
        <v>34</v>
      </c>
      <c r="K805" t="s">
        <v>69</v>
      </c>
    </row>
    <row r="806" spans="1:11">
      <c r="A806" s="11">
        <v>45752</v>
      </c>
      <c r="B806" s="14">
        <v>0.87638888888888888</v>
      </c>
      <c r="C806" s="10" t="s">
        <v>23</v>
      </c>
      <c r="D806" s="10" t="e" cm="1">
        <f t="array" ref="D806">INDEX($H$2:$H$35, MATCH(1, (A806 &gt;= $F$2:$F$35) * (A806 &lt;= $G$2:$G$35), 0))</f>
        <v>#N/A</v>
      </c>
      <c r="E806" s="10" t="str">
        <f>IF(COUNTIF('Top5'!I:I, D806) &gt; 0, "Yes", "No")</f>
        <v>No</v>
      </c>
      <c r="F806" s="10"/>
      <c r="G806">
        <v>45752</v>
      </c>
      <c r="H806">
        <v>0.87638888888888888</v>
      </c>
      <c r="I806" t="s">
        <v>23</v>
      </c>
      <c r="J806" t="s">
        <v>34</v>
      </c>
      <c r="K806" t="s">
        <v>69</v>
      </c>
    </row>
    <row r="807" spans="1:11">
      <c r="A807" s="11">
        <v>45752</v>
      </c>
      <c r="B807" s="14">
        <v>0.88055555555555554</v>
      </c>
      <c r="C807" s="10" t="s">
        <v>23</v>
      </c>
      <c r="D807" s="10" t="e" cm="1">
        <f t="array" ref="D807">INDEX($H$2:$H$35, MATCH(1, (A807 &gt;= $F$2:$F$35) * (A807 &lt;= $G$2:$G$35), 0))</f>
        <v>#N/A</v>
      </c>
      <c r="E807" s="10" t="str">
        <f>IF(COUNTIF('Top5'!I:I, D807) &gt; 0, "Yes", "No")</f>
        <v>No</v>
      </c>
      <c r="F807" s="10"/>
      <c r="G807">
        <v>45752</v>
      </c>
      <c r="H807">
        <v>0.88055555555555554</v>
      </c>
      <c r="I807" t="s">
        <v>23</v>
      </c>
      <c r="J807" t="s">
        <v>34</v>
      </c>
      <c r="K807" t="s">
        <v>69</v>
      </c>
    </row>
    <row r="808" spans="1:11">
      <c r="A808" s="11">
        <v>45753</v>
      </c>
      <c r="B808" s="14">
        <v>0.38124999999999998</v>
      </c>
      <c r="C808" s="10" t="s">
        <v>22</v>
      </c>
      <c r="D808" s="10" t="e" cm="1">
        <f t="array" ref="D808">INDEX($H$2:$H$35, MATCH(1, (A808 &gt;= $F$2:$F$35) * (A808 &lt;= $G$2:$G$35), 0))</f>
        <v>#N/A</v>
      </c>
      <c r="E808" s="10" t="str">
        <f>IF(COUNTIF('Top5'!I:I, D808) &gt; 0, "Yes", "No")</f>
        <v>No</v>
      </c>
      <c r="F808" s="10"/>
      <c r="G808">
        <v>45753</v>
      </c>
      <c r="H808">
        <v>0.38124999999999998</v>
      </c>
      <c r="I808" t="s">
        <v>22</v>
      </c>
      <c r="J808" t="s">
        <v>34</v>
      </c>
      <c r="K808" t="s">
        <v>69</v>
      </c>
    </row>
    <row r="809" spans="1:11">
      <c r="A809" s="11">
        <v>45753</v>
      </c>
      <c r="B809" s="14">
        <v>0.38194444444444442</v>
      </c>
      <c r="C809" s="10" t="s">
        <v>22</v>
      </c>
      <c r="D809" s="10" t="e" cm="1">
        <f t="array" ref="D809">INDEX($H$2:$H$35, MATCH(1, (A809 &gt;= $F$2:$F$35) * (A809 &lt;= $G$2:$G$35), 0))</f>
        <v>#N/A</v>
      </c>
      <c r="E809" s="10" t="str">
        <f>IF(COUNTIF('Top5'!I:I, D809) &gt; 0, "Yes", "No")</f>
        <v>No</v>
      </c>
      <c r="F809" s="10"/>
      <c r="G809">
        <v>45753</v>
      </c>
      <c r="H809">
        <v>0.38194444444444442</v>
      </c>
      <c r="I809" t="s">
        <v>22</v>
      </c>
      <c r="J809" t="s">
        <v>34</v>
      </c>
      <c r="K809" t="s">
        <v>69</v>
      </c>
    </row>
    <row r="810" spans="1:11">
      <c r="A810" s="11">
        <v>45753</v>
      </c>
      <c r="B810" s="14">
        <v>0.38263888888888886</v>
      </c>
      <c r="C810" s="10" t="s">
        <v>22</v>
      </c>
      <c r="D810" s="10" t="e" cm="1">
        <f t="array" ref="D810">INDEX($H$2:$H$35, MATCH(1, (A810 &gt;= $F$2:$F$35) * (A810 &lt;= $G$2:$G$35), 0))</f>
        <v>#N/A</v>
      </c>
      <c r="E810" s="10" t="str">
        <f>IF(COUNTIF('Top5'!I:I, D810) &gt; 0, "Yes", "No")</f>
        <v>No</v>
      </c>
      <c r="F810" s="10"/>
      <c r="G810">
        <v>45753</v>
      </c>
      <c r="H810">
        <v>0.38263888888888886</v>
      </c>
      <c r="I810" t="s">
        <v>22</v>
      </c>
      <c r="J810" t="s">
        <v>34</v>
      </c>
      <c r="K810" t="s">
        <v>69</v>
      </c>
    </row>
    <row r="811" spans="1:11">
      <c r="A811" s="11">
        <v>45753</v>
      </c>
      <c r="B811" s="14">
        <v>0.60972222222222228</v>
      </c>
      <c r="C811" s="10" t="s">
        <v>22</v>
      </c>
      <c r="D811" s="10" t="e" cm="1">
        <f t="array" ref="D811">INDEX($H$2:$H$35, MATCH(1, (A811 &gt;= $F$2:$F$35) * (A811 &lt;= $G$2:$G$35), 0))</f>
        <v>#N/A</v>
      </c>
      <c r="E811" s="10" t="str">
        <f>IF(COUNTIF('Top5'!I:I, D811) &gt; 0, "Yes", "No")</f>
        <v>No</v>
      </c>
      <c r="F811" s="10"/>
      <c r="G811">
        <v>45753</v>
      </c>
      <c r="H811">
        <v>0.60972222222222228</v>
      </c>
      <c r="I811" t="s">
        <v>22</v>
      </c>
      <c r="J811" t="s">
        <v>34</v>
      </c>
      <c r="K811" t="s">
        <v>69</v>
      </c>
    </row>
    <row r="812" spans="1:11">
      <c r="A812" s="11">
        <v>45753</v>
      </c>
      <c r="B812" s="14">
        <v>0.69305555555555554</v>
      </c>
      <c r="C812" s="10" t="s">
        <v>22</v>
      </c>
      <c r="D812" s="10" t="e" cm="1">
        <f t="array" ref="D812">INDEX($H$2:$H$35, MATCH(1, (A812 &gt;= $F$2:$F$35) * (A812 &lt;= $G$2:$G$35), 0))</f>
        <v>#N/A</v>
      </c>
      <c r="E812" s="10" t="str">
        <f>IF(COUNTIF('Top5'!I:I, D812) &gt; 0, "Yes", "No")</f>
        <v>No</v>
      </c>
      <c r="F812" s="10"/>
      <c r="G812">
        <v>45753</v>
      </c>
      <c r="H812">
        <v>0.69305555555555554</v>
      </c>
      <c r="I812" t="s">
        <v>22</v>
      </c>
      <c r="J812" t="s">
        <v>34</v>
      </c>
      <c r="K812" t="s">
        <v>69</v>
      </c>
    </row>
    <row r="813" spans="1:11">
      <c r="A813" s="11">
        <v>45753</v>
      </c>
      <c r="B813" s="14">
        <v>0.69652777777777775</v>
      </c>
      <c r="C813" s="10" t="s">
        <v>22</v>
      </c>
      <c r="D813" s="10" t="e" cm="1">
        <f t="array" ref="D813">INDEX($H$2:$H$35, MATCH(1, (A813 &gt;= $F$2:$F$35) * (A813 &lt;= $G$2:$G$35), 0))</f>
        <v>#N/A</v>
      </c>
      <c r="E813" s="10" t="str">
        <f>IF(COUNTIF('Top5'!I:I, D813) &gt; 0, "Yes", "No")</f>
        <v>No</v>
      </c>
      <c r="F813" s="10"/>
      <c r="G813">
        <v>45753</v>
      </c>
      <c r="H813">
        <v>0.69652777777777775</v>
      </c>
      <c r="I813" t="s">
        <v>22</v>
      </c>
      <c r="J813" t="s">
        <v>34</v>
      </c>
      <c r="K813" t="s">
        <v>69</v>
      </c>
    </row>
    <row r="814" spans="1:11">
      <c r="A814" s="11">
        <v>45753</v>
      </c>
      <c r="B814" s="14">
        <v>0.98402777777777772</v>
      </c>
      <c r="C814" s="10" t="s">
        <v>23</v>
      </c>
      <c r="D814" s="10" t="e" cm="1">
        <f t="array" ref="D814">INDEX($H$2:$H$35, MATCH(1, (A814 &gt;= $F$2:$F$35) * (A814 &lt;= $G$2:$G$35), 0))</f>
        <v>#N/A</v>
      </c>
      <c r="E814" s="10" t="str">
        <f>IF(COUNTIF('Top5'!I:I, D814) &gt; 0, "Yes", "No")</f>
        <v>No</v>
      </c>
      <c r="F814" s="10"/>
      <c r="G814">
        <v>45753</v>
      </c>
      <c r="H814">
        <v>0.98402777777777772</v>
      </c>
      <c r="I814" t="s">
        <v>23</v>
      </c>
      <c r="J814" t="s">
        <v>34</v>
      </c>
      <c r="K814" t="s">
        <v>69</v>
      </c>
    </row>
    <row r="815" spans="1:11">
      <c r="A815" s="11">
        <v>45753</v>
      </c>
      <c r="B815" s="14">
        <v>0.99097222222222225</v>
      </c>
      <c r="C815" s="10" t="s">
        <v>23</v>
      </c>
      <c r="D815" s="10" t="e" cm="1">
        <f t="array" ref="D815">INDEX($H$2:$H$35, MATCH(1, (A815 &gt;= $F$2:$F$35) * (A815 &lt;= $G$2:$G$35), 0))</f>
        <v>#N/A</v>
      </c>
      <c r="E815" s="10" t="str">
        <f>IF(COUNTIF('Top5'!I:I, D815) &gt; 0, "Yes", "No")</f>
        <v>No</v>
      </c>
      <c r="F815" s="10"/>
      <c r="G815">
        <v>45753</v>
      </c>
      <c r="H815">
        <v>0.99097222222222225</v>
      </c>
      <c r="I815" t="s">
        <v>23</v>
      </c>
      <c r="J815" t="s">
        <v>34</v>
      </c>
      <c r="K815" t="s">
        <v>69</v>
      </c>
    </row>
    <row r="816" spans="1:11">
      <c r="A816" s="11">
        <v>45753</v>
      </c>
      <c r="B816" s="14">
        <v>0.99236111111111114</v>
      </c>
      <c r="C816" s="10" t="s">
        <v>23</v>
      </c>
      <c r="D816" s="10" t="e" cm="1">
        <f t="array" ref="D816">INDEX($H$2:$H$35, MATCH(1, (A816 &gt;= $F$2:$F$35) * (A816 &lt;= $G$2:$G$35), 0))</f>
        <v>#N/A</v>
      </c>
      <c r="E816" s="10" t="str">
        <f>IF(COUNTIF('Top5'!I:I, D816) &gt; 0, "Yes", "No")</f>
        <v>No</v>
      </c>
      <c r="F816" s="10"/>
      <c r="G816">
        <v>45753</v>
      </c>
      <c r="H816">
        <v>0.99236111111111114</v>
      </c>
      <c r="I816" t="s">
        <v>23</v>
      </c>
      <c r="J816" t="s">
        <v>34</v>
      </c>
      <c r="K816" t="s">
        <v>69</v>
      </c>
    </row>
    <row r="817" spans="1:11">
      <c r="A817" s="11">
        <v>45753</v>
      </c>
      <c r="B817" s="14">
        <v>0.99375000000000002</v>
      </c>
      <c r="C817" s="10" t="s">
        <v>23</v>
      </c>
      <c r="D817" s="10" t="e" cm="1">
        <f t="array" ref="D817">INDEX($H$2:$H$35, MATCH(1, (A817 &gt;= $F$2:$F$35) * (A817 &lt;= $G$2:$G$35), 0))</f>
        <v>#N/A</v>
      </c>
      <c r="E817" s="10" t="str">
        <f>IF(COUNTIF('Top5'!I:I, D817) &gt; 0, "Yes", "No")</f>
        <v>No</v>
      </c>
      <c r="F817" s="10"/>
      <c r="G817">
        <v>45753</v>
      </c>
      <c r="H817">
        <v>0.99375000000000002</v>
      </c>
      <c r="I817" t="s">
        <v>23</v>
      </c>
      <c r="J817" t="s">
        <v>34</v>
      </c>
      <c r="K817" t="s">
        <v>69</v>
      </c>
    </row>
    <row r="818" spans="1:11">
      <c r="A818" s="11">
        <v>45753</v>
      </c>
      <c r="B818" s="14">
        <v>0.99513888888888891</v>
      </c>
      <c r="C818" s="10" t="s">
        <v>23</v>
      </c>
      <c r="D818" s="10" t="e" cm="1">
        <f t="array" ref="D818">INDEX($H$2:$H$35, MATCH(1, (A818 &gt;= $F$2:$F$35) * (A818 &lt;= $G$2:$G$35), 0))</f>
        <v>#N/A</v>
      </c>
      <c r="E818" s="10" t="str">
        <f>IF(COUNTIF('Top5'!I:I, D818) &gt; 0, "Yes", "No")</f>
        <v>No</v>
      </c>
      <c r="F818" s="10"/>
      <c r="G818">
        <v>45753</v>
      </c>
      <c r="H818">
        <v>0.99513888888888891</v>
      </c>
      <c r="I818" t="s">
        <v>23</v>
      </c>
      <c r="J818" t="s">
        <v>34</v>
      </c>
      <c r="K818" t="s">
        <v>69</v>
      </c>
    </row>
    <row r="819" spans="1:11">
      <c r="A819" s="11">
        <v>45754</v>
      </c>
      <c r="B819" s="14">
        <v>1.3888888888888889E-3</v>
      </c>
      <c r="C819" s="10" t="s">
        <v>23</v>
      </c>
      <c r="D819" s="10" t="e" cm="1">
        <f t="array" ref="D819">INDEX($H$2:$H$35, MATCH(1, (A819 &gt;= $F$2:$F$35) * (A819 &lt;= $G$2:$G$35), 0))</f>
        <v>#N/A</v>
      </c>
      <c r="E819" s="10" t="str">
        <f>IF(COUNTIF('Top5'!I:I, D819) &gt; 0, "Yes", "No")</f>
        <v>No</v>
      </c>
      <c r="F819" s="10"/>
      <c r="G819">
        <v>45754</v>
      </c>
      <c r="H819">
        <v>1.3888888888888889E-3</v>
      </c>
      <c r="I819" t="s">
        <v>23</v>
      </c>
      <c r="J819" t="s">
        <v>34</v>
      </c>
      <c r="K819" t="s">
        <v>69</v>
      </c>
    </row>
    <row r="820" spans="1:11">
      <c r="A820" s="11">
        <v>45754</v>
      </c>
      <c r="B820" s="14">
        <v>7.6388888888888886E-3</v>
      </c>
      <c r="C820" s="10" t="s">
        <v>23</v>
      </c>
      <c r="D820" s="10" t="e" cm="1">
        <f t="array" ref="D820">INDEX($H$2:$H$35, MATCH(1, (A820 &gt;= $F$2:$F$35) * (A820 &lt;= $G$2:$G$35), 0))</f>
        <v>#N/A</v>
      </c>
      <c r="E820" s="10" t="str">
        <f>IF(COUNTIF('Top5'!I:I, D820) &gt; 0, "Yes", "No")</f>
        <v>No</v>
      </c>
      <c r="F820" s="10"/>
      <c r="G820">
        <v>45754</v>
      </c>
      <c r="H820">
        <v>7.6388888888888886E-3</v>
      </c>
      <c r="I820" t="s">
        <v>23</v>
      </c>
      <c r="J820" t="s">
        <v>34</v>
      </c>
      <c r="K820" t="s">
        <v>69</v>
      </c>
    </row>
    <row r="821" spans="1:11">
      <c r="A821" s="11">
        <v>45754</v>
      </c>
      <c r="B821" s="14">
        <v>0.75138888888888888</v>
      </c>
      <c r="C821" s="10" t="s">
        <v>23</v>
      </c>
      <c r="D821" s="10" t="e" cm="1">
        <f t="array" ref="D821">INDEX($H$2:$H$35, MATCH(1, (A821 &gt;= $F$2:$F$35) * (A821 &lt;= $G$2:$G$35), 0))</f>
        <v>#N/A</v>
      </c>
      <c r="E821" s="10" t="str">
        <f>IF(COUNTIF('Top5'!I:I, D821) &gt; 0, "Yes", "No")</f>
        <v>No</v>
      </c>
      <c r="F821" s="10"/>
      <c r="G821">
        <v>45754</v>
      </c>
      <c r="H821">
        <v>0.75138888888888888</v>
      </c>
      <c r="I821" t="s">
        <v>23</v>
      </c>
      <c r="J821" t="s">
        <v>34</v>
      </c>
      <c r="K821" t="s">
        <v>69</v>
      </c>
    </row>
    <row r="822" spans="1:11">
      <c r="A822" s="11">
        <v>45754</v>
      </c>
      <c r="B822" s="14">
        <v>0.75416666666666665</v>
      </c>
      <c r="C822" s="10" t="s">
        <v>23</v>
      </c>
      <c r="D822" s="10" t="e" cm="1">
        <f t="array" ref="D822">INDEX($H$2:$H$35, MATCH(1, (A822 &gt;= $F$2:$F$35) * (A822 &lt;= $G$2:$G$35), 0))</f>
        <v>#N/A</v>
      </c>
      <c r="E822" s="10" t="str">
        <f>IF(COUNTIF('Top5'!I:I, D822) &gt; 0, "Yes", "No")</f>
        <v>No</v>
      </c>
      <c r="F822" s="10"/>
      <c r="G822">
        <v>45754</v>
      </c>
      <c r="H822">
        <v>0.75416666666666665</v>
      </c>
      <c r="I822" t="s">
        <v>23</v>
      </c>
      <c r="J822" t="s">
        <v>34</v>
      </c>
      <c r="K822" t="s">
        <v>69</v>
      </c>
    </row>
    <row r="823" spans="1:11">
      <c r="A823" s="11">
        <v>45754</v>
      </c>
      <c r="B823" s="14">
        <v>0.77986111111111112</v>
      </c>
      <c r="C823" s="10" t="s">
        <v>23</v>
      </c>
      <c r="D823" s="10" t="e" cm="1">
        <f t="array" ref="D823">INDEX($H$2:$H$35, MATCH(1, (A823 &gt;= $F$2:$F$35) * (A823 &lt;= $G$2:$G$35), 0))</f>
        <v>#N/A</v>
      </c>
      <c r="E823" s="10" t="str">
        <f>IF(COUNTIF('Top5'!I:I, D823) &gt; 0, "Yes", "No")</f>
        <v>No</v>
      </c>
      <c r="F823" s="10"/>
      <c r="G823">
        <v>45754</v>
      </c>
      <c r="H823">
        <v>0.77986111111111112</v>
      </c>
      <c r="I823" t="s">
        <v>23</v>
      </c>
      <c r="J823" t="s">
        <v>34</v>
      </c>
      <c r="K823" t="s">
        <v>69</v>
      </c>
    </row>
    <row r="824" spans="1:11">
      <c r="A824" s="11">
        <v>45754</v>
      </c>
      <c r="B824" s="14">
        <v>0.98124999999999996</v>
      </c>
      <c r="C824" s="10" t="s">
        <v>23</v>
      </c>
      <c r="D824" s="10" t="e" cm="1">
        <f t="array" ref="D824">INDEX($H$2:$H$35, MATCH(1, (A824 &gt;= $F$2:$F$35) * (A824 &lt;= $G$2:$G$35), 0))</f>
        <v>#N/A</v>
      </c>
      <c r="E824" s="10" t="str">
        <f>IF(COUNTIF('Top5'!I:I, D824) &gt; 0, "Yes", "No")</f>
        <v>No</v>
      </c>
      <c r="F824" s="10"/>
      <c r="G824">
        <v>45754</v>
      </c>
      <c r="H824">
        <v>0.98124999999999996</v>
      </c>
      <c r="I824" t="s">
        <v>23</v>
      </c>
      <c r="J824" t="s">
        <v>34</v>
      </c>
      <c r="K824" t="s">
        <v>69</v>
      </c>
    </row>
    <row r="825" spans="1:11">
      <c r="A825" s="11">
        <v>45754</v>
      </c>
      <c r="B825" s="14">
        <v>0.9819444444444444</v>
      </c>
      <c r="C825" s="10" t="s">
        <v>23</v>
      </c>
      <c r="D825" s="10" t="e" cm="1">
        <f t="array" ref="D825">INDEX($H$2:$H$35, MATCH(1, (A825 &gt;= $F$2:$F$35) * (A825 &lt;= $G$2:$G$35), 0))</f>
        <v>#N/A</v>
      </c>
      <c r="E825" s="10" t="str">
        <f>IF(COUNTIF('Top5'!I:I, D825) &gt; 0, "Yes", "No")</f>
        <v>No</v>
      </c>
      <c r="F825" s="10"/>
      <c r="G825">
        <v>45754</v>
      </c>
      <c r="H825">
        <v>0.9819444444444444</v>
      </c>
      <c r="I825" t="s">
        <v>23</v>
      </c>
      <c r="J825" t="s">
        <v>34</v>
      </c>
      <c r="K825" t="s">
        <v>69</v>
      </c>
    </row>
    <row r="826" spans="1:11">
      <c r="A826" s="11">
        <v>45754</v>
      </c>
      <c r="B826" s="14">
        <v>0.98263888888888884</v>
      </c>
      <c r="C826" s="10" t="s">
        <v>23</v>
      </c>
      <c r="D826" s="10" t="e" cm="1">
        <f t="array" ref="D826">INDEX($H$2:$H$35, MATCH(1, (A826 &gt;= $F$2:$F$35) * (A826 &lt;= $G$2:$G$35), 0))</f>
        <v>#N/A</v>
      </c>
      <c r="E826" s="10" t="str">
        <f>IF(COUNTIF('Top5'!I:I, D826) &gt; 0, "Yes", "No")</f>
        <v>No</v>
      </c>
      <c r="F826" s="10"/>
      <c r="G826">
        <v>45754</v>
      </c>
      <c r="H826">
        <v>0.98263888888888884</v>
      </c>
      <c r="I826" t="s">
        <v>23</v>
      </c>
      <c r="J826" t="s">
        <v>34</v>
      </c>
      <c r="K826" t="s">
        <v>69</v>
      </c>
    </row>
    <row r="827" spans="1:11">
      <c r="A827" s="11">
        <v>45755</v>
      </c>
      <c r="B827" s="14">
        <v>0.4375</v>
      </c>
      <c r="C827" s="10" t="s">
        <v>22</v>
      </c>
      <c r="D827" s="10" t="e" cm="1">
        <f t="array" ref="D827">INDEX($H$2:$H$35, MATCH(1, (A827 &gt;= $F$2:$F$35) * (A827 &lt;= $G$2:$G$35), 0))</f>
        <v>#N/A</v>
      </c>
      <c r="E827" s="10" t="str">
        <f>IF(COUNTIF('Top5'!I:I, D827) &gt; 0, "Yes", "No")</f>
        <v>No</v>
      </c>
      <c r="F827" s="10"/>
      <c r="G827">
        <v>45755</v>
      </c>
      <c r="H827">
        <v>0.4375</v>
      </c>
      <c r="I827" t="s">
        <v>22</v>
      </c>
      <c r="J827" t="s">
        <v>42</v>
      </c>
      <c r="K827" t="s">
        <v>68</v>
      </c>
    </row>
    <row r="828" spans="1:11">
      <c r="A828" s="11">
        <v>45755</v>
      </c>
      <c r="B828" s="14">
        <v>0.4513888888888889</v>
      </c>
      <c r="C828" s="10" t="s">
        <v>22</v>
      </c>
      <c r="D828" s="10" t="e" cm="1">
        <f t="array" ref="D828">INDEX($H$2:$H$35, MATCH(1, (A828 &gt;= $F$2:$F$35) * (A828 &lt;= $G$2:$G$35), 0))</f>
        <v>#N/A</v>
      </c>
      <c r="E828" s="10" t="str">
        <f>IF(COUNTIF('Top5'!I:I, D828) &gt; 0, "Yes", "No")</f>
        <v>No</v>
      </c>
      <c r="F828" s="10"/>
      <c r="G828">
        <v>45755</v>
      </c>
      <c r="H828">
        <v>0.4513888888888889</v>
      </c>
      <c r="I828" t="s">
        <v>22</v>
      </c>
      <c r="J828" t="s">
        <v>42</v>
      </c>
      <c r="K828" t="s">
        <v>68</v>
      </c>
    </row>
    <row r="829" spans="1:11">
      <c r="A829" s="11">
        <v>45755</v>
      </c>
      <c r="B829" s="14">
        <v>0.5541666666666667</v>
      </c>
      <c r="C829" s="10" t="s">
        <v>22</v>
      </c>
      <c r="D829" s="10" t="e" cm="1">
        <f t="array" ref="D829">INDEX($H$2:$H$35, MATCH(1, (A829 &gt;= $F$2:$F$35) * (A829 &lt;= $G$2:$G$35), 0))</f>
        <v>#N/A</v>
      </c>
      <c r="E829" s="10" t="str">
        <f>IF(COUNTIF('Top5'!I:I, D829) &gt; 0, "Yes", "No")</f>
        <v>No</v>
      </c>
      <c r="F829" s="10"/>
      <c r="G829">
        <v>45755</v>
      </c>
      <c r="H829">
        <v>0.5541666666666667</v>
      </c>
      <c r="I829" t="s">
        <v>22</v>
      </c>
      <c r="J829" t="s">
        <v>42</v>
      </c>
      <c r="K829" t="s">
        <v>68</v>
      </c>
    </row>
    <row r="830" spans="1:11">
      <c r="A830" s="11">
        <v>45755</v>
      </c>
      <c r="B830" s="14">
        <v>0.5805555555555556</v>
      </c>
      <c r="C830" s="10" t="s">
        <v>22</v>
      </c>
      <c r="D830" s="10" t="e" cm="1">
        <f t="array" ref="D830">INDEX($H$2:$H$35, MATCH(1, (A830 &gt;= $F$2:$F$35) * (A830 &lt;= $G$2:$G$35), 0))</f>
        <v>#N/A</v>
      </c>
      <c r="E830" s="10" t="str">
        <f>IF(COUNTIF('Top5'!I:I, D830) &gt; 0, "Yes", "No")</f>
        <v>No</v>
      </c>
      <c r="F830" s="10"/>
      <c r="G830">
        <v>45755</v>
      </c>
      <c r="H830">
        <v>0.5805555555555556</v>
      </c>
      <c r="I830" t="s">
        <v>22</v>
      </c>
      <c r="J830" t="s">
        <v>42</v>
      </c>
      <c r="K830" t="s">
        <v>68</v>
      </c>
    </row>
    <row r="831" spans="1:11">
      <c r="A831" s="11">
        <v>45755</v>
      </c>
      <c r="B831" s="14">
        <v>0.73750000000000004</v>
      </c>
      <c r="C831" s="10" t="s">
        <v>23</v>
      </c>
      <c r="D831" s="10" t="e" cm="1">
        <f t="array" ref="D831">INDEX($H$2:$H$35, MATCH(1, (A831 &gt;= $F$2:$F$35) * (A831 &lt;= $G$2:$G$35), 0))</f>
        <v>#N/A</v>
      </c>
      <c r="E831" s="10" t="str">
        <f>IF(COUNTIF('Top5'!I:I, D831) &gt; 0, "Yes", "No")</f>
        <v>No</v>
      </c>
      <c r="F831" s="10"/>
      <c r="G831">
        <v>45755</v>
      </c>
      <c r="H831">
        <v>0.73750000000000004</v>
      </c>
      <c r="I831" t="s">
        <v>23</v>
      </c>
      <c r="J831" t="s">
        <v>42</v>
      </c>
      <c r="K831" t="s">
        <v>68</v>
      </c>
    </row>
    <row r="832" spans="1:11">
      <c r="A832" s="11">
        <v>45755</v>
      </c>
      <c r="B832" s="14">
        <v>0.94791666666666663</v>
      </c>
      <c r="C832" s="10" t="s">
        <v>23</v>
      </c>
      <c r="D832" s="10" t="e" cm="1">
        <f t="array" ref="D832">INDEX($H$2:$H$35, MATCH(1, (A832 &gt;= $F$2:$F$35) * (A832 &lt;= $G$2:$G$35), 0))</f>
        <v>#N/A</v>
      </c>
      <c r="E832" s="10" t="str">
        <f>IF(COUNTIF('Top5'!I:I, D832) &gt; 0, "Yes", "No")</f>
        <v>No</v>
      </c>
      <c r="F832" s="10"/>
      <c r="G832">
        <v>45755</v>
      </c>
      <c r="H832">
        <v>0.94791666666666663</v>
      </c>
      <c r="I832" t="s">
        <v>23</v>
      </c>
      <c r="J832" t="s">
        <v>42</v>
      </c>
      <c r="K832" t="s">
        <v>68</v>
      </c>
    </row>
    <row r="833" spans="1:11">
      <c r="A833" s="11">
        <v>45755</v>
      </c>
      <c r="B833" s="14">
        <v>0.94861111111111107</v>
      </c>
      <c r="C833" s="10" t="s">
        <v>23</v>
      </c>
      <c r="D833" s="10" t="e" cm="1">
        <f t="array" ref="D833">INDEX($H$2:$H$35, MATCH(1, (A833 &gt;= $F$2:$F$35) * (A833 &lt;= $G$2:$G$35), 0))</f>
        <v>#N/A</v>
      </c>
      <c r="E833" s="10" t="str">
        <f>IF(COUNTIF('Top5'!I:I, D833) &gt; 0, "Yes", "No")</f>
        <v>No</v>
      </c>
      <c r="F833" s="10"/>
      <c r="G833">
        <v>45755</v>
      </c>
      <c r="H833">
        <v>0.94861111111111107</v>
      </c>
      <c r="I833" t="s">
        <v>23</v>
      </c>
      <c r="J833" t="s">
        <v>42</v>
      </c>
      <c r="K833" t="s">
        <v>68</v>
      </c>
    </row>
    <row r="834" spans="1:11">
      <c r="A834" s="11">
        <v>45756</v>
      </c>
      <c r="B834" s="14">
        <v>0.375</v>
      </c>
      <c r="C834" s="10" t="s">
        <v>22</v>
      </c>
      <c r="D834" s="10" t="e" cm="1">
        <f t="array" ref="D834">INDEX($H$2:$H$35, MATCH(1, (A834 &gt;= $F$2:$F$35) * (A834 &lt;= $G$2:$G$35), 0))</f>
        <v>#N/A</v>
      </c>
      <c r="E834" s="10" t="str">
        <f>IF(COUNTIF('Top5'!I:I, D834) &gt; 0, "Yes", "No")</f>
        <v>No</v>
      </c>
      <c r="F834" s="10"/>
      <c r="G834">
        <v>45756</v>
      </c>
      <c r="H834">
        <v>0.375</v>
      </c>
      <c r="I834" t="s">
        <v>22</v>
      </c>
      <c r="J834" t="s">
        <v>42</v>
      </c>
      <c r="K834" t="s">
        <v>68</v>
      </c>
    </row>
    <row r="835" spans="1:11">
      <c r="A835" s="11">
        <v>45756</v>
      </c>
      <c r="B835" s="14">
        <v>0.41388888888888886</v>
      </c>
      <c r="C835" s="10" t="s">
        <v>22</v>
      </c>
      <c r="D835" s="10" t="e" cm="1">
        <f t="array" ref="D835">INDEX($H$2:$H$35, MATCH(1, (A835 &gt;= $F$2:$F$35) * (A835 &lt;= $G$2:$G$35), 0))</f>
        <v>#N/A</v>
      </c>
      <c r="E835" s="10" t="str">
        <f>IF(COUNTIF('Top5'!I:I, D835) &gt; 0, "Yes", "No")</f>
        <v>No</v>
      </c>
      <c r="F835" s="10"/>
      <c r="G835">
        <v>45756</v>
      </c>
      <c r="H835">
        <v>0.41388888888888886</v>
      </c>
      <c r="I835" t="s">
        <v>22</v>
      </c>
      <c r="J835" t="s">
        <v>42</v>
      </c>
      <c r="K835" t="s">
        <v>68</v>
      </c>
    </row>
    <row r="836" spans="1:11">
      <c r="A836" s="11">
        <v>45756</v>
      </c>
      <c r="B836" s="14">
        <v>0.41458333333333336</v>
      </c>
      <c r="C836" s="10" t="s">
        <v>22</v>
      </c>
      <c r="D836" s="10" t="e" cm="1">
        <f t="array" ref="D836">INDEX($H$2:$H$35, MATCH(1, (A836 &gt;= $F$2:$F$35) * (A836 &lt;= $G$2:$G$35), 0))</f>
        <v>#N/A</v>
      </c>
      <c r="E836" s="10" t="str">
        <f>IF(COUNTIF('Top5'!I:I, D836) &gt; 0, "Yes", "No")</f>
        <v>No</v>
      </c>
      <c r="F836" s="10"/>
      <c r="G836">
        <v>45756</v>
      </c>
      <c r="H836">
        <v>0.41458333333333336</v>
      </c>
      <c r="I836" t="s">
        <v>22</v>
      </c>
      <c r="J836" t="s">
        <v>42</v>
      </c>
      <c r="K836" t="s">
        <v>68</v>
      </c>
    </row>
    <row r="837" spans="1:11">
      <c r="A837" s="11">
        <v>45756</v>
      </c>
      <c r="B837" s="14">
        <v>0.4152777777777778</v>
      </c>
      <c r="C837" s="10" t="s">
        <v>22</v>
      </c>
      <c r="D837" s="10" t="e" cm="1">
        <f t="array" ref="D837">INDEX($H$2:$H$35, MATCH(1, (A837 &gt;= $F$2:$F$35) * (A837 &lt;= $G$2:$G$35), 0))</f>
        <v>#N/A</v>
      </c>
      <c r="E837" s="10" t="str">
        <f>IF(COUNTIF('Top5'!I:I, D837) &gt; 0, "Yes", "No")</f>
        <v>No</v>
      </c>
      <c r="F837" s="10"/>
      <c r="G837">
        <v>45756</v>
      </c>
      <c r="H837">
        <v>0.4152777777777778</v>
      </c>
      <c r="I837" t="s">
        <v>22</v>
      </c>
      <c r="J837" t="s">
        <v>42</v>
      </c>
      <c r="K837" t="s">
        <v>68</v>
      </c>
    </row>
    <row r="838" spans="1:11">
      <c r="A838" s="11">
        <v>45756</v>
      </c>
      <c r="B838" s="14">
        <v>0.42083333333333334</v>
      </c>
      <c r="C838" s="10" t="s">
        <v>22</v>
      </c>
      <c r="D838" s="10" t="e" cm="1">
        <f t="array" ref="D838">INDEX($H$2:$H$35, MATCH(1, (A838 &gt;= $F$2:$F$35) * (A838 &lt;= $G$2:$G$35), 0))</f>
        <v>#N/A</v>
      </c>
      <c r="E838" s="10" t="str">
        <f>IF(COUNTIF('Top5'!I:I, D838) &gt; 0, "Yes", "No")</f>
        <v>No</v>
      </c>
      <c r="F838" s="10"/>
      <c r="G838">
        <v>45756</v>
      </c>
      <c r="H838">
        <v>0.42083333333333334</v>
      </c>
      <c r="I838" t="s">
        <v>22</v>
      </c>
      <c r="J838" t="s">
        <v>42</v>
      </c>
      <c r="K838" t="s">
        <v>68</v>
      </c>
    </row>
    <row r="839" spans="1:11">
      <c r="A839" s="11">
        <v>45756</v>
      </c>
      <c r="B839" s="14">
        <v>0.42499999999999999</v>
      </c>
      <c r="C839" s="10" t="s">
        <v>22</v>
      </c>
      <c r="D839" s="10" t="e" cm="1">
        <f t="array" ref="D839">INDEX($H$2:$H$35, MATCH(1, (A839 &gt;= $F$2:$F$35) * (A839 &lt;= $G$2:$G$35), 0))</f>
        <v>#N/A</v>
      </c>
      <c r="E839" s="10" t="str">
        <f>IF(COUNTIF('Top5'!I:I, D839) &gt; 0, "Yes", "No")</f>
        <v>No</v>
      </c>
      <c r="F839" s="10"/>
      <c r="G839">
        <v>45756</v>
      </c>
      <c r="H839">
        <v>0.42499999999999999</v>
      </c>
      <c r="I839" t="s">
        <v>22</v>
      </c>
      <c r="J839" t="s">
        <v>42</v>
      </c>
      <c r="K839" t="s">
        <v>68</v>
      </c>
    </row>
    <row r="840" spans="1:11">
      <c r="A840" s="11">
        <v>45756</v>
      </c>
      <c r="B840" s="14">
        <v>0.51458333333333328</v>
      </c>
      <c r="C840" s="10" t="s">
        <v>22</v>
      </c>
      <c r="D840" s="10" t="e" cm="1">
        <f t="array" ref="D840">INDEX($H$2:$H$35, MATCH(1, (A840 &gt;= $F$2:$F$35) * (A840 &lt;= $G$2:$G$35), 0))</f>
        <v>#N/A</v>
      </c>
      <c r="E840" s="10" t="str">
        <f>IF(COUNTIF('Top5'!I:I, D840) &gt; 0, "Yes", "No")</f>
        <v>No</v>
      </c>
      <c r="F840" s="10"/>
      <c r="G840">
        <v>45756</v>
      </c>
      <c r="H840">
        <v>0.51458333333333328</v>
      </c>
      <c r="I840" t="s">
        <v>22</v>
      </c>
      <c r="J840" t="s">
        <v>42</v>
      </c>
      <c r="K840" t="s">
        <v>68</v>
      </c>
    </row>
    <row r="841" spans="1:11">
      <c r="A841" s="11">
        <v>45756</v>
      </c>
      <c r="B841" s="14">
        <v>0.64166666666666672</v>
      </c>
      <c r="C841" s="10" t="s">
        <v>22</v>
      </c>
      <c r="D841" s="10" t="e" cm="1">
        <f t="array" ref="D841">INDEX($H$2:$H$35, MATCH(1, (A841 &gt;= $F$2:$F$35) * (A841 &lt;= $G$2:$G$35), 0))</f>
        <v>#N/A</v>
      </c>
      <c r="E841" s="10" t="str">
        <f>IF(COUNTIF('Top5'!I:I, D841) &gt; 0, "Yes", "No")</f>
        <v>No</v>
      </c>
      <c r="F841" s="10"/>
      <c r="G841">
        <v>45756</v>
      </c>
      <c r="H841">
        <v>0.64166666666666672</v>
      </c>
      <c r="I841" t="s">
        <v>22</v>
      </c>
      <c r="J841" t="s">
        <v>42</v>
      </c>
      <c r="K841" t="s">
        <v>68</v>
      </c>
    </row>
    <row r="842" spans="1:11">
      <c r="A842" s="11">
        <v>45756</v>
      </c>
      <c r="B842" s="14">
        <v>0.64513888888888893</v>
      </c>
      <c r="C842" s="10" t="s">
        <v>22</v>
      </c>
      <c r="D842" s="10" t="e" cm="1">
        <f t="array" ref="D842">INDEX($H$2:$H$35, MATCH(1, (A842 &gt;= $F$2:$F$35) * (A842 &lt;= $G$2:$G$35), 0))</f>
        <v>#N/A</v>
      </c>
      <c r="E842" s="10" t="str">
        <f>IF(COUNTIF('Top5'!I:I, D842) &gt; 0, "Yes", "No")</f>
        <v>No</v>
      </c>
      <c r="F842" s="10"/>
      <c r="G842">
        <v>45756</v>
      </c>
      <c r="H842">
        <v>0.64513888888888893</v>
      </c>
      <c r="I842" t="s">
        <v>22</v>
      </c>
      <c r="J842" t="s">
        <v>42</v>
      </c>
      <c r="K842" t="s">
        <v>68</v>
      </c>
    </row>
    <row r="843" spans="1:11">
      <c r="A843" s="11">
        <v>45756</v>
      </c>
      <c r="B843" s="14">
        <v>0.74236111111111114</v>
      </c>
      <c r="C843" s="10" t="s">
        <v>23</v>
      </c>
      <c r="D843" s="10" t="e" cm="1">
        <f t="array" ref="D843">INDEX($H$2:$H$35, MATCH(1, (A843 &gt;= $F$2:$F$35) * (A843 &lt;= $G$2:$G$35), 0))</f>
        <v>#N/A</v>
      </c>
      <c r="E843" s="10" t="str">
        <f>IF(COUNTIF('Top5'!I:I, D843) &gt; 0, "Yes", "No")</f>
        <v>No</v>
      </c>
      <c r="F843" s="10"/>
      <c r="G843">
        <v>45756</v>
      </c>
      <c r="H843">
        <v>0.74236111111111114</v>
      </c>
      <c r="I843" t="s">
        <v>23</v>
      </c>
      <c r="J843" t="s">
        <v>42</v>
      </c>
      <c r="K843" t="s">
        <v>68</v>
      </c>
    </row>
    <row r="844" spans="1:11">
      <c r="A844" s="11">
        <v>45756</v>
      </c>
      <c r="B844" s="14">
        <v>0.75069444444444444</v>
      </c>
      <c r="C844" s="10" t="s">
        <v>23</v>
      </c>
      <c r="D844" s="10" t="e" cm="1">
        <f t="array" ref="D844">INDEX($H$2:$H$35, MATCH(1, (A844 &gt;= $F$2:$F$35) * (A844 &lt;= $G$2:$G$35), 0))</f>
        <v>#N/A</v>
      </c>
      <c r="E844" s="10" t="str">
        <f>IF(COUNTIF('Top5'!I:I, D844) &gt; 0, "Yes", "No")</f>
        <v>No</v>
      </c>
      <c r="F844" s="10"/>
      <c r="G844">
        <v>45756</v>
      </c>
      <c r="H844">
        <v>0.75069444444444444</v>
      </c>
      <c r="I844" t="s">
        <v>23</v>
      </c>
      <c r="J844" t="s">
        <v>42</v>
      </c>
      <c r="K844" t="s">
        <v>68</v>
      </c>
    </row>
    <row r="845" spans="1:11">
      <c r="A845" s="11">
        <v>45756</v>
      </c>
      <c r="B845" s="14">
        <v>0.99930555555555556</v>
      </c>
      <c r="C845" s="10" t="s">
        <v>23</v>
      </c>
      <c r="D845" s="10" t="e" cm="1">
        <f t="array" ref="D845">INDEX($H$2:$H$35, MATCH(1, (A845 &gt;= $F$2:$F$35) * (A845 &lt;= $G$2:$G$35), 0))</f>
        <v>#N/A</v>
      </c>
      <c r="E845" s="10" t="str">
        <f>IF(COUNTIF('Top5'!I:I, D845) &gt; 0, "Yes", "No")</f>
        <v>No</v>
      </c>
      <c r="F845" s="10"/>
      <c r="G845">
        <v>45756</v>
      </c>
      <c r="H845">
        <v>0.99930555555555556</v>
      </c>
      <c r="I845" t="s">
        <v>23</v>
      </c>
      <c r="J845" t="s">
        <v>42</v>
      </c>
      <c r="K845" t="s">
        <v>68</v>
      </c>
    </row>
    <row r="846" spans="1:11">
      <c r="A846" s="11">
        <v>45757</v>
      </c>
      <c r="B846" s="14">
        <v>5.5555555555555558E-3</v>
      </c>
      <c r="C846" s="10" t="s">
        <v>23</v>
      </c>
      <c r="D846" s="10" t="e" cm="1">
        <f t="array" ref="D846">INDEX($H$2:$H$35, MATCH(1, (A846 &gt;= $F$2:$F$35) * (A846 &lt;= $G$2:$G$35), 0))</f>
        <v>#N/A</v>
      </c>
      <c r="E846" s="10" t="str">
        <f>IF(COUNTIF('Top5'!I:I, D846) &gt; 0, "Yes", "No")</f>
        <v>No</v>
      </c>
      <c r="F846" s="10"/>
      <c r="G846">
        <v>45757</v>
      </c>
      <c r="H846">
        <v>5.5555555555555558E-3</v>
      </c>
      <c r="I846" t="s">
        <v>23</v>
      </c>
      <c r="J846" t="s">
        <v>42</v>
      </c>
      <c r="K846" t="s">
        <v>68</v>
      </c>
    </row>
    <row r="847" spans="1:11">
      <c r="A847" s="11">
        <v>45757</v>
      </c>
      <c r="B847" s="14">
        <v>5.5555555555555558E-3</v>
      </c>
      <c r="C847" s="10" t="s">
        <v>23</v>
      </c>
      <c r="D847" s="10" t="e" cm="1">
        <f t="array" ref="D847">INDEX($H$2:$H$35, MATCH(1, (A847 &gt;= $F$2:$F$35) * (A847 &lt;= $G$2:$G$35), 0))</f>
        <v>#N/A</v>
      </c>
      <c r="E847" s="10" t="str">
        <f>IF(COUNTIF('Top5'!I:I, D847) &gt; 0, "Yes", "No")</f>
        <v>No</v>
      </c>
      <c r="F847" s="10"/>
      <c r="G847">
        <v>45757</v>
      </c>
      <c r="H847">
        <v>5.5555555555555558E-3</v>
      </c>
      <c r="I847" t="s">
        <v>23</v>
      </c>
      <c r="J847" t="s">
        <v>42</v>
      </c>
      <c r="K847" t="s">
        <v>68</v>
      </c>
    </row>
    <row r="848" spans="1:11">
      <c r="A848" s="11">
        <v>45757</v>
      </c>
      <c r="B848" s="14">
        <v>7.6388888888888886E-3</v>
      </c>
      <c r="C848" s="10" t="s">
        <v>23</v>
      </c>
      <c r="D848" s="10" t="e" cm="1">
        <f t="array" ref="D848">INDEX($H$2:$H$35, MATCH(1, (A848 &gt;= $F$2:$F$35) * (A848 &lt;= $G$2:$G$35), 0))</f>
        <v>#N/A</v>
      </c>
      <c r="E848" s="10" t="str">
        <f>IF(COUNTIF('Top5'!I:I, D848) &gt; 0, "Yes", "No")</f>
        <v>No</v>
      </c>
      <c r="F848" s="10"/>
      <c r="G848">
        <v>45757</v>
      </c>
      <c r="H848">
        <v>7.6388888888888886E-3</v>
      </c>
      <c r="I848" t="s">
        <v>23</v>
      </c>
      <c r="J848" t="s">
        <v>42</v>
      </c>
      <c r="K848" t="s">
        <v>68</v>
      </c>
    </row>
    <row r="849" spans="1:11">
      <c r="A849" s="11">
        <v>45757</v>
      </c>
      <c r="B849" s="14">
        <v>8.3333333333333332E-3</v>
      </c>
      <c r="C849" s="10" t="s">
        <v>23</v>
      </c>
      <c r="D849" s="10" t="e" cm="1">
        <f t="array" ref="D849">INDEX($H$2:$H$35, MATCH(1, (A849 &gt;= $F$2:$F$35) * (A849 &lt;= $G$2:$G$35), 0))</f>
        <v>#N/A</v>
      </c>
      <c r="E849" s="10" t="str">
        <f>IF(COUNTIF('Top5'!I:I, D849) &gt; 0, "Yes", "No")</f>
        <v>No</v>
      </c>
      <c r="F849" s="10"/>
      <c r="G849">
        <v>45757</v>
      </c>
      <c r="H849">
        <v>8.3333333333333332E-3</v>
      </c>
      <c r="I849" t="s">
        <v>23</v>
      </c>
      <c r="J849" t="s">
        <v>42</v>
      </c>
      <c r="K849" t="s">
        <v>68</v>
      </c>
    </row>
    <row r="850" spans="1:11">
      <c r="A850" s="11">
        <v>45757</v>
      </c>
      <c r="B850" s="14">
        <v>8.3333333333333332E-3</v>
      </c>
      <c r="C850" s="10" t="s">
        <v>23</v>
      </c>
      <c r="D850" s="10" t="e" cm="1">
        <f t="array" ref="D850">INDEX($H$2:$H$35, MATCH(1, (A850 &gt;= $F$2:$F$35) * (A850 &lt;= $G$2:$G$35), 0))</f>
        <v>#N/A</v>
      </c>
      <c r="E850" s="10" t="str">
        <f>IF(COUNTIF('Top5'!I:I, D850) &gt; 0, "Yes", "No")</f>
        <v>No</v>
      </c>
      <c r="F850" s="10"/>
      <c r="G850">
        <v>45757</v>
      </c>
      <c r="H850">
        <v>8.3333333333333332E-3</v>
      </c>
      <c r="I850" t="s">
        <v>23</v>
      </c>
      <c r="J850" t="s">
        <v>42</v>
      </c>
      <c r="K850" t="s">
        <v>68</v>
      </c>
    </row>
    <row r="851" spans="1:11">
      <c r="A851" s="11">
        <v>45757</v>
      </c>
      <c r="B851" s="14">
        <v>1.1111111111111112E-2</v>
      </c>
      <c r="C851" s="10" t="s">
        <v>23</v>
      </c>
      <c r="D851" s="10" t="e" cm="1">
        <f t="array" ref="D851">INDEX($H$2:$H$35, MATCH(1, (A851 &gt;= $F$2:$F$35) * (A851 &lt;= $G$2:$G$35), 0))</f>
        <v>#N/A</v>
      </c>
      <c r="E851" s="10" t="str">
        <f>IF(COUNTIF('Top5'!I:I, D851) &gt; 0, "Yes", "No")</f>
        <v>No</v>
      </c>
      <c r="F851" s="10"/>
      <c r="G851">
        <v>45757</v>
      </c>
      <c r="H851">
        <v>1.1111111111111112E-2</v>
      </c>
      <c r="I851" t="s">
        <v>23</v>
      </c>
      <c r="J851" t="s">
        <v>42</v>
      </c>
      <c r="K851" t="s">
        <v>68</v>
      </c>
    </row>
    <row r="852" spans="1:11">
      <c r="A852" s="11">
        <v>45757</v>
      </c>
      <c r="B852" s="14">
        <v>2.013888888888889E-2</v>
      </c>
      <c r="C852" s="10" t="s">
        <v>23</v>
      </c>
      <c r="D852" s="10" t="e" cm="1">
        <f t="array" ref="D852">INDEX($H$2:$H$35, MATCH(1, (A852 &gt;= $F$2:$F$35) * (A852 &lt;= $G$2:$G$35), 0))</f>
        <v>#N/A</v>
      </c>
      <c r="E852" s="10" t="str">
        <f>IF(COUNTIF('Top5'!I:I, D852) &gt; 0, "Yes", "No")</f>
        <v>No</v>
      </c>
      <c r="F852" s="10"/>
      <c r="G852">
        <v>45757</v>
      </c>
      <c r="H852">
        <v>2.013888888888889E-2</v>
      </c>
      <c r="I852" t="s">
        <v>23</v>
      </c>
      <c r="J852" t="s">
        <v>42</v>
      </c>
      <c r="K852" t="s">
        <v>68</v>
      </c>
    </row>
    <row r="853" spans="1:11">
      <c r="A853" s="11">
        <v>45757</v>
      </c>
      <c r="B853" s="14">
        <v>0.36388888888888887</v>
      </c>
      <c r="C853" s="10" t="s">
        <v>22</v>
      </c>
      <c r="D853" s="10" t="e" cm="1">
        <f t="array" ref="D853">INDEX($H$2:$H$35, MATCH(1, (A853 &gt;= $F$2:$F$35) * (A853 &lt;= $G$2:$G$35), 0))</f>
        <v>#N/A</v>
      </c>
      <c r="E853" s="10" t="str">
        <f>IF(COUNTIF('Top5'!I:I, D853) &gt; 0, "Yes", "No")</f>
        <v>No</v>
      </c>
      <c r="F853" s="10"/>
      <c r="G853">
        <v>45757</v>
      </c>
      <c r="H853">
        <v>0.36388888888888887</v>
      </c>
      <c r="I853" t="s">
        <v>22</v>
      </c>
      <c r="J853" t="s">
        <v>42</v>
      </c>
      <c r="K853" t="s">
        <v>68</v>
      </c>
    </row>
    <row r="854" spans="1:11">
      <c r="A854" s="11">
        <v>45757</v>
      </c>
      <c r="B854" s="14">
        <v>0.42152777777777778</v>
      </c>
      <c r="C854" s="10" t="s">
        <v>22</v>
      </c>
      <c r="D854" s="10" t="e" cm="1">
        <f t="array" ref="D854">INDEX($H$2:$H$35, MATCH(1, (A854 &gt;= $F$2:$F$35) * (A854 &lt;= $G$2:$G$35), 0))</f>
        <v>#N/A</v>
      </c>
      <c r="E854" s="10" t="str">
        <f>IF(COUNTIF('Top5'!I:I, D854) &gt; 0, "Yes", "No")</f>
        <v>No</v>
      </c>
      <c r="F854" s="10"/>
      <c r="G854">
        <v>45757</v>
      </c>
      <c r="H854">
        <v>0.42152777777777778</v>
      </c>
      <c r="I854" t="s">
        <v>22</v>
      </c>
      <c r="J854" t="s">
        <v>42</v>
      </c>
      <c r="K854" t="s">
        <v>68</v>
      </c>
    </row>
    <row r="855" spans="1:11">
      <c r="A855" s="11">
        <v>45757</v>
      </c>
      <c r="B855" s="14">
        <v>0.42291666666666666</v>
      </c>
      <c r="C855" s="10" t="s">
        <v>22</v>
      </c>
      <c r="D855" s="10" t="e" cm="1">
        <f t="array" ref="D855">INDEX($H$2:$H$35, MATCH(1, (A855 &gt;= $F$2:$F$35) * (A855 &lt;= $G$2:$G$35), 0))</f>
        <v>#N/A</v>
      </c>
      <c r="E855" s="10" t="str">
        <f>IF(COUNTIF('Top5'!I:I, D855) &gt; 0, "Yes", "No")</f>
        <v>No</v>
      </c>
      <c r="F855" s="10"/>
      <c r="G855">
        <v>45757</v>
      </c>
      <c r="H855">
        <v>0.42291666666666666</v>
      </c>
      <c r="I855" t="s">
        <v>22</v>
      </c>
      <c r="J855" t="s">
        <v>42</v>
      </c>
      <c r="K855" t="s">
        <v>68</v>
      </c>
    </row>
    <row r="856" spans="1:11">
      <c r="A856" s="11">
        <v>45757</v>
      </c>
      <c r="B856" s="14">
        <v>0.4236111111111111</v>
      </c>
      <c r="C856" s="10" t="s">
        <v>22</v>
      </c>
      <c r="D856" s="10" t="e" cm="1">
        <f t="array" ref="D856">INDEX($H$2:$H$35, MATCH(1, (A856 &gt;= $F$2:$F$35) * (A856 &lt;= $G$2:$G$35), 0))</f>
        <v>#N/A</v>
      </c>
      <c r="E856" s="10" t="str">
        <f>IF(COUNTIF('Top5'!I:I, D856) &gt; 0, "Yes", "No")</f>
        <v>No</v>
      </c>
      <c r="F856" s="10"/>
      <c r="G856">
        <v>45757</v>
      </c>
      <c r="H856">
        <v>0.4236111111111111</v>
      </c>
      <c r="I856" t="s">
        <v>22</v>
      </c>
      <c r="J856" t="s">
        <v>42</v>
      </c>
      <c r="K856" t="s">
        <v>68</v>
      </c>
    </row>
    <row r="857" spans="1:11">
      <c r="A857" s="11">
        <v>45757</v>
      </c>
      <c r="B857" s="14">
        <v>0.43888888888888888</v>
      </c>
      <c r="C857" s="10" t="s">
        <v>22</v>
      </c>
      <c r="D857" s="10" t="e" cm="1">
        <f t="array" ref="D857">INDEX($H$2:$H$35, MATCH(1, (A857 &gt;= $F$2:$F$35) * (A857 &lt;= $G$2:$G$35), 0))</f>
        <v>#N/A</v>
      </c>
      <c r="E857" s="10" t="str">
        <f>IF(COUNTIF('Top5'!I:I, D857) &gt; 0, "Yes", "No")</f>
        <v>No</v>
      </c>
      <c r="F857" s="10"/>
      <c r="G857">
        <v>45757</v>
      </c>
      <c r="H857">
        <v>0.43888888888888888</v>
      </c>
      <c r="I857" t="s">
        <v>22</v>
      </c>
      <c r="J857" t="s">
        <v>42</v>
      </c>
      <c r="K857" t="s">
        <v>68</v>
      </c>
    </row>
    <row r="858" spans="1:11">
      <c r="A858" s="11">
        <v>45757</v>
      </c>
      <c r="B858" s="14">
        <v>0.57847222222222228</v>
      </c>
      <c r="C858" s="10" t="s">
        <v>22</v>
      </c>
      <c r="D858" s="10" t="e" cm="1">
        <f t="array" ref="D858">INDEX($H$2:$H$35, MATCH(1, (A858 &gt;= $F$2:$F$35) * (A858 &lt;= $G$2:$G$35), 0))</f>
        <v>#N/A</v>
      </c>
      <c r="E858" s="10" t="str">
        <f>IF(COUNTIF('Top5'!I:I, D858) &gt; 0, "Yes", "No")</f>
        <v>No</v>
      </c>
      <c r="F858" s="10"/>
      <c r="G858">
        <v>45757</v>
      </c>
      <c r="H858">
        <v>0.57847222222222228</v>
      </c>
      <c r="I858" t="s">
        <v>22</v>
      </c>
      <c r="J858" t="s">
        <v>42</v>
      </c>
      <c r="K858" t="s">
        <v>68</v>
      </c>
    </row>
    <row r="859" spans="1:11">
      <c r="A859" s="11">
        <v>45757</v>
      </c>
      <c r="B859" s="14">
        <v>0.63958333333333328</v>
      </c>
      <c r="C859" s="10" t="s">
        <v>22</v>
      </c>
      <c r="D859" s="10" t="e" cm="1">
        <f t="array" ref="D859">INDEX($H$2:$H$35, MATCH(1, (A859 &gt;= $F$2:$F$35) * (A859 &lt;= $G$2:$G$35), 0))</f>
        <v>#N/A</v>
      </c>
      <c r="E859" s="10" t="str">
        <f>IF(COUNTIF('Top5'!I:I, D859) &gt; 0, "Yes", "No")</f>
        <v>No</v>
      </c>
      <c r="F859" s="10"/>
      <c r="G859">
        <v>45757</v>
      </c>
      <c r="H859">
        <v>0.63958333333333328</v>
      </c>
      <c r="I859" t="s">
        <v>22</v>
      </c>
      <c r="J859" t="s">
        <v>42</v>
      </c>
      <c r="K859" t="s">
        <v>68</v>
      </c>
    </row>
    <row r="860" spans="1:11">
      <c r="A860" s="11">
        <v>45758</v>
      </c>
      <c r="B860" s="14">
        <v>2.0833333333333333E-3</v>
      </c>
      <c r="C860" s="10" t="s">
        <v>23</v>
      </c>
      <c r="D860" s="10" t="e" cm="1">
        <f t="array" ref="D860">INDEX($H$2:$H$35, MATCH(1, (A860 &gt;= $F$2:$F$35) * (A860 &lt;= $G$2:$G$35), 0))</f>
        <v>#N/A</v>
      </c>
      <c r="E860" s="10" t="str">
        <f>IF(COUNTIF('Top5'!I:I, D860) &gt; 0, "Yes", "No")</f>
        <v>No</v>
      </c>
      <c r="F860" s="10"/>
      <c r="G860">
        <v>45758</v>
      </c>
      <c r="H860">
        <v>2.0833333333333333E-3</v>
      </c>
      <c r="I860" t="s">
        <v>23</v>
      </c>
      <c r="J860" t="s">
        <v>42</v>
      </c>
      <c r="K860" t="s">
        <v>68</v>
      </c>
    </row>
    <row r="861" spans="1:11">
      <c r="A861" s="11">
        <v>45758</v>
      </c>
      <c r="B861" s="14">
        <v>2.7777777777777779E-3</v>
      </c>
      <c r="C861" s="10" t="s">
        <v>23</v>
      </c>
      <c r="D861" s="10" t="e" cm="1">
        <f t="array" ref="D861">INDEX($H$2:$H$35, MATCH(1, (A861 &gt;= $F$2:$F$35) * (A861 &lt;= $G$2:$G$35), 0))</f>
        <v>#N/A</v>
      </c>
      <c r="E861" s="10" t="str">
        <f>IF(COUNTIF('Top5'!I:I, D861) &gt; 0, "Yes", "No")</f>
        <v>No</v>
      </c>
      <c r="F861" s="10"/>
      <c r="G861">
        <v>45758</v>
      </c>
      <c r="H861">
        <v>2.7777777777777779E-3</v>
      </c>
      <c r="I861" t="s">
        <v>23</v>
      </c>
      <c r="J861" t="s">
        <v>42</v>
      </c>
      <c r="K861" t="s">
        <v>68</v>
      </c>
    </row>
    <row r="862" spans="1:11">
      <c r="A862" s="11">
        <v>45758</v>
      </c>
      <c r="B862" s="14">
        <v>5.5555555555555558E-3</v>
      </c>
      <c r="C862" s="10" t="s">
        <v>23</v>
      </c>
      <c r="D862" s="10" t="e" cm="1">
        <f t="array" ref="D862">INDEX($H$2:$H$35, MATCH(1, (A862 &gt;= $F$2:$F$35) * (A862 &lt;= $G$2:$G$35), 0))</f>
        <v>#N/A</v>
      </c>
      <c r="E862" s="10" t="str">
        <f>IF(COUNTIF('Top5'!I:I, D862) &gt; 0, "Yes", "No")</f>
        <v>No</v>
      </c>
      <c r="F862" s="10"/>
      <c r="G862">
        <v>45758</v>
      </c>
      <c r="H862">
        <v>5.5555555555555558E-3</v>
      </c>
      <c r="I862" t="s">
        <v>23</v>
      </c>
      <c r="J862" t="s">
        <v>42</v>
      </c>
      <c r="K862" t="s">
        <v>68</v>
      </c>
    </row>
    <row r="863" spans="1:11">
      <c r="A863" s="11">
        <v>45758</v>
      </c>
      <c r="B863" s="14">
        <v>0.52013888888888893</v>
      </c>
      <c r="C863" s="10" t="s">
        <v>22</v>
      </c>
      <c r="D863" s="10" t="e" cm="1">
        <f t="array" ref="D863">INDEX($H$2:$H$35, MATCH(1, (A863 &gt;= $F$2:$F$35) * (A863 &lt;= $G$2:$G$35), 0))</f>
        <v>#N/A</v>
      </c>
      <c r="E863" s="10" t="str">
        <f>IF(COUNTIF('Top5'!I:I, D863) &gt; 0, "Yes", "No")</f>
        <v>No</v>
      </c>
      <c r="F863" s="10"/>
      <c r="G863">
        <v>45758</v>
      </c>
      <c r="H863">
        <v>0.52013888888888893</v>
      </c>
      <c r="I863" t="s">
        <v>22</v>
      </c>
      <c r="J863" t="s">
        <v>42</v>
      </c>
      <c r="K863" t="s">
        <v>68</v>
      </c>
    </row>
    <row r="864" spans="1:11">
      <c r="A864" s="11">
        <v>45758</v>
      </c>
      <c r="B864" s="14">
        <v>0.92291666666666672</v>
      </c>
      <c r="C864" s="10" t="s">
        <v>23</v>
      </c>
      <c r="D864" s="10" t="e" cm="1">
        <f t="array" ref="D864">INDEX($H$2:$H$35, MATCH(1, (A864 &gt;= $F$2:$F$35) * (A864 &lt;= $G$2:$G$35), 0))</f>
        <v>#N/A</v>
      </c>
      <c r="E864" s="10" t="str">
        <f>IF(COUNTIF('Top5'!I:I, D864) &gt; 0, "Yes", "No")</f>
        <v>No</v>
      </c>
      <c r="F864" s="10"/>
      <c r="G864">
        <v>45758</v>
      </c>
      <c r="H864">
        <v>0.92291666666666672</v>
      </c>
      <c r="I864" t="s">
        <v>23</v>
      </c>
      <c r="J864" t="s">
        <v>42</v>
      </c>
      <c r="K864" t="s">
        <v>68</v>
      </c>
    </row>
    <row r="865" spans="1:11">
      <c r="A865" s="11">
        <v>45758</v>
      </c>
      <c r="B865" s="14">
        <v>0.98750000000000004</v>
      </c>
      <c r="C865" s="10" t="s">
        <v>23</v>
      </c>
      <c r="D865" s="10" t="e" cm="1">
        <f t="array" ref="D865">INDEX($H$2:$H$35, MATCH(1, (A865 &gt;= $F$2:$F$35) * (A865 &lt;= $G$2:$G$35), 0))</f>
        <v>#N/A</v>
      </c>
      <c r="E865" s="10" t="str">
        <f>IF(COUNTIF('Top5'!I:I, D865) &gt; 0, "Yes", "No")</f>
        <v>No</v>
      </c>
      <c r="F865" s="10"/>
      <c r="G865">
        <v>45758</v>
      </c>
      <c r="H865">
        <v>0.98750000000000004</v>
      </c>
      <c r="I865" t="s">
        <v>23</v>
      </c>
      <c r="J865" t="s">
        <v>42</v>
      </c>
      <c r="K865" t="s">
        <v>68</v>
      </c>
    </row>
    <row r="866" spans="1:11">
      <c r="A866" s="11">
        <v>45759</v>
      </c>
      <c r="B866" s="14">
        <v>4.8611111111111112E-3</v>
      </c>
      <c r="C866" s="10" t="s">
        <v>23</v>
      </c>
      <c r="D866" s="10" t="e" cm="1">
        <f t="array" ref="D866">INDEX($H$2:$H$35, MATCH(1, (A866 &gt;= $F$2:$F$35) * (A866 &lt;= $G$2:$G$35), 0))</f>
        <v>#N/A</v>
      </c>
      <c r="E866" s="10" t="str">
        <f>IF(COUNTIF('Top5'!I:I, D866) &gt; 0, "Yes", "No")</f>
        <v>No</v>
      </c>
      <c r="F866" s="10"/>
      <c r="G866">
        <v>45759</v>
      </c>
      <c r="H866">
        <v>4.8611111111111112E-3</v>
      </c>
      <c r="I866" t="s">
        <v>23</v>
      </c>
      <c r="J866" t="s">
        <v>42</v>
      </c>
      <c r="K866" t="s">
        <v>68</v>
      </c>
    </row>
    <row r="867" spans="1:11">
      <c r="A867" s="11">
        <v>45759</v>
      </c>
      <c r="B867" s="14">
        <v>4.8611111111111112E-3</v>
      </c>
      <c r="C867" s="10" t="s">
        <v>23</v>
      </c>
      <c r="D867" s="10" t="e" cm="1">
        <f t="array" ref="D867">INDEX($H$2:$H$35, MATCH(1, (A867 &gt;= $F$2:$F$35) * (A867 &lt;= $G$2:$G$35), 0))</f>
        <v>#N/A</v>
      </c>
      <c r="E867" s="10" t="str">
        <f>IF(COUNTIF('Top5'!I:I, D867) &gt; 0, "Yes", "No")</f>
        <v>No</v>
      </c>
      <c r="F867" s="10"/>
      <c r="G867">
        <v>45759</v>
      </c>
      <c r="H867">
        <v>4.8611111111111112E-3</v>
      </c>
      <c r="I867" t="s">
        <v>23</v>
      </c>
      <c r="J867" t="s">
        <v>42</v>
      </c>
      <c r="K867" t="s">
        <v>68</v>
      </c>
    </row>
    <row r="868" spans="1:11">
      <c r="A868" s="11">
        <v>45759</v>
      </c>
      <c r="B868" s="14">
        <v>4.8611111111111112E-3</v>
      </c>
      <c r="C868" s="10" t="s">
        <v>23</v>
      </c>
      <c r="D868" s="10" t="e" cm="1">
        <f t="array" ref="D868">INDEX($H$2:$H$35, MATCH(1, (A868 &gt;= $F$2:$F$35) * (A868 &lt;= $G$2:$G$35), 0))</f>
        <v>#N/A</v>
      </c>
      <c r="E868" s="10" t="str">
        <f>IF(COUNTIF('Top5'!I:I, D868) &gt; 0, "Yes", "No")</f>
        <v>No</v>
      </c>
      <c r="F868" s="10"/>
      <c r="G868">
        <v>45759</v>
      </c>
      <c r="H868">
        <v>4.8611111111111112E-3</v>
      </c>
      <c r="I868" t="s">
        <v>23</v>
      </c>
      <c r="J868" t="s">
        <v>42</v>
      </c>
      <c r="K868" t="s">
        <v>68</v>
      </c>
    </row>
    <row r="869" spans="1:11">
      <c r="A869" s="11">
        <v>45759</v>
      </c>
      <c r="B869" s="14">
        <v>4.8611111111111112E-3</v>
      </c>
      <c r="C869" s="10" t="s">
        <v>23</v>
      </c>
      <c r="D869" s="10" t="e" cm="1">
        <f t="array" ref="D869">INDEX($H$2:$H$35, MATCH(1, (A869 &gt;= $F$2:$F$35) * (A869 &lt;= $G$2:$G$35), 0))</f>
        <v>#N/A</v>
      </c>
      <c r="E869" s="10" t="str">
        <f>IF(COUNTIF('Top5'!I:I, D869) &gt; 0, "Yes", "No")</f>
        <v>No</v>
      </c>
      <c r="F869" s="10"/>
      <c r="G869">
        <v>45759</v>
      </c>
      <c r="H869">
        <v>4.8611111111111112E-3</v>
      </c>
      <c r="I869" t="s">
        <v>23</v>
      </c>
      <c r="J869" t="s">
        <v>42</v>
      </c>
      <c r="K869" t="s">
        <v>68</v>
      </c>
    </row>
    <row r="870" spans="1:11">
      <c r="A870" s="11">
        <v>45759</v>
      </c>
      <c r="B870" s="14">
        <v>4.8611111111111112E-3</v>
      </c>
      <c r="C870" s="10" t="s">
        <v>23</v>
      </c>
      <c r="D870" s="10" t="e" cm="1">
        <f t="array" ref="D870">INDEX($H$2:$H$35, MATCH(1, (A870 &gt;= $F$2:$F$35) * (A870 &lt;= $G$2:$G$35), 0))</f>
        <v>#N/A</v>
      </c>
      <c r="E870" s="10" t="str">
        <f>IF(COUNTIF('Top5'!I:I, D870) &gt; 0, "Yes", "No")</f>
        <v>No</v>
      </c>
      <c r="F870" s="10"/>
      <c r="G870">
        <v>45759</v>
      </c>
      <c r="H870">
        <v>4.8611111111111112E-3</v>
      </c>
      <c r="I870" t="s">
        <v>23</v>
      </c>
      <c r="J870" t="s">
        <v>42</v>
      </c>
      <c r="K870" t="s">
        <v>68</v>
      </c>
    </row>
    <row r="871" spans="1:11">
      <c r="A871" s="11">
        <v>45759</v>
      </c>
      <c r="B871" s="14">
        <v>4.8611111111111112E-3</v>
      </c>
      <c r="C871" s="10" t="s">
        <v>23</v>
      </c>
      <c r="D871" s="10" t="e" cm="1">
        <f t="array" ref="D871">INDEX($H$2:$H$35, MATCH(1, (A871 &gt;= $F$2:$F$35) * (A871 &lt;= $G$2:$G$35), 0))</f>
        <v>#N/A</v>
      </c>
      <c r="E871" s="10" t="str">
        <f>IF(COUNTIF('Top5'!I:I, D871) &gt; 0, "Yes", "No")</f>
        <v>No</v>
      </c>
      <c r="F871" s="10"/>
      <c r="G871">
        <v>45759</v>
      </c>
      <c r="H871">
        <v>4.8611111111111112E-3</v>
      </c>
      <c r="I871" t="s">
        <v>23</v>
      </c>
      <c r="J871" t="s">
        <v>42</v>
      </c>
      <c r="K871" t="s">
        <v>68</v>
      </c>
    </row>
    <row r="872" spans="1:11">
      <c r="A872" s="11">
        <v>45759</v>
      </c>
      <c r="B872" s="14">
        <v>0.40486111111111112</v>
      </c>
      <c r="C872" s="10" t="s">
        <v>22</v>
      </c>
      <c r="D872" s="10" t="e" cm="1">
        <f t="array" ref="D872">INDEX($H$2:$H$35, MATCH(1, (A872 &gt;= $F$2:$F$35) * (A872 &lt;= $G$2:$G$35), 0))</f>
        <v>#N/A</v>
      </c>
      <c r="E872" s="10" t="str">
        <f>IF(COUNTIF('Top5'!I:I, D872) &gt; 0, "Yes", "No")</f>
        <v>No</v>
      </c>
      <c r="F872" s="10"/>
      <c r="G872">
        <v>45759</v>
      </c>
      <c r="H872">
        <v>0.40486111111111112</v>
      </c>
      <c r="I872" t="s">
        <v>22</v>
      </c>
      <c r="J872" t="s">
        <v>42</v>
      </c>
      <c r="K872" t="s">
        <v>68</v>
      </c>
    </row>
    <row r="873" spans="1:11">
      <c r="A873" s="11">
        <v>45759</v>
      </c>
      <c r="B873" s="14">
        <v>0.40555555555555556</v>
      </c>
      <c r="C873" s="10" t="s">
        <v>22</v>
      </c>
      <c r="D873" s="10" t="e" cm="1">
        <f t="array" ref="D873">INDEX($H$2:$H$35, MATCH(1, (A873 &gt;= $F$2:$F$35) * (A873 &lt;= $G$2:$G$35), 0))</f>
        <v>#N/A</v>
      </c>
      <c r="E873" s="10" t="str">
        <f>IF(COUNTIF('Top5'!I:I, D873) &gt; 0, "Yes", "No")</f>
        <v>No</v>
      </c>
      <c r="F873" s="10"/>
      <c r="G873">
        <v>45759</v>
      </c>
      <c r="H873">
        <v>0.40555555555555556</v>
      </c>
      <c r="I873" t="s">
        <v>22</v>
      </c>
      <c r="J873" t="s">
        <v>42</v>
      </c>
      <c r="K873" t="s">
        <v>68</v>
      </c>
    </row>
    <row r="874" spans="1:11">
      <c r="A874" s="11">
        <v>45759</v>
      </c>
      <c r="B874" s="14">
        <v>0.42291666666666666</v>
      </c>
      <c r="C874" s="10" t="s">
        <v>22</v>
      </c>
      <c r="D874" s="10" t="e" cm="1">
        <f t="array" ref="D874">INDEX($H$2:$H$35, MATCH(1, (A874 &gt;= $F$2:$F$35) * (A874 &lt;= $G$2:$G$35), 0))</f>
        <v>#N/A</v>
      </c>
      <c r="E874" s="10" t="str">
        <f>IF(COUNTIF('Top5'!I:I, D874) &gt; 0, "Yes", "No")</f>
        <v>No</v>
      </c>
      <c r="F874" s="10"/>
      <c r="G874">
        <v>45759</v>
      </c>
      <c r="H874">
        <v>0.42291666666666666</v>
      </c>
      <c r="I874" t="s">
        <v>22</v>
      </c>
      <c r="J874" t="s">
        <v>42</v>
      </c>
      <c r="K874" t="s">
        <v>68</v>
      </c>
    </row>
    <row r="875" spans="1:11">
      <c r="A875" s="11">
        <v>45759</v>
      </c>
      <c r="B875" s="14">
        <v>0.42569444444444443</v>
      </c>
      <c r="C875" s="10" t="s">
        <v>22</v>
      </c>
      <c r="D875" s="10" t="e" cm="1">
        <f t="array" ref="D875">INDEX($H$2:$H$35, MATCH(1, (A875 &gt;= $F$2:$F$35) * (A875 &lt;= $G$2:$G$35), 0))</f>
        <v>#N/A</v>
      </c>
      <c r="E875" s="10" t="str">
        <f>IF(COUNTIF('Top5'!I:I, D875) &gt; 0, "Yes", "No")</f>
        <v>No</v>
      </c>
      <c r="F875" s="10"/>
      <c r="G875">
        <v>45759</v>
      </c>
      <c r="H875">
        <v>0.42569444444444443</v>
      </c>
      <c r="I875" t="s">
        <v>22</v>
      </c>
      <c r="J875" t="s">
        <v>42</v>
      </c>
      <c r="K875" t="s">
        <v>68</v>
      </c>
    </row>
    <row r="876" spans="1:11">
      <c r="A876" s="11">
        <v>45759</v>
      </c>
      <c r="B876" s="14">
        <v>0.42708333333333331</v>
      </c>
      <c r="C876" s="10" t="s">
        <v>22</v>
      </c>
      <c r="D876" s="10" t="e" cm="1">
        <f t="array" ref="D876">INDEX($H$2:$H$35, MATCH(1, (A876 &gt;= $F$2:$F$35) * (A876 &lt;= $G$2:$G$35), 0))</f>
        <v>#N/A</v>
      </c>
      <c r="E876" s="10" t="str">
        <f>IF(COUNTIF('Top5'!I:I, D876) &gt; 0, "Yes", "No")</f>
        <v>No</v>
      </c>
      <c r="F876" s="10"/>
      <c r="G876">
        <v>45759</v>
      </c>
      <c r="H876">
        <v>0.42708333333333331</v>
      </c>
      <c r="I876" t="s">
        <v>22</v>
      </c>
      <c r="J876" t="s">
        <v>42</v>
      </c>
      <c r="K876" t="s">
        <v>68</v>
      </c>
    </row>
    <row r="877" spans="1:11">
      <c r="A877" s="11">
        <v>45759</v>
      </c>
      <c r="B877" s="14">
        <v>0.79305555555555551</v>
      </c>
      <c r="C877" s="10" t="s">
        <v>23</v>
      </c>
      <c r="D877" s="10" t="e" cm="1">
        <f t="array" ref="D877">INDEX($H$2:$H$35, MATCH(1, (A877 &gt;= $F$2:$F$35) * (A877 &lt;= $G$2:$G$35), 0))</f>
        <v>#N/A</v>
      </c>
      <c r="E877" s="10" t="str">
        <f>IF(COUNTIF('Top5'!I:I, D877) &gt; 0, "Yes", "No")</f>
        <v>No</v>
      </c>
      <c r="F877" s="10"/>
      <c r="G877">
        <v>45759</v>
      </c>
      <c r="H877">
        <v>0.79305555555555551</v>
      </c>
      <c r="I877" t="s">
        <v>23</v>
      </c>
      <c r="J877" t="s">
        <v>42</v>
      </c>
      <c r="K877" t="s">
        <v>68</v>
      </c>
    </row>
    <row r="878" spans="1:11">
      <c r="A878" s="11">
        <v>45760</v>
      </c>
      <c r="B878" s="14">
        <v>0.375</v>
      </c>
      <c r="C878" s="10" t="s">
        <v>22</v>
      </c>
      <c r="D878" s="10" t="e" cm="1">
        <f t="array" ref="D878">INDEX($H$2:$H$35, MATCH(1, (A878 &gt;= $F$2:$F$35) * (A878 &lt;= $G$2:$G$35), 0))</f>
        <v>#N/A</v>
      </c>
      <c r="E878" s="10" t="str">
        <f>IF(COUNTIF('Top5'!I:I, D878) &gt; 0, "Yes", "No")</f>
        <v>No</v>
      </c>
      <c r="F878" s="10"/>
      <c r="G878">
        <v>45760</v>
      </c>
      <c r="H878">
        <v>0.375</v>
      </c>
      <c r="I878" t="s">
        <v>22</v>
      </c>
      <c r="J878" t="s">
        <v>42</v>
      </c>
      <c r="K878" t="s">
        <v>68</v>
      </c>
    </row>
    <row r="879" spans="1:11">
      <c r="A879" s="11">
        <v>45760</v>
      </c>
      <c r="B879" s="14">
        <v>0.37916666666666665</v>
      </c>
      <c r="C879" s="10" t="s">
        <v>22</v>
      </c>
      <c r="D879" s="10" t="e" cm="1">
        <f t="array" ref="D879">INDEX($H$2:$H$35, MATCH(1, (A879 &gt;= $F$2:$F$35) * (A879 &lt;= $G$2:$G$35), 0))</f>
        <v>#N/A</v>
      </c>
      <c r="E879" s="10" t="str">
        <f>IF(COUNTIF('Top5'!I:I, D879) &gt; 0, "Yes", "No")</f>
        <v>No</v>
      </c>
      <c r="F879" s="10"/>
      <c r="G879">
        <v>45760</v>
      </c>
      <c r="H879">
        <v>0.37916666666666665</v>
      </c>
      <c r="I879" t="s">
        <v>22</v>
      </c>
      <c r="J879" t="s">
        <v>42</v>
      </c>
      <c r="K879" t="s">
        <v>68</v>
      </c>
    </row>
    <row r="880" spans="1:11">
      <c r="A880" s="11">
        <v>45760</v>
      </c>
      <c r="B880" s="14">
        <v>0.62430555555555556</v>
      </c>
      <c r="C880" s="10" t="s">
        <v>22</v>
      </c>
      <c r="D880" s="10" t="e" cm="1">
        <f t="array" ref="D880">INDEX($H$2:$H$35, MATCH(1, (A880 &gt;= $F$2:$F$35) * (A880 &lt;= $G$2:$G$35), 0))</f>
        <v>#N/A</v>
      </c>
      <c r="E880" s="10" t="str">
        <f>IF(COUNTIF('Top5'!I:I, D880) &gt; 0, "Yes", "No")</f>
        <v>No</v>
      </c>
      <c r="F880" s="10"/>
      <c r="G880">
        <v>45760</v>
      </c>
      <c r="H880">
        <v>0.62430555555555556</v>
      </c>
      <c r="I880" t="s">
        <v>22</v>
      </c>
      <c r="J880" t="s">
        <v>42</v>
      </c>
      <c r="K880" t="s">
        <v>68</v>
      </c>
    </row>
    <row r="881" spans="1:11">
      <c r="A881" s="11">
        <v>45760</v>
      </c>
      <c r="B881" s="14">
        <v>0.625</v>
      </c>
      <c r="C881" s="10" t="s">
        <v>22</v>
      </c>
      <c r="D881" s="10" t="e" cm="1">
        <f t="array" ref="D881">INDEX($H$2:$H$35, MATCH(1, (A881 &gt;= $F$2:$F$35) * (A881 &lt;= $G$2:$G$35), 0))</f>
        <v>#N/A</v>
      </c>
      <c r="E881" s="10" t="str">
        <f>IF(COUNTIF('Top5'!I:I, D881) &gt; 0, "Yes", "No")</f>
        <v>No</v>
      </c>
      <c r="F881" s="10"/>
      <c r="G881">
        <v>45760</v>
      </c>
      <c r="H881">
        <v>0.625</v>
      </c>
      <c r="I881" t="s">
        <v>22</v>
      </c>
      <c r="J881" t="s">
        <v>42</v>
      </c>
      <c r="K881" t="s">
        <v>68</v>
      </c>
    </row>
    <row r="882" spans="1:11">
      <c r="A882" s="11">
        <v>45760</v>
      </c>
      <c r="B882" s="14">
        <v>0.67291666666666672</v>
      </c>
      <c r="C882" s="10" t="s">
        <v>22</v>
      </c>
      <c r="D882" s="10" t="e" cm="1">
        <f t="array" ref="D882">INDEX($H$2:$H$35, MATCH(1, (A882 &gt;= $F$2:$F$35) * (A882 &lt;= $G$2:$G$35), 0))</f>
        <v>#N/A</v>
      </c>
      <c r="E882" s="10" t="str">
        <f>IF(COUNTIF('Top5'!I:I, D882) &gt; 0, "Yes", "No")</f>
        <v>No</v>
      </c>
      <c r="F882" s="10"/>
      <c r="G882">
        <v>45760</v>
      </c>
      <c r="H882">
        <v>0.67291666666666672</v>
      </c>
      <c r="I882" t="s">
        <v>22</v>
      </c>
      <c r="J882" t="s">
        <v>42</v>
      </c>
      <c r="K882" t="s">
        <v>68</v>
      </c>
    </row>
    <row r="883" spans="1:11">
      <c r="A883" s="11">
        <v>45761</v>
      </c>
      <c r="B883" s="14">
        <v>0.50277777777777777</v>
      </c>
      <c r="C883" s="10" t="s">
        <v>22</v>
      </c>
      <c r="D883" s="10" t="e" cm="1">
        <f t="array" ref="D883">INDEX($H$2:$H$35, MATCH(1, (A883 &gt;= $F$2:$F$35) * (A883 &lt;= $G$2:$G$35), 0))</f>
        <v>#N/A</v>
      </c>
      <c r="E883" s="10" t="str">
        <f>IF(COUNTIF('Top5'!I:I, D883) &gt; 0, "Yes", "No")</f>
        <v>No</v>
      </c>
      <c r="F883" s="10"/>
      <c r="G883">
        <v>45761</v>
      </c>
      <c r="H883">
        <v>0.50277777777777777</v>
      </c>
      <c r="I883" t="s">
        <v>22</v>
      </c>
      <c r="J883" t="s">
        <v>42</v>
      </c>
      <c r="K883" t="s">
        <v>68</v>
      </c>
    </row>
    <row r="884" spans="1:11">
      <c r="A884" s="11">
        <v>45761</v>
      </c>
      <c r="B884" s="14">
        <v>0.51736111111111116</v>
      </c>
      <c r="C884" s="10" t="s">
        <v>22</v>
      </c>
      <c r="D884" s="10" t="e" cm="1">
        <f t="array" ref="D884">INDEX($H$2:$H$35, MATCH(1, (A884 &gt;= $F$2:$F$35) * (A884 &lt;= $G$2:$G$35), 0))</f>
        <v>#N/A</v>
      </c>
      <c r="E884" s="10" t="str">
        <f>IF(COUNTIF('Top5'!I:I, D884) &gt; 0, "Yes", "No")</f>
        <v>No</v>
      </c>
      <c r="F884" s="10"/>
      <c r="G884">
        <v>45761</v>
      </c>
      <c r="H884">
        <v>0.51736111111111116</v>
      </c>
      <c r="I884" t="s">
        <v>22</v>
      </c>
      <c r="J884" t="s">
        <v>42</v>
      </c>
      <c r="K884" t="s">
        <v>68</v>
      </c>
    </row>
    <row r="885" spans="1:11">
      <c r="A885" s="11">
        <v>45761</v>
      </c>
      <c r="B885" s="14">
        <v>0.5854166666666667</v>
      </c>
      <c r="C885" s="10" t="s">
        <v>22</v>
      </c>
      <c r="D885" s="10" t="e" cm="1">
        <f t="array" ref="D885">INDEX($H$2:$H$35, MATCH(1, (A885 &gt;= $F$2:$F$35) * (A885 &lt;= $G$2:$G$35), 0))</f>
        <v>#N/A</v>
      </c>
      <c r="E885" s="10" t="str">
        <f>IF(COUNTIF('Top5'!I:I, D885) &gt; 0, "Yes", "No")</f>
        <v>No</v>
      </c>
      <c r="F885" s="10"/>
      <c r="G885">
        <v>45761</v>
      </c>
      <c r="H885">
        <v>0.5854166666666667</v>
      </c>
      <c r="I885" t="s">
        <v>22</v>
      </c>
      <c r="J885" t="s">
        <v>42</v>
      </c>
      <c r="K885" t="s">
        <v>68</v>
      </c>
    </row>
    <row r="886" spans="1:11">
      <c r="A886" s="11">
        <v>45761</v>
      </c>
      <c r="B886" s="14">
        <v>0.77013888888888893</v>
      </c>
      <c r="C886" s="10" t="s">
        <v>23</v>
      </c>
      <c r="D886" s="10" t="e" cm="1">
        <f t="array" ref="D886">INDEX($H$2:$H$35, MATCH(1, (A886 &gt;= $F$2:$F$35) * (A886 &lt;= $G$2:$G$35), 0))</f>
        <v>#N/A</v>
      </c>
      <c r="E886" s="10" t="str">
        <f>IF(COUNTIF('Top5'!I:I, D886) &gt; 0, "Yes", "No")</f>
        <v>No</v>
      </c>
      <c r="F886" s="10"/>
      <c r="G886">
        <v>45761</v>
      </c>
      <c r="H886">
        <v>0.77013888888888893</v>
      </c>
      <c r="I886" t="s">
        <v>23</v>
      </c>
      <c r="J886" t="s">
        <v>42</v>
      </c>
      <c r="K886" t="s">
        <v>68</v>
      </c>
    </row>
    <row r="887" spans="1:11">
      <c r="A887" s="11">
        <v>45761</v>
      </c>
      <c r="B887" s="14">
        <v>0.77152777777777781</v>
      </c>
      <c r="C887" s="10" t="s">
        <v>23</v>
      </c>
      <c r="D887" s="10" t="e" cm="1">
        <f t="array" ref="D887">INDEX($H$2:$H$35, MATCH(1, (A887 &gt;= $F$2:$F$35) * (A887 &lt;= $G$2:$G$35), 0))</f>
        <v>#N/A</v>
      </c>
      <c r="E887" s="10" t="str">
        <f>IF(COUNTIF('Top5'!I:I, D887) &gt; 0, "Yes", "No")</f>
        <v>No</v>
      </c>
      <c r="F887" s="10"/>
      <c r="G887">
        <v>45761</v>
      </c>
      <c r="H887">
        <v>0.77152777777777781</v>
      </c>
      <c r="I887" t="s">
        <v>23</v>
      </c>
      <c r="J887" t="s">
        <v>42</v>
      </c>
      <c r="K887" t="s">
        <v>68</v>
      </c>
    </row>
    <row r="888" spans="1:11">
      <c r="A888" s="11">
        <v>45761</v>
      </c>
      <c r="B888" s="14">
        <v>0.78472222222222221</v>
      </c>
      <c r="C888" s="10" t="s">
        <v>23</v>
      </c>
      <c r="D888" s="10" t="e" cm="1">
        <f t="array" ref="D888">INDEX($H$2:$H$35, MATCH(1, (A888 &gt;= $F$2:$F$35) * (A888 &lt;= $G$2:$G$35), 0))</f>
        <v>#N/A</v>
      </c>
      <c r="E888" s="10" t="str">
        <f>IF(COUNTIF('Top5'!I:I, D888) &gt; 0, "Yes", "No")</f>
        <v>No</v>
      </c>
      <c r="F888" s="10"/>
      <c r="G888">
        <v>45761</v>
      </c>
      <c r="H888">
        <v>0.78472222222222221</v>
      </c>
      <c r="I888" t="s">
        <v>23</v>
      </c>
      <c r="J888" t="s">
        <v>42</v>
      </c>
      <c r="K888" t="s">
        <v>68</v>
      </c>
    </row>
    <row r="889" spans="1:11">
      <c r="A889" s="11">
        <v>45761</v>
      </c>
      <c r="B889" s="14">
        <v>0.85416666666666663</v>
      </c>
      <c r="C889" s="10" t="s">
        <v>23</v>
      </c>
      <c r="D889" s="10" t="e" cm="1">
        <f t="array" ref="D889">INDEX($H$2:$H$35, MATCH(1, (A889 &gt;= $F$2:$F$35) * (A889 &lt;= $G$2:$G$35), 0))</f>
        <v>#N/A</v>
      </c>
      <c r="E889" s="10" t="str">
        <f>IF(COUNTIF('Top5'!I:I, D889) &gt; 0, "Yes", "No")</f>
        <v>No</v>
      </c>
      <c r="F889" s="10"/>
      <c r="G889">
        <v>45761</v>
      </c>
      <c r="H889">
        <v>0.85416666666666663</v>
      </c>
      <c r="I889" t="s">
        <v>23</v>
      </c>
      <c r="J889" t="s">
        <v>42</v>
      </c>
      <c r="K889" t="s">
        <v>68</v>
      </c>
    </row>
    <row r="890" spans="1:11">
      <c r="A890" s="11">
        <v>45762</v>
      </c>
      <c r="B890" s="14">
        <v>0.41666666666666669</v>
      </c>
      <c r="C890" s="10" t="s">
        <v>22</v>
      </c>
      <c r="D890" s="10" t="e" cm="1">
        <f t="array" ref="D890">INDEX($H$2:$H$35, MATCH(1, (A890 &gt;= $F$2:$F$35) * (A890 &lt;= $G$2:$G$35), 0))</f>
        <v>#N/A</v>
      </c>
      <c r="E890" s="10" t="str">
        <f>IF(COUNTIF('Top5'!I:I, D890) &gt; 0, "Yes", "No")</f>
        <v>No</v>
      </c>
      <c r="F890" s="10"/>
      <c r="G890">
        <v>45762</v>
      </c>
      <c r="H890">
        <v>0.41666666666666669</v>
      </c>
      <c r="I890" t="s">
        <v>22</v>
      </c>
      <c r="J890" t="s">
        <v>47</v>
      </c>
      <c r="K890" t="s">
        <v>68</v>
      </c>
    </row>
    <row r="891" spans="1:11">
      <c r="A891" s="11">
        <v>45762</v>
      </c>
      <c r="B891" s="14">
        <v>0.45763888888888887</v>
      </c>
      <c r="C891" s="10" t="s">
        <v>22</v>
      </c>
      <c r="D891" s="10" t="e" cm="1">
        <f t="array" ref="D891">INDEX($H$2:$H$35, MATCH(1, (A891 &gt;= $F$2:$F$35) * (A891 &lt;= $G$2:$G$35), 0))</f>
        <v>#N/A</v>
      </c>
      <c r="E891" s="10" t="str">
        <f>IF(COUNTIF('Top5'!I:I, D891) &gt; 0, "Yes", "No")</f>
        <v>No</v>
      </c>
      <c r="F891" s="10"/>
      <c r="G891">
        <v>45762</v>
      </c>
      <c r="H891">
        <v>0.45763888888888887</v>
      </c>
      <c r="I891" t="s">
        <v>22</v>
      </c>
      <c r="J891" t="s">
        <v>47</v>
      </c>
      <c r="K891" t="s">
        <v>68</v>
      </c>
    </row>
    <row r="892" spans="1:11">
      <c r="A892" s="11">
        <v>45762</v>
      </c>
      <c r="B892" s="14">
        <v>0.45763888888888887</v>
      </c>
      <c r="C892" s="10" t="s">
        <v>22</v>
      </c>
      <c r="D892" s="10" t="e" cm="1">
        <f t="array" ref="D892">INDEX($H$2:$H$35, MATCH(1, (A892 &gt;= $F$2:$F$35) * (A892 &lt;= $G$2:$G$35), 0))</f>
        <v>#N/A</v>
      </c>
      <c r="E892" s="10" t="str">
        <f>IF(COUNTIF('Top5'!I:I, D892) &gt; 0, "Yes", "No")</f>
        <v>No</v>
      </c>
      <c r="F892" s="10"/>
      <c r="G892">
        <v>45762</v>
      </c>
      <c r="H892">
        <v>0.45763888888888887</v>
      </c>
      <c r="I892" t="s">
        <v>22</v>
      </c>
      <c r="J892" t="s">
        <v>47</v>
      </c>
      <c r="K892" t="s">
        <v>68</v>
      </c>
    </row>
    <row r="893" spans="1:11">
      <c r="A893" s="11">
        <v>45762</v>
      </c>
      <c r="B893" s="14">
        <v>0.6381944444444444</v>
      </c>
      <c r="C893" s="10" t="s">
        <v>22</v>
      </c>
      <c r="D893" s="10" t="e" cm="1">
        <f t="array" ref="D893">INDEX($H$2:$H$35, MATCH(1, (A893 &gt;= $F$2:$F$35) * (A893 &lt;= $G$2:$G$35), 0))</f>
        <v>#N/A</v>
      </c>
      <c r="E893" s="10" t="str">
        <f>IF(COUNTIF('Top5'!I:I, D893) &gt; 0, "Yes", "No")</f>
        <v>No</v>
      </c>
      <c r="F893" s="10"/>
      <c r="G893">
        <v>45762</v>
      </c>
      <c r="H893">
        <v>0.6381944444444444</v>
      </c>
      <c r="I893" t="s">
        <v>22</v>
      </c>
      <c r="J893" t="s">
        <v>47</v>
      </c>
      <c r="K893" t="s">
        <v>68</v>
      </c>
    </row>
    <row r="894" spans="1:11">
      <c r="A894" s="11">
        <v>45762</v>
      </c>
      <c r="B894" s="14">
        <v>0.73888888888888893</v>
      </c>
      <c r="C894" s="10" t="s">
        <v>23</v>
      </c>
      <c r="D894" s="10" t="e" cm="1">
        <f t="array" ref="D894">INDEX($H$2:$H$35, MATCH(1, (A894 &gt;= $F$2:$F$35) * (A894 &lt;= $G$2:$G$35), 0))</f>
        <v>#N/A</v>
      </c>
      <c r="E894" s="10" t="str">
        <f>IF(COUNTIF('Top5'!I:I, D894) &gt; 0, "Yes", "No")</f>
        <v>No</v>
      </c>
      <c r="F894" s="10"/>
      <c r="G894">
        <v>45762</v>
      </c>
      <c r="H894">
        <v>0.73888888888888893</v>
      </c>
      <c r="I894" t="s">
        <v>23</v>
      </c>
      <c r="J894" t="s">
        <v>47</v>
      </c>
      <c r="K894" t="s">
        <v>68</v>
      </c>
    </row>
    <row r="895" spans="1:11">
      <c r="A895" s="11">
        <v>45762</v>
      </c>
      <c r="B895" s="14">
        <v>0.7680555555555556</v>
      </c>
      <c r="C895" s="10" t="s">
        <v>23</v>
      </c>
      <c r="D895" s="10" t="e" cm="1">
        <f t="array" ref="D895">INDEX($H$2:$H$35, MATCH(1, (A895 &gt;= $F$2:$F$35) * (A895 &lt;= $G$2:$G$35), 0))</f>
        <v>#N/A</v>
      </c>
      <c r="E895" s="10" t="str">
        <f>IF(COUNTIF('Top5'!I:I, D895) &gt; 0, "Yes", "No")</f>
        <v>No</v>
      </c>
      <c r="F895" s="10"/>
      <c r="G895">
        <v>45762</v>
      </c>
      <c r="H895">
        <v>0.7680555555555556</v>
      </c>
      <c r="I895" t="s">
        <v>23</v>
      </c>
      <c r="J895" t="s">
        <v>47</v>
      </c>
      <c r="K895" t="s">
        <v>68</v>
      </c>
    </row>
    <row r="896" spans="1:11">
      <c r="A896" s="11">
        <v>45763</v>
      </c>
      <c r="B896" s="14">
        <v>0.43055555555555558</v>
      </c>
      <c r="C896" s="10" t="s">
        <v>22</v>
      </c>
      <c r="D896" s="10" t="e" cm="1">
        <f t="array" ref="D896">INDEX($H$2:$H$35, MATCH(1, (A896 &gt;= $F$2:$F$35) * (A896 &lt;= $G$2:$G$35), 0))</f>
        <v>#N/A</v>
      </c>
      <c r="E896" s="10" t="str">
        <f>IF(COUNTIF('Top5'!I:I, D896) &gt; 0, "Yes", "No")</f>
        <v>No</v>
      </c>
      <c r="F896" s="10"/>
      <c r="G896">
        <v>45763</v>
      </c>
      <c r="H896">
        <v>0.43055555555555558</v>
      </c>
      <c r="I896" t="s">
        <v>22</v>
      </c>
      <c r="J896" t="s">
        <v>47</v>
      </c>
      <c r="K896" t="s">
        <v>68</v>
      </c>
    </row>
    <row r="897" spans="1:11">
      <c r="A897" s="11">
        <v>45763</v>
      </c>
      <c r="B897" s="14">
        <v>0.44722222222222224</v>
      </c>
      <c r="C897" s="10" t="s">
        <v>22</v>
      </c>
      <c r="D897" s="10" t="e" cm="1">
        <f t="array" ref="D897">INDEX($H$2:$H$35, MATCH(1, (A897 &gt;= $F$2:$F$35) * (A897 &lt;= $G$2:$G$35), 0))</f>
        <v>#N/A</v>
      </c>
      <c r="E897" s="10" t="str">
        <f>IF(COUNTIF('Top5'!I:I, D897) &gt; 0, "Yes", "No")</f>
        <v>No</v>
      </c>
      <c r="F897" s="10"/>
      <c r="G897">
        <v>45763</v>
      </c>
      <c r="H897">
        <v>0.44722222222222224</v>
      </c>
      <c r="I897" t="s">
        <v>22</v>
      </c>
      <c r="J897" t="s">
        <v>47</v>
      </c>
      <c r="K897" t="s">
        <v>68</v>
      </c>
    </row>
    <row r="898" spans="1:11">
      <c r="A898" s="11">
        <v>45763</v>
      </c>
      <c r="B898" s="14">
        <v>0.44791666666666669</v>
      </c>
      <c r="C898" s="10" t="s">
        <v>22</v>
      </c>
      <c r="D898" s="10" t="e" cm="1">
        <f t="array" ref="D898">INDEX($H$2:$H$35, MATCH(1, (A898 &gt;= $F$2:$F$35) * (A898 &lt;= $G$2:$G$35), 0))</f>
        <v>#N/A</v>
      </c>
      <c r="E898" s="10" t="str">
        <f>IF(COUNTIF('Top5'!I:I, D898) &gt; 0, "Yes", "No")</f>
        <v>No</v>
      </c>
      <c r="F898" s="10"/>
      <c r="G898">
        <v>45763</v>
      </c>
      <c r="H898">
        <v>0.44791666666666669</v>
      </c>
      <c r="I898" t="s">
        <v>22</v>
      </c>
      <c r="J898" t="s">
        <v>47</v>
      </c>
      <c r="K898" t="s">
        <v>68</v>
      </c>
    </row>
    <row r="899" spans="1:11">
      <c r="A899" s="11">
        <v>45763</v>
      </c>
      <c r="B899" s="14">
        <v>0.53194444444444444</v>
      </c>
      <c r="C899" s="10" t="s">
        <v>22</v>
      </c>
      <c r="D899" s="10" t="e" cm="1">
        <f t="array" ref="D899">INDEX($H$2:$H$35, MATCH(1, (A899 &gt;= $F$2:$F$35) * (A899 &lt;= $G$2:$G$35), 0))</f>
        <v>#N/A</v>
      </c>
      <c r="E899" s="10" t="str">
        <f>IF(COUNTIF('Top5'!I:I, D899) &gt; 0, "Yes", "No")</f>
        <v>No</v>
      </c>
      <c r="F899" s="10"/>
      <c r="G899">
        <v>45763</v>
      </c>
      <c r="H899">
        <v>0.53194444444444444</v>
      </c>
      <c r="I899" t="s">
        <v>22</v>
      </c>
      <c r="J899" t="s">
        <v>47</v>
      </c>
      <c r="K899" t="s">
        <v>68</v>
      </c>
    </row>
    <row r="900" spans="1:11">
      <c r="A900" s="11">
        <v>45763</v>
      </c>
      <c r="B900" s="14">
        <v>0.69166666666666665</v>
      </c>
      <c r="C900" s="10" t="s">
        <v>22</v>
      </c>
      <c r="D900" s="10" t="e" cm="1">
        <f t="array" ref="D900">INDEX($H$2:$H$35, MATCH(1, (A900 &gt;= $F$2:$F$35) * (A900 &lt;= $G$2:$G$35), 0))</f>
        <v>#N/A</v>
      </c>
      <c r="E900" s="10" t="str">
        <f>IF(COUNTIF('Top5'!I:I, D900) &gt; 0, "Yes", "No")</f>
        <v>No</v>
      </c>
      <c r="F900" s="10"/>
      <c r="G900">
        <v>45763</v>
      </c>
      <c r="H900">
        <v>0.69166666666666665</v>
      </c>
      <c r="I900" t="s">
        <v>22</v>
      </c>
      <c r="J900" t="s">
        <v>47</v>
      </c>
      <c r="K900" t="s">
        <v>68</v>
      </c>
    </row>
    <row r="901" spans="1:11">
      <c r="A901" s="11">
        <v>45763</v>
      </c>
      <c r="B901" s="14">
        <v>0.74722222222222223</v>
      </c>
      <c r="C901" s="10" t="s">
        <v>23</v>
      </c>
      <c r="D901" s="10" t="e" cm="1">
        <f t="array" ref="D901">INDEX($H$2:$H$35, MATCH(1, (A901 &gt;= $F$2:$F$35) * (A901 &lt;= $G$2:$G$35), 0))</f>
        <v>#N/A</v>
      </c>
      <c r="E901" s="10" t="str">
        <f>IF(COUNTIF('Top5'!I:I, D901) &gt; 0, "Yes", "No")</f>
        <v>No</v>
      </c>
      <c r="F901" s="10"/>
      <c r="G901">
        <v>45763</v>
      </c>
      <c r="H901">
        <v>0.74722222222222223</v>
      </c>
      <c r="I901" t="s">
        <v>23</v>
      </c>
      <c r="J901" t="s">
        <v>47</v>
      </c>
      <c r="K901" t="s">
        <v>68</v>
      </c>
    </row>
    <row r="902" spans="1:11">
      <c r="A902" s="11">
        <v>45763</v>
      </c>
      <c r="B902" s="14">
        <v>0.79652777777777772</v>
      </c>
      <c r="C902" s="10" t="s">
        <v>23</v>
      </c>
      <c r="D902" s="10" t="e" cm="1">
        <f t="array" ref="D902">INDEX($H$2:$H$35, MATCH(1, (A902 &gt;= $F$2:$F$35) * (A902 &lt;= $G$2:$G$35), 0))</f>
        <v>#N/A</v>
      </c>
      <c r="E902" s="10" t="str">
        <f>IF(COUNTIF('Top5'!I:I, D902) &gt; 0, "Yes", "No")</f>
        <v>No</v>
      </c>
      <c r="F902" s="10"/>
      <c r="G902">
        <v>45763</v>
      </c>
      <c r="H902">
        <v>0.79652777777777772</v>
      </c>
      <c r="I902" t="s">
        <v>23</v>
      </c>
      <c r="J902" t="s">
        <v>47</v>
      </c>
      <c r="K902" t="s">
        <v>68</v>
      </c>
    </row>
    <row r="903" spans="1:11">
      <c r="A903" s="11">
        <v>45763</v>
      </c>
      <c r="B903" s="14">
        <v>0.94930555555555551</v>
      </c>
      <c r="C903" s="10" t="s">
        <v>23</v>
      </c>
      <c r="D903" s="10" t="e" cm="1">
        <f t="array" ref="D903">INDEX($H$2:$H$35, MATCH(1, (A903 &gt;= $F$2:$F$35) * (A903 &lt;= $G$2:$G$35), 0))</f>
        <v>#N/A</v>
      </c>
      <c r="E903" s="10" t="str">
        <f>IF(COUNTIF('Top5'!I:I, D903) &gt; 0, "Yes", "No")</f>
        <v>No</v>
      </c>
      <c r="F903" s="10"/>
      <c r="G903">
        <v>45763</v>
      </c>
      <c r="H903">
        <v>0.94930555555555551</v>
      </c>
      <c r="I903" t="s">
        <v>23</v>
      </c>
      <c r="J903" t="s">
        <v>47</v>
      </c>
      <c r="K903" t="s">
        <v>68</v>
      </c>
    </row>
    <row r="904" spans="1:11">
      <c r="A904" s="11">
        <v>45763</v>
      </c>
      <c r="B904" s="14">
        <v>0.95694444444444449</v>
      </c>
      <c r="C904" s="10" t="s">
        <v>23</v>
      </c>
      <c r="D904" s="10" t="e" cm="1">
        <f t="array" ref="D904">INDEX($H$2:$H$35, MATCH(1, (A904 &gt;= $F$2:$F$35) * (A904 &lt;= $G$2:$G$35), 0))</f>
        <v>#N/A</v>
      </c>
      <c r="E904" s="10" t="str">
        <f>IF(COUNTIF('Top5'!I:I, D904) &gt; 0, "Yes", "No")</f>
        <v>No</v>
      </c>
      <c r="F904" s="10"/>
      <c r="G904">
        <v>45763</v>
      </c>
      <c r="H904">
        <v>0.95694444444444449</v>
      </c>
      <c r="I904" t="s">
        <v>23</v>
      </c>
      <c r="J904" t="s">
        <v>47</v>
      </c>
      <c r="K904" t="s">
        <v>68</v>
      </c>
    </row>
    <row r="905" spans="1:11">
      <c r="A905" s="11">
        <v>45763</v>
      </c>
      <c r="B905" s="14">
        <v>0.97638888888888886</v>
      </c>
      <c r="C905" s="10" t="s">
        <v>23</v>
      </c>
      <c r="D905" s="10" t="e" cm="1">
        <f t="array" ref="D905">INDEX($H$2:$H$35, MATCH(1, (A905 &gt;= $F$2:$F$35) * (A905 &lt;= $G$2:$G$35), 0))</f>
        <v>#N/A</v>
      </c>
      <c r="E905" s="10" t="str">
        <f>IF(COUNTIF('Top5'!I:I, D905) &gt; 0, "Yes", "No")</f>
        <v>No</v>
      </c>
      <c r="F905" s="10"/>
      <c r="G905">
        <v>45763</v>
      </c>
      <c r="H905">
        <v>0.97638888888888886</v>
      </c>
      <c r="I905" t="s">
        <v>23</v>
      </c>
      <c r="J905" t="s">
        <v>47</v>
      </c>
      <c r="K905" t="s">
        <v>68</v>
      </c>
    </row>
    <row r="906" spans="1:11">
      <c r="A906" s="11">
        <v>45764</v>
      </c>
      <c r="B906" s="14">
        <v>6.2500000000000003E-3</v>
      </c>
      <c r="C906" s="10" t="s">
        <v>23</v>
      </c>
      <c r="D906" s="10" t="e" cm="1">
        <f t="array" ref="D906">INDEX($H$2:$H$35, MATCH(1, (A906 &gt;= $F$2:$F$35) * (A906 &lt;= $G$2:$G$35), 0))</f>
        <v>#N/A</v>
      </c>
      <c r="E906" s="10" t="str">
        <f>IF(COUNTIF('Top5'!I:I, D906) &gt; 0, "Yes", "No")</f>
        <v>No</v>
      </c>
      <c r="F906" s="10"/>
      <c r="G906">
        <v>45764</v>
      </c>
      <c r="H906">
        <v>6.2500000000000003E-3</v>
      </c>
      <c r="I906" t="s">
        <v>23</v>
      </c>
      <c r="J906" t="s">
        <v>47</v>
      </c>
      <c r="K906" t="s">
        <v>68</v>
      </c>
    </row>
    <row r="907" spans="1:11">
      <c r="A907" s="11">
        <v>45764</v>
      </c>
      <c r="B907" s="14">
        <v>8.3333333333333332E-3</v>
      </c>
      <c r="C907" s="10" t="s">
        <v>23</v>
      </c>
      <c r="D907" s="10" t="e" cm="1">
        <f t="array" ref="D907">INDEX($H$2:$H$35, MATCH(1, (A907 &gt;= $F$2:$F$35) * (A907 &lt;= $G$2:$G$35), 0))</f>
        <v>#N/A</v>
      </c>
      <c r="E907" s="10" t="str">
        <f>IF(COUNTIF('Top5'!I:I, D907) &gt; 0, "Yes", "No")</f>
        <v>No</v>
      </c>
      <c r="F907" s="10"/>
      <c r="G907">
        <v>45764</v>
      </c>
      <c r="H907">
        <v>8.3333333333333332E-3</v>
      </c>
      <c r="I907" t="s">
        <v>23</v>
      </c>
      <c r="J907" t="s">
        <v>47</v>
      </c>
      <c r="K907" t="s">
        <v>68</v>
      </c>
    </row>
    <row r="908" spans="1:11">
      <c r="A908" s="11">
        <v>45764</v>
      </c>
      <c r="B908" s="14">
        <v>1.0416666666666666E-2</v>
      </c>
      <c r="C908" s="10" t="s">
        <v>23</v>
      </c>
      <c r="D908" s="10" t="e" cm="1">
        <f t="array" ref="D908">INDEX($H$2:$H$35, MATCH(1, (A908 &gt;= $F$2:$F$35) * (A908 &lt;= $G$2:$G$35), 0))</f>
        <v>#N/A</v>
      </c>
      <c r="E908" s="10" t="str">
        <f>IF(COUNTIF('Top5'!I:I, D908) &gt; 0, "Yes", "No")</f>
        <v>No</v>
      </c>
      <c r="F908" s="10"/>
      <c r="G908">
        <v>45764</v>
      </c>
      <c r="H908">
        <v>1.0416666666666666E-2</v>
      </c>
      <c r="I908" t="s">
        <v>23</v>
      </c>
      <c r="J908" t="s">
        <v>47</v>
      </c>
      <c r="K908" t="s">
        <v>68</v>
      </c>
    </row>
    <row r="909" spans="1:11">
      <c r="A909" s="11">
        <v>45764</v>
      </c>
      <c r="B909" s="14">
        <v>1.1111111111111112E-2</v>
      </c>
      <c r="C909" s="10" t="s">
        <v>23</v>
      </c>
      <c r="D909" s="10" t="e" cm="1">
        <f t="array" ref="D909">INDEX($H$2:$H$35, MATCH(1, (A909 &gt;= $F$2:$F$35) * (A909 &lt;= $G$2:$G$35), 0))</f>
        <v>#N/A</v>
      </c>
      <c r="E909" s="10" t="str">
        <f>IF(COUNTIF('Top5'!I:I, D909) &gt; 0, "Yes", "No")</f>
        <v>No</v>
      </c>
      <c r="F909" s="10"/>
      <c r="G909">
        <v>45764</v>
      </c>
      <c r="H909">
        <v>1.1111111111111112E-2</v>
      </c>
      <c r="I909" t="s">
        <v>23</v>
      </c>
      <c r="J909" t="s">
        <v>47</v>
      </c>
      <c r="K909" t="s">
        <v>68</v>
      </c>
    </row>
    <row r="910" spans="1:11">
      <c r="A910" s="11">
        <v>45764</v>
      </c>
      <c r="B910" s="14">
        <v>0.36805555555555558</v>
      </c>
      <c r="C910" s="10" t="s">
        <v>22</v>
      </c>
      <c r="D910" s="10" t="e" cm="1">
        <f t="array" ref="D910">INDEX($H$2:$H$35, MATCH(1, (A910 &gt;= $F$2:$F$35) * (A910 &lt;= $G$2:$G$35), 0))</f>
        <v>#N/A</v>
      </c>
      <c r="E910" s="10" t="str">
        <f>IF(COUNTIF('Top5'!I:I, D910) &gt; 0, "Yes", "No")</f>
        <v>No</v>
      </c>
      <c r="F910" s="10"/>
      <c r="G910">
        <v>45764</v>
      </c>
      <c r="H910">
        <v>0.36805555555555558</v>
      </c>
      <c r="I910" t="s">
        <v>22</v>
      </c>
      <c r="J910" t="s">
        <v>47</v>
      </c>
      <c r="K910" t="s">
        <v>68</v>
      </c>
    </row>
    <row r="911" spans="1:11">
      <c r="A911" s="11">
        <v>45764</v>
      </c>
      <c r="B911" s="14">
        <v>0.36944444444444446</v>
      </c>
      <c r="C911" s="10" t="s">
        <v>22</v>
      </c>
      <c r="D911" s="10" t="e" cm="1">
        <f t="array" ref="D911">INDEX($H$2:$H$35, MATCH(1, (A911 &gt;= $F$2:$F$35) * (A911 &lt;= $G$2:$G$35), 0))</f>
        <v>#N/A</v>
      </c>
      <c r="E911" s="10" t="str">
        <f>IF(COUNTIF('Top5'!I:I, D911) &gt; 0, "Yes", "No")</f>
        <v>No</v>
      </c>
      <c r="F911" s="10"/>
      <c r="G911">
        <v>45764</v>
      </c>
      <c r="H911">
        <v>0.36944444444444446</v>
      </c>
      <c r="I911" t="s">
        <v>22</v>
      </c>
      <c r="J911" t="s">
        <v>47</v>
      </c>
      <c r="K911" t="s">
        <v>68</v>
      </c>
    </row>
    <row r="912" spans="1:11">
      <c r="A912" s="11">
        <v>45764</v>
      </c>
      <c r="B912" s="14">
        <v>0.43402777777777779</v>
      </c>
      <c r="C912" s="10" t="s">
        <v>22</v>
      </c>
      <c r="D912" s="10" t="e" cm="1">
        <f t="array" ref="D912">INDEX($H$2:$H$35, MATCH(1, (A912 &gt;= $F$2:$F$35) * (A912 &lt;= $G$2:$G$35), 0))</f>
        <v>#N/A</v>
      </c>
      <c r="E912" s="10" t="str">
        <f>IF(COUNTIF('Top5'!I:I, D912) &gt; 0, "Yes", "No")</f>
        <v>No</v>
      </c>
      <c r="F912" s="10"/>
      <c r="G912">
        <v>45764</v>
      </c>
      <c r="H912">
        <v>0.43402777777777779</v>
      </c>
      <c r="I912" t="s">
        <v>22</v>
      </c>
      <c r="J912" t="s">
        <v>47</v>
      </c>
      <c r="K912" t="s">
        <v>68</v>
      </c>
    </row>
    <row r="913" spans="1:11">
      <c r="A913" s="11">
        <v>45764</v>
      </c>
      <c r="B913" s="14">
        <v>0.43402777777777779</v>
      </c>
      <c r="C913" s="10" t="s">
        <v>22</v>
      </c>
      <c r="D913" s="10" t="e" cm="1">
        <f t="array" ref="D913">INDEX($H$2:$H$35, MATCH(1, (A913 &gt;= $F$2:$F$35) * (A913 &lt;= $G$2:$G$35), 0))</f>
        <v>#N/A</v>
      </c>
      <c r="E913" s="10" t="str">
        <f>IF(COUNTIF('Top5'!I:I, D913) &gt; 0, "Yes", "No")</f>
        <v>No</v>
      </c>
      <c r="F913" s="10"/>
      <c r="G913">
        <v>45764</v>
      </c>
      <c r="H913">
        <v>0.43402777777777779</v>
      </c>
      <c r="I913" t="s">
        <v>22</v>
      </c>
      <c r="J913" t="s">
        <v>47</v>
      </c>
      <c r="K913" t="s">
        <v>68</v>
      </c>
    </row>
    <row r="914" spans="1:11">
      <c r="A914" s="11">
        <v>45764</v>
      </c>
      <c r="B914" s="14">
        <v>0.44513888888888886</v>
      </c>
      <c r="C914" s="10" t="s">
        <v>22</v>
      </c>
      <c r="D914" s="10" t="e" cm="1">
        <f t="array" ref="D914">INDEX($H$2:$H$35, MATCH(1, (A914 &gt;= $F$2:$F$35) * (A914 &lt;= $G$2:$G$35), 0))</f>
        <v>#N/A</v>
      </c>
      <c r="E914" s="10" t="str">
        <f>IF(COUNTIF('Top5'!I:I, D914) &gt; 0, "Yes", "No")</f>
        <v>No</v>
      </c>
      <c r="F914" s="10"/>
      <c r="G914">
        <v>45764</v>
      </c>
      <c r="H914">
        <v>0.44513888888888886</v>
      </c>
      <c r="I914" t="s">
        <v>22</v>
      </c>
      <c r="J914" t="s">
        <v>47</v>
      </c>
      <c r="K914" t="s">
        <v>68</v>
      </c>
    </row>
    <row r="915" spans="1:11">
      <c r="A915" s="11">
        <v>45764</v>
      </c>
      <c r="B915" s="14">
        <v>0.4548611111111111</v>
      </c>
      <c r="C915" s="10" t="s">
        <v>22</v>
      </c>
      <c r="D915" s="10" t="e" cm="1">
        <f t="array" ref="D915">INDEX($H$2:$H$35, MATCH(1, (A915 &gt;= $F$2:$F$35) * (A915 &lt;= $G$2:$G$35), 0))</f>
        <v>#N/A</v>
      </c>
      <c r="E915" s="10" t="str">
        <f>IF(COUNTIF('Top5'!I:I, D915) &gt; 0, "Yes", "No")</f>
        <v>No</v>
      </c>
      <c r="F915" s="10"/>
      <c r="G915">
        <v>45764</v>
      </c>
      <c r="H915">
        <v>0.4548611111111111</v>
      </c>
      <c r="I915" t="s">
        <v>22</v>
      </c>
      <c r="J915" t="s">
        <v>47</v>
      </c>
      <c r="K915" t="s">
        <v>68</v>
      </c>
    </row>
    <row r="916" spans="1:11">
      <c r="A916" s="11">
        <v>45764</v>
      </c>
      <c r="B916" s="14">
        <v>0.48958333333333331</v>
      </c>
      <c r="C916" s="10" t="s">
        <v>22</v>
      </c>
      <c r="D916" s="10" t="e" cm="1">
        <f t="array" ref="D916">INDEX($H$2:$H$35, MATCH(1, (A916 &gt;= $F$2:$F$35) * (A916 &lt;= $G$2:$G$35), 0))</f>
        <v>#N/A</v>
      </c>
      <c r="E916" s="10" t="str">
        <f>IF(COUNTIF('Top5'!I:I, D916) &gt; 0, "Yes", "No")</f>
        <v>No</v>
      </c>
      <c r="F916" s="10"/>
      <c r="G916">
        <v>45764</v>
      </c>
      <c r="H916">
        <v>0.48958333333333331</v>
      </c>
      <c r="I916" t="s">
        <v>22</v>
      </c>
      <c r="J916" t="s">
        <v>47</v>
      </c>
      <c r="K916" t="s">
        <v>68</v>
      </c>
    </row>
    <row r="917" spans="1:11">
      <c r="A917" s="11">
        <v>45765</v>
      </c>
      <c r="B917" s="14">
        <v>0.43611111111111112</v>
      </c>
      <c r="C917" s="10" t="s">
        <v>22</v>
      </c>
      <c r="D917" s="10" t="e" cm="1">
        <f t="array" ref="D917">INDEX($H$2:$H$35, MATCH(1, (A917 &gt;= $F$2:$F$35) * (A917 &lt;= $G$2:$G$35), 0))</f>
        <v>#N/A</v>
      </c>
      <c r="E917" s="10" t="str">
        <f>IF(COUNTIF('Top5'!I:I, D917) &gt; 0, "Yes", "No")</f>
        <v>No</v>
      </c>
      <c r="F917" s="10"/>
      <c r="G917">
        <v>45765</v>
      </c>
      <c r="H917">
        <v>0.43611111111111112</v>
      </c>
      <c r="I917" t="s">
        <v>22</v>
      </c>
      <c r="J917" t="s">
        <v>47</v>
      </c>
      <c r="K917" t="s">
        <v>68</v>
      </c>
    </row>
    <row r="918" spans="1:11">
      <c r="A918" s="11">
        <v>45765</v>
      </c>
      <c r="B918" s="14">
        <v>0.44166666666666665</v>
      </c>
      <c r="C918" s="10" t="s">
        <v>22</v>
      </c>
      <c r="D918" s="10" t="e" cm="1">
        <f t="array" ref="D918">INDEX($H$2:$H$35, MATCH(1, (A918 &gt;= $F$2:$F$35) * (A918 &lt;= $G$2:$G$35), 0))</f>
        <v>#N/A</v>
      </c>
      <c r="E918" s="10" t="str">
        <f>IF(COUNTIF('Top5'!I:I, D918) &gt; 0, "Yes", "No")</f>
        <v>No</v>
      </c>
      <c r="F918" s="10"/>
      <c r="G918">
        <v>45765</v>
      </c>
      <c r="H918">
        <v>0.44166666666666665</v>
      </c>
      <c r="I918" t="s">
        <v>22</v>
      </c>
      <c r="J918" t="s">
        <v>47</v>
      </c>
      <c r="K918" t="s">
        <v>68</v>
      </c>
    </row>
    <row r="919" spans="1:11">
      <c r="A919" s="11">
        <v>45765</v>
      </c>
      <c r="B919" s="14">
        <v>0.44374999999999998</v>
      </c>
      <c r="C919" s="10" t="s">
        <v>22</v>
      </c>
      <c r="D919" s="10" t="e" cm="1">
        <f t="array" ref="D919">INDEX($H$2:$H$35, MATCH(1, (A919 &gt;= $F$2:$F$35) * (A919 &lt;= $G$2:$G$35), 0))</f>
        <v>#N/A</v>
      </c>
      <c r="E919" s="10" t="str">
        <f>IF(COUNTIF('Top5'!I:I, D919) &gt; 0, "Yes", "No")</f>
        <v>No</v>
      </c>
      <c r="F919" s="10"/>
      <c r="G919">
        <v>45765</v>
      </c>
      <c r="H919">
        <v>0.44374999999999998</v>
      </c>
      <c r="I919" t="s">
        <v>22</v>
      </c>
      <c r="J919" t="s">
        <v>47</v>
      </c>
      <c r="K919" t="s">
        <v>68</v>
      </c>
    </row>
    <row r="920" spans="1:11">
      <c r="A920" s="11">
        <v>45765</v>
      </c>
      <c r="B920" s="14">
        <v>0.71388888888888891</v>
      </c>
      <c r="C920" s="10" t="s">
        <v>23</v>
      </c>
      <c r="D920" s="10" t="e" cm="1">
        <f t="array" ref="D920">INDEX($H$2:$H$35, MATCH(1, (A920 &gt;= $F$2:$F$35) * (A920 &lt;= $G$2:$G$35), 0))</f>
        <v>#N/A</v>
      </c>
      <c r="E920" s="10" t="str">
        <f>IF(COUNTIF('Top5'!I:I, D920) &gt; 0, "Yes", "No")</f>
        <v>No</v>
      </c>
      <c r="F920" s="10"/>
      <c r="G920">
        <v>45765</v>
      </c>
      <c r="H920">
        <v>0.71388888888888891</v>
      </c>
      <c r="I920" t="s">
        <v>23</v>
      </c>
      <c r="J920" t="s">
        <v>47</v>
      </c>
      <c r="K920" t="s">
        <v>68</v>
      </c>
    </row>
    <row r="921" spans="1:11">
      <c r="A921" s="11">
        <v>45765</v>
      </c>
      <c r="B921" s="14">
        <v>0.90347222222222223</v>
      </c>
      <c r="C921" s="10" t="s">
        <v>23</v>
      </c>
      <c r="D921" s="10" t="e" cm="1">
        <f t="array" ref="D921">INDEX($H$2:$H$35, MATCH(1, (A921 &gt;= $F$2:$F$35) * (A921 &lt;= $G$2:$G$35), 0))</f>
        <v>#N/A</v>
      </c>
      <c r="E921" s="10" t="str">
        <f>IF(COUNTIF('Top5'!I:I, D921) &gt; 0, "Yes", "No")</f>
        <v>No</v>
      </c>
      <c r="F921" s="10"/>
      <c r="G921">
        <v>45765</v>
      </c>
      <c r="H921">
        <v>0.90347222222222223</v>
      </c>
      <c r="I921" t="s">
        <v>23</v>
      </c>
      <c r="J921" t="s">
        <v>47</v>
      </c>
      <c r="K921" t="s">
        <v>68</v>
      </c>
    </row>
    <row r="922" spans="1:11">
      <c r="A922" s="11">
        <v>45766</v>
      </c>
      <c r="B922" s="14">
        <v>0.46597222222222223</v>
      </c>
      <c r="C922" s="10" t="s">
        <v>22</v>
      </c>
      <c r="D922" s="10" t="e" cm="1">
        <f t="array" ref="D922">INDEX($H$2:$H$35, MATCH(1, (A922 &gt;= $F$2:$F$35) * (A922 &lt;= $G$2:$G$35), 0))</f>
        <v>#N/A</v>
      </c>
      <c r="E922" s="10" t="str">
        <f>IF(COUNTIF('Top5'!I:I, D922) &gt; 0, "Yes", "No")</f>
        <v>No</v>
      </c>
      <c r="F922" s="10"/>
      <c r="G922">
        <v>45766</v>
      </c>
      <c r="H922">
        <v>0.46597222222222223</v>
      </c>
      <c r="I922" t="s">
        <v>22</v>
      </c>
      <c r="J922" t="s">
        <v>47</v>
      </c>
      <c r="K922" t="s">
        <v>68</v>
      </c>
    </row>
    <row r="923" spans="1:11">
      <c r="A923" s="11">
        <v>45766</v>
      </c>
      <c r="B923" s="14">
        <v>0.47152777777777777</v>
      </c>
      <c r="C923" s="10" t="s">
        <v>22</v>
      </c>
      <c r="D923" s="10" t="e" cm="1">
        <f t="array" ref="D923">INDEX($H$2:$H$35, MATCH(1, (A923 &gt;= $F$2:$F$35) * (A923 &lt;= $G$2:$G$35), 0))</f>
        <v>#N/A</v>
      </c>
      <c r="E923" s="10" t="str">
        <f>IF(COUNTIF('Top5'!I:I, D923) &gt; 0, "Yes", "No")</f>
        <v>No</v>
      </c>
      <c r="F923" s="10"/>
      <c r="G923">
        <v>45766</v>
      </c>
      <c r="H923">
        <v>0.47152777777777777</v>
      </c>
      <c r="I923" t="s">
        <v>22</v>
      </c>
      <c r="J923" t="s">
        <v>47</v>
      </c>
      <c r="K923" t="s">
        <v>68</v>
      </c>
    </row>
    <row r="924" spans="1:11">
      <c r="A924" s="11">
        <v>45766</v>
      </c>
      <c r="B924" s="14">
        <v>0.61597222222222225</v>
      </c>
      <c r="C924" s="10" t="s">
        <v>22</v>
      </c>
      <c r="D924" s="10" t="e" cm="1">
        <f t="array" ref="D924">INDEX($H$2:$H$35, MATCH(1, (A924 &gt;= $F$2:$F$35) * (A924 &lt;= $G$2:$G$35), 0))</f>
        <v>#N/A</v>
      </c>
      <c r="E924" s="10" t="str">
        <f>IF(COUNTIF('Top5'!I:I, D924) &gt; 0, "Yes", "No")</f>
        <v>No</v>
      </c>
      <c r="F924" s="10"/>
      <c r="G924">
        <v>45766</v>
      </c>
      <c r="H924">
        <v>0.61597222222222225</v>
      </c>
      <c r="I924" t="s">
        <v>22</v>
      </c>
      <c r="J924" t="s">
        <v>47</v>
      </c>
      <c r="K924" t="s">
        <v>68</v>
      </c>
    </row>
    <row r="925" spans="1:11">
      <c r="A925" s="11">
        <v>45767</v>
      </c>
      <c r="B925" s="14">
        <v>0.44930555555555557</v>
      </c>
      <c r="C925" s="10" t="s">
        <v>22</v>
      </c>
      <c r="D925" s="10" t="e" cm="1">
        <f t="array" ref="D925">INDEX($H$2:$H$35, MATCH(1, (A925 &gt;= $F$2:$F$35) * (A925 &lt;= $G$2:$G$35), 0))</f>
        <v>#N/A</v>
      </c>
      <c r="E925" s="10" t="str">
        <f>IF(COUNTIF('Top5'!I:I, D925) &gt; 0, "Yes", "No")</f>
        <v>No</v>
      </c>
      <c r="F925" s="10"/>
      <c r="G925">
        <v>45767</v>
      </c>
      <c r="H925">
        <v>0.44930555555555557</v>
      </c>
      <c r="I925" t="s">
        <v>22</v>
      </c>
      <c r="J925" t="s">
        <v>47</v>
      </c>
      <c r="K925" t="s">
        <v>68</v>
      </c>
    </row>
    <row r="926" spans="1:11">
      <c r="A926" s="11">
        <v>45767</v>
      </c>
      <c r="B926" s="14">
        <v>0.4597222222222222</v>
      </c>
      <c r="C926" s="10" t="s">
        <v>22</v>
      </c>
      <c r="D926" s="10" t="e" cm="1">
        <f t="array" ref="D926">INDEX($H$2:$H$35, MATCH(1, (A926 &gt;= $F$2:$F$35) * (A926 &lt;= $G$2:$G$35), 0))</f>
        <v>#N/A</v>
      </c>
      <c r="E926" s="10" t="str">
        <f>IF(COUNTIF('Top5'!I:I, D926) &gt; 0, "Yes", "No")</f>
        <v>No</v>
      </c>
      <c r="F926" s="10"/>
      <c r="G926">
        <v>45767</v>
      </c>
      <c r="H926">
        <v>0.4597222222222222</v>
      </c>
      <c r="I926" t="s">
        <v>22</v>
      </c>
      <c r="J926" t="s">
        <v>47</v>
      </c>
      <c r="K926" t="s">
        <v>68</v>
      </c>
    </row>
    <row r="927" spans="1:11">
      <c r="A927" s="11">
        <v>45767</v>
      </c>
      <c r="B927" s="14">
        <v>0.48888888888888887</v>
      </c>
      <c r="C927" s="10" t="s">
        <v>22</v>
      </c>
      <c r="D927" s="10" t="e" cm="1">
        <f t="array" ref="D927">INDEX($H$2:$H$35, MATCH(1, (A927 &gt;= $F$2:$F$35) * (A927 &lt;= $G$2:$G$35), 0))</f>
        <v>#N/A</v>
      </c>
      <c r="E927" s="10" t="str">
        <f>IF(COUNTIF('Top5'!I:I, D927) &gt; 0, "Yes", "No")</f>
        <v>No</v>
      </c>
      <c r="F927" s="10"/>
      <c r="G927">
        <v>45767</v>
      </c>
      <c r="H927">
        <v>0.48888888888888887</v>
      </c>
      <c r="I927" t="s">
        <v>22</v>
      </c>
      <c r="J927" t="s">
        <v>47</v>
      </c>
      <c r="K927" t="s">
        <v>68</v>
      </c>
    </row>
    <row r="928" spans="1:11">
      <c r="A928" s="11">
        <v>45768</v>
      </c>
      <c r="B928" s="14">
        <v>0.76736111111111116</v>
      </c>
      <c r="C928" s="10" t="s">
        <v>23</v>
      </c>
      <c r="D928" s="10" t="e" cm="1">
        <f t="array" ref="D928">INDEX($H$2:$H$35, MATCH(1, (A928 &gt;= $F$2:$F$35) * (A928 &lt;= $G$2:$G$35), 0))</f>
        <v>#N/A</v>
      </c>
      <c r="E928" s="10" t="str">
        <f>IF(COUNTIF('Top5'!I:I, D928) &gt; 0, "Yes", "No")</f>
        <v>No</v>
      </c>
      <c r="F928" s="10"/>
      <c r="G928">
        <v>45768</v>
      </c>
      <c r="H928">
        <v>0.76736111111111116</v>
      </c>
      <c r="I928" t="s">
        <v>23</v>
      </c>
      <c r="J928" t="s">
        <v>47</v>
      </c>
      <c r="K928" t="s">
        <v>68</v>
      </c>
    </row>
    <row r="929" spans="1:11">
      <c r="A929" s="11">
        <v>45768</v>
      </c>
      <c r="B929" s="14">
        <v>0.7729166666666667</v>
      </c>
      <c r="C929" s="10" t="s">
        <v>23</v>
      </c>
      <c r="D929" s="10" t="e" cm="1">
        <f t="array" ref="D929">INDEX($H$2:$H$35, MATCH(1, (A929 &gt;= $F$2:$F$35) * (A929 &lt;= $G$2:$G$35), 0))</f>
        <v>#N/A</v>
      </c>
      <c r="E929" s="10" t="str">
        <f>IF(COUNTIF('Top5'!I:I, D929) &gt; 0, "Yes", "No")</f>
        <v>No</v>
      </c>
      <c r="F929" s="10"/>
      <c r="G929">
        <v>45768</v>
      </c>
      <c r="H929">
        <v>0.7729166666666667</v>
      </c>
      <c r="I929" t="s">
        <v>23</v>
      </c>
      <c r="J929" t="s">
        <v>47</v>
      </c>
      <c r="K929" t="s">
        <v>68</v>
      </c>
    </row>
    <row r="930" spans="1:11">
      <c r="A930" s="11">
        <v>45768</v>
      </c>
      <c r="B930" s="14">
        <v>0.78263888888888888</v>
      </c>
      <c r="C930" s="10" t="s">
        <v>23</v>
      </c>
      <c r="D930" s="10" t="e" cm="1">
        <f t="array" ref="D930">INDEX($H$2:$H$35, MATCH(1, (A930 &gt;= $F$2:$F$35) * (A930 &lt;= $G$2:$G$35), 0))</f>
        <v>#N/A</v>
      </c>
      <c r="E930" s="10" t="str">
        <f>IF(COUNTIF('Top5'!I:I, D930) &gt; 0, "Yes", "No")</f>
        <v>No</v>
      </c>
      <c r="F930" s="10"/>
      <c r="G930">
        <v>45768</v>
      </c>
      <c r="H930">
        <v>0.78263888888888888</v>
      </c>
      <c r="I930" t="s">
        <v>23</v>
      </c>
      <c r="J930" t="s">
        <v>47</v>
      </c>
      <c r="K930" t="s">
        <v>68</v>
      </c>
    </row>
    <row r="931" spans="1:11">
      <c r="A931" s="11">
        <v>45769</v>
      </c>
      <c r="B931" s="14">
        <v>0.4513888888888889</v>
      </c>
      <c r="C931" s="10" t="s">
        <v>22</v>
      </c>
      <c r="D931" s="10" t="e" cm="1">
        <f t="array" ref="D931">INDEX($H$2:$H$35, MATCH(1, (A931 &gt;= $F$2:$F$35) * (A931 &lt;= $G$2:$G$35), 0))</f>
        <v>#N/A</v>
      </c>
      <c r="E931" s="10" t="str">
        <f>IF(COUNTIF('Top5'!I:I, D931) &gt; 0, "Yes", "No")</f>
        <v>No</v>
      </c>
      <c r="F931" s="10"/>
      <c r="G931">
        <v>45769</v>
      </c>
      <c r="H931">
        <v>0.4513888888888889</v>
      </c>
      <c r="I931" t="s">
        <v>22</v>
      </c>
      <c r="J931" t="s">
        <v>51</v>
      </c>
      <c r="K931" t="s">
        <v>68</v>
      </c>
    </row>
    <row r="932" spans="1:11">
      <c r="A932" s="11">
        <v>45769</v>
      </c>
      <c r="B932" s="14">
        <v>0.66527777777777775</v>
      </c>
      <c r="C932" s="10" t="s">
        <v>22</v>
      </c>
      <c r="D932" s="10" t="e" cm="1">
        <f t="array" ref="D932">INDEX($H$2:$H$35, MATCH(1, (A932 &gt;= $F$2:$F$35) * (A932 &lt;= $G$2:$G$35), 0))</f>
        <v>#N/A</v>
      </c>
      <c r="E932" s="10" t="str">
        <f>IF(COUNTIF('Top5'!I:I, D932) &gt; 0, "Yes", "No")</f>
        <v>No</v>
      </c>
      <c r="F932" s="10"/>
      <c r="G932">
        <v>45769</v>
      </c>
      <c r="H932">
        <v>0.66527777777777775</v>
      </c>
      <c r="I932" t="s">
        <v>22</v>
      </c>
      <c r="J932" t="s">
        <v>51</v>
      </c>
      <c r="K932" t="s">
        <v>68</v>
      </c>
    </row>
    <row r="933" spans="1:11">
      <c r="A933" s="11">
        <v>45769</v>
      </c>
      <c r="B933" s="14">
        <v>0.76736111111111116</v>
      </c>
      <c r="C933" s="10" t="s">
        <v>23</v>
      </c>
      <c r="D933" s="10" t="e" cm="1">
        <f t="array" ref="D933">INDEX($H$2:$H$35, MATCH(1, (A933 &gt;= $F$2:$F$35) * (A933 &lt;= $G$2:$G$35), 0))</f>
        <v>#N/A</v>
      </c>
      <c r="E933" s="10" t="str">
        <f>IF(COUNTIF('Top5'!I:I, D933) &gt; 0, "Yes", "No")</f>
        <v>No</v>
      </c>
      <c r="F933" s="10"/>
      <c r="G933">
        <v>45769</v>
      </c>
      <c r="H933">
        <v>0.76736111111111116</v>
      </c>
      <c r="I933" t="s">
        <v>23</v>
      </c>
      <c r="J933" t="s">
        <v>51</v>
      </c>
      <c r="K933" t="s">
        <v>68</v>
      </c>
    </row>
    <row r="934" spans="1:11">
      <c r="A934" s="11">
        <v>45769</v>
      </c>
      <c r="B934" s="14">
        <v>0.77500000000000002</v>
      </c>
      <c r="C934" s="10" t="s">
        <v>23</v>
      </c>
      <c r="D934" s="10" t="e" cm="1">
        <f t="array" ref="D934">INDEX($H$2:$H$35, MATCH(1, (A934 &gt;= $F$2:$F$35) * (A934 &lt;= $G$2:$G$35), 0))</f>
        <v>#N/A</v>
      </c>
      <c r="E934" s="10" t="str">
        <f>IF(COUNTIF('Top5'!I:I, D934) &gt; 0, "Yes", "No")</f>
        <v>No</v>
      </c>
      <c r="F934" s="10"/>
      <c r="G934">
        <v>45769</v>
      </c>
      <c r="H934">
        <v>0.77500000000000002</v>
      </c>
      <c r="I934" t="s">
        <v>23</v>
      </c>
      <c r="J934" t="s">
        <v>51</v>
      </c>
      <c r="K934" t="s">
        <v>68</v>
      </c>
    </row>
    <row r="935" spans="1:11">
      <c r="A935" s="11">
        <v>45769</v>
      </c>
      <c r="B935" s="14">
        <v>0.80763888888888891</v>
      </c>
      <c r="C935" s="10" t="s">
        <v>23</v>
      </c>
      <c r="D935" s="10" t="e" cm="1">
        <f t="array" ref="D935">INDEX($H$2:$H$35, MATCH(1, (A935 &gt;= $F$2:$F$35) * (A935 &lt;= $G$2:$G$35), 0))</f>
        <v>#N/A</v>
      </c>
      <c r="E935" s="10" t="str">
        <f>IF(COUNTIF('Top5'!I:I, D935) &gt; 0, "Yes", "No")</f>
        <v>No</v>
      </c>
      <c r="F935" s="10"/>
      <c r="G935">
        <v>45769</v>
      </c>
      <c r="H935">
        <v>0.80763888888888891</v>
      </c>
      <c r="I935" t="s">
        <v>23</v>
      </c>
      <c r="J935" t="s">
        <v>51</v>
      </c>
      <c r="K935" t="s">
        <v>68</v>
      </c>
    </row>
    <row r="936" spans="1:11">
      <c r="A936" s="11">
        <v>45769</v>
      </c>
      <c r="B936" s="14">
        <v>0.97361111111111109</v>
      </c>
      <c r="C936" s="10" t="s">
        <v>23</v>
      </c>
      <c r="D936" s="10" t="e" cm="1">
        <f t="array" ref="D936">INDEX($H$2:$H$35, MATCH(1, (A936 &gt;= $F$2:$F$35) * (A936 &lt;= $G$2:$G$35), 0))</f>
        <v>#N/A</v>
      </c>
      <c r="E936" s="10" t="str">
        <f>IF(COUNTIF('Top5'!I:I, D936) &gt; 0, "Yes", "No")</f>
        <v>No</v>
      </c>
      <c r="F936" s="10"/>
      <c r="G936">
        <v>45769</v>
      </c>
      <c r="H936">
        <v>0.97361111111111109</v>
      </c>
      <c r="I936" t="s">
        <v>23</v>
      </c>
      <c r="J936" t="s">
        <v>51</v>
      </c>
      <c r="K936" t="s">
        <v>68</v>
      </c>
    </row>
    <row r="937" spans="1:11">
      <c r="A937" s="11">
        <v>45769</v>
      </c>
      <c r="B937" s="14">
        <v>0.9819444444444444</v>
      </c>
      <c r="C937" s="10" t="s">
        <v>23</v>
      </c>
      <c r="D937" s="10" t="e" cm="1">
        <f t="array" ref="D937">INDEX($H$2:$H$35, MATCH(1, (A937 &gt;= $F$2:$F$35) * (A937 &lt;= $G$2:$G$35), 0))</f>
        <v>#N/A</v>
      </c>
      <c r="E937" s="10" t="str">
        <f>IF(COUNTIF('Top5'!I:I, D937) &gt; 0, "Yes", "No")</f>
        <v>No</v>
      </c>
      <c r="F937" s="10"/>
      <c r="G937">
        <v>45769</v>
      </c>
      <c r="H937">
        <v>0.9819444444444444</v>
      </c>
      <c r="I937" t="s">
        <v>23</v>
      </c>
      <c r="J937" t="s">
        <v>51</v>
      </c>
      <c r="K937" t="s">
        <v>68</v>
      </c>
    </row>
    <row r="938" spans="1:11">
      <c r="A938" s="11">
        <v>45770</v>
      </c>
      <c r="B938" s="14">
        <v>0.43333333333333335</v>
      </c>
      <c r="C938" s="10" t="s">
        <v>22</v>
      </c>
      <c r="D938" s="10" t="e" cm="1">
        <f t="array" ref="D938">INDEX($H$2:$H$35, MATCH(1, (A938 &gt;= $F$2:$F$35) * (A938 &lt;= $G$2:$G$35), 0))</f>
        <v>#N/A</v>
      </c>
      <c r="E938" s="10" t="str">
        <f>IF(COUNTIF('Top5'!I:I, D938) &gt; 0, "Yes", "No")</f>
        <v>No</v>
      </c>
      <c r="F938" s="10"/>
      <c r="G938">
        <v>45770</v>
      </c>
      <c r="H938">
        <v>0.43333333333333335</v>
      </c>
      <c r="I938" t="s">
        <v>22</v>
      </c>
      <c r="J938" t="s">
        <v>51</v>
      </c>
      <c r="K938" t="s">
        <v>68</v>
      </c>
    </row>
    <row r="939" spans="1:11">
      <c r="A939" s="11">
        <v>45770</v>
      </c>
      <c r="B939" s="14">
        <v>0.43680555555555556</v>
      </c>
      <c r="C939" s="10" t="s">
        <v>22</v>
      </c>
      <c r="D939" s="10" t="e" cm="1">
        <f t="array" ref="D939">INDEX($H$2:$H$35, MATCH(1, (A939 &gt;= $F$2:$F$35) * (A939 &lt;= $G$2:$G$35), 0))</f>
        <v>#N/A</v>
      </c>
      <c r="E939" s="10" t="str">
        <f>IF(COUNTIF('Top5'!I:I, D939) &gt; 0, "Yes", "No")</f>
        <v>No</v>
      </c>
      <c r="F939" s="10"/>
      <c r="G939">
        <v>45770</v>
      </c>
      <c r="H939">
        <v>0.43680555555555556</v>
      </c>
      <c r="I939" t="s">
        <v>22</v>
      </c>
      <c r="J939" t="s">
        <v>51</v>
      </c>
      <c r="K939" t="s">
        <v>68</v>
      </c>
    </row>
    <row r="940" spans="1:11">
      <c r="A940" s="11">
        <v>45770</v>
      </c>
      <c r="B940" s="14">
        <v>0.49652777777777779</v>
      </c>
      <c r="C940" s="10" t="s">
        <v>22</v>
      </c>
      <c r="D940" s="10" t="e" cm="1">
        <f t="array" ref="D940">INDEX($H$2:$H$35, MATCH(1, (A940 &gt;= $F$2:$F$35) * (A940 &lt;= $G$2:$G$35), 0))</f>
        <v>#N/A</v>
      </c>
      <c r="E940" s="10" t="str">
        <f>IF(COUNTIF('Top5'!I:I, D940) &gt; 0, "Yes", "No")</f>
        <v>No</v>
      </c>
      <c r="F940" s="10"/>
      <c r="G940">
        <v>45770</v>
      </c>
      <c r="H940">
        <v>0.49652777777777779</v>
      </c>
      <c r="I940" t="s">
        <v>22</v>
      </c>
      <c r="J940" t="s">
        <v>51</v>
      </c>
      <c r="K940" t="s">
        <v>68</v>
      </c>
    </row>
    <row r="941" spans="1:11">
      <c r="A941" s="11">
        <v>45770</v>
      </c>
      <c r="B941" s="14">
        <v>0.49861111111111112</v>
      </c>
      <c r="C941" s="10" t="s">
        <v>22</v>
      </c>
      <c r="D941" s="10" t="e" cm="1">
        <f t="array" ref="D941">INDEX($H$2:$H$35, MATCH(1, (A941 &gt;= $F$2:$F$35) * (A941 &lt;= $G$2:$G$35), 0))</f>
        <v>#N/A</v>
      </c>
      <c r="E941" s="10" t="str">
        <f>IF(COUNTIF('Top5'!I:I, D941) &gt; 0, "Yes", "No")</f>
        <v>No</v>
      </c>
      <c r="F941" s="10"/>
      <c r="G941">
        <v>45770</v>
      </c>
      <c r="H941">
        <v>0.49861111111111112</v>
      </c>
      <c r="I941" t="s">
        <v>22</v>
      </c>
      <c r="J941" t="s">
        <v>51</v>
      </c>
      <c r="K941" t="s">
        <v>68</v>
      </c>
    </row>
    <row r="942" spans="1:11">
      <c r="A942" s="11">
        <v>45770</v>
      </c>
      <c r="B942" s="14">
        <v>0.49930555555555556</v>
      </c>
      <c r="C942" s="10" t="s">
        <v>22</v>
      </c>
      <c r="D942" s="10" t="e" cm="1">
        <f t="array" ref="D942">INDEX($H$2:$H$35, MATCH(1, (A942 &gt;= $F$2:$F$35) * (A942 &lt;= $G$2:$G$35), 0))</f>
        <v>#N/A</v>
      </c>
      <c r="E942" s="10" t="str">
        <f>IF(COUNTIF('Top5'!I:I, D942) &gt; 0, "Yes", "No")</f>
        <v>No</v>
      </c>
      <c r="F942" s="10"/>
      <c r="G942">
        <v>45770</v>
      </c>
      <c r="H942">
        <v>0.49930555555555556</v>
      </c>
      <c r="I942" t="s">
        <v>22</v>
      </c>
      <c r="J942" t="s">
        <v>51</v>
      </c>
      <c r="K942" t="s">
        <v>68</v>
      </c>
    </row>
    <row r="943" spans="1:11">
      <c r="A943" s="11">
        <v>45770</v>
      </c>
      <c r="B943" s="14">
        <v>0.51388888888888884</v>
      </c>
      <c r="C943" s="10" t="s">
        <v>22</v>
      </c>
      <c r="D943" s="10" t="e" cm="1">
        <f t="array" ref="D943">INDEX($H$2:$H$35, MATCH(1, (A943 &gt;= $F$2:$F$35) * (A943 &lt;= $G$2:$G$35), 0))</f>
        <v>#N/A</v>
      </c>
      <c r="E943" s="10" t="str">
        <f>IF(COUNTIF('Top5'!I:I, D943) &gt; 0, "Yes", "No")</f>
        <v>No</v>
      </c>
      <c r="F943" s="10"/>
      <c r="G943">
        <v>45770</v>
      </c>
      <c r="H943">
        <v>0.51388888888888884</v>
      </c>
      <c r="I943" t="s">
        <v>22</v>
      </c>
      <c r="J943" t="s">
        <v>51</v>
      </c>
      <c r="K943" t="s">
        <v>68</v>
      </c>
    </row>
    <row r="944" spans="1:11">
      <c r="A944" s="11">
        <v>45770</v>
      </c>
      <c r="B944" s="14">
        <v>0.51388888888888884</v>
      </c>
      <c r="C944" s="10" t="s">
        <v>22</v>
      </c>
      <c r="D944" s="10" t="e" cm="1">
        <f t="array" ref="D944">INDEX($H$2:$H$35, MATCH(1, (A944 &gt;= $F$2:$F$35) * (A944 &lt;= $G$2:$G$35), 0))</f>
        <v>#N/A</v>
      </c>
      <c r="E944" s="10" t="str">
        <f>IF(COUNTIF('Top5'!I:I, D944) &gt; 0, "Yes", "No")</f>
        <v>No</v>
      </c>
      <c r="F944" s="10"/>
      <c r="G944">
        <v>45770</v>
      </c>
      <c r="H944">
        <v>0.51388888888888884</v>
      </c>
      <c r="I944" t="s">
        <v>22</v>
      </c>
      <c r="J944" t="s">
        <v>51</v>
      </c>
      <c r="K944" t="s">
        <v>68</v>
      </c>
    </row>
    <row r="945" spans="1:11">
      <c r="A945" s="11">
        <v>45770</v>
      </c>
      <c r="B945" s="14">
        <v>0.51458333333333328</v>
      </c>
      <c r="C945" s="10" t="s">
        <v>22</v>
      </c>
      <c r="D945" s="10" t="e" cm="1">
        <f t="array" ref="D945">INDEX($H$2:$H$35, MATCH(1, (A945 &gt;= $F$2:$F$35) * (A945 &lt;= $G$2:$G$35), 0))</f>
        <v>#N/A</v>
      </c>
      <c r="E945" s="10" t="str">
        <f>IF(COUNTIF('Top5'!I:I, D945) &gt; 0, "Yes", "No")</f>
        <v>No</v>
      </c>
      <c r="F945" s="10"/>
      <c r="G945">
        <v>45770</v>
      </c>
      <c r="H945">
        <v>0.51458333333333328</v>
      </c>
      <c r="I945" t="s">
        <v>22</v>
      </c>
      <c r="J945" t="s">
        <v>51</v>
      </c>
      <c r="K945" t="s">
        <v>68</v>
      </c>
    </row>
    <row r="946" spans="1:11">
      <c r="A946" s="11">
        <v>45770</v>
      </c>
      <c r="B946" s="14">
        <v>0.51666666666666672</v>
      </c>
      <c r="C946" s="10" t="s">
        <v>22</v>
      </c>
      <c r="D946" s="10" t="e" cm="1">
        <f t="array" ref="D946">INDEX($H$2:$H$35, MATCH(1, (A946 &gt;= $F$2:$F$35) * (A946 &lt;= $G$2:$G$35), 0))</f>
        <v>#N/A</v>
      </c>
      <c r="E946" s="10" t="str">
        <f>IF(COUNTIF('Top5'!I:I, D946) &gt; 0, "Yes", "No")</f>
        <v>No</v>
      </c>
      <c r="F946" s="10"/>
      <c r="G946">
        <v>45770</v>
      </c>
      <c r="H946">
        <v>0.51666666666666672</v>
      </c>
      <c r="I946" t="s">
        <v>22</v>
      </c>
      <c r="J946" t="s">
        <v>51</v>
      </c>
      <c r="K946" t="s">
        <v>68</v>
      </c>
    </row>
    <row r="947" spans="1:11">
      <c r="A947" s="11">
        <v>45770</v>
      </c>
      <c r="B947" s="14">
        <v>0.51736111111111116</v>
      </c>
      <c r="C947" s="10" t="s">
        <v>22</v>
      </c>
      <c r="D947" s="10" t="e" cm="1">
        <f t="array" ref="D947">INDEX($H$2:$H$35, MATCH(1, (A947 &gt;= $F$2:$F$35) * (A947 &lt;= $G$2:$G$35), 0))</f>
        <v>#N/A</v>
      </c>
      <c r="E947" s="10" t="str">
        <f>IF(COUNTIF('Top5'!I:I, D947) &gt; 0, "Yes", "No")</f>
        <v>No</v>
      </c>
      <c r="F947" s="10"/>
      <c r="G947">
        <v>45770</v>
      </c>
      <c r="H947">
        <v>0.51736111111111116</v>
      </c>
      <c r="I947" t="s">
        <v>22</v>
      </c>
      <c r="J947" t="s">
        <v>51</v>
      </c>
      <c r="K947" t="s">
        <v>68</v>
      </c>
    </row>
    <row r="948" spans="1:11">
      <c r="A948" s="11">
        <v>45770</v>
      </c>
      <c r="B948" s="14">
        <v>0.5180555555555556</v>
      </c>
      <c r="C948" s="10" t="s">
        <v>22</v>
      </c>
      <c r="D948" s="10" t="e" cm="1">
        <f t="array" ref="D948">INDEX($H$2:$H$35, MATCH(1, (A948 &gt;= $F$2:$F$35) * (A948 &lt;= $G$2:$G$35), 0))</f>
        <v>#N/A</v>
      </c>
      <c r="E948" s="10" t="str">
        <f>IF(COUNTIF('Top5'!I:I, D948) &gt; 0, "Yes", "No")</f>
        <v>No</v>
      </c>
      <c r="F948" s="10"/>
      <c r="G948">
        <v>45770</v>
      </c>
      <c r="H948">
        <v>0.5180555555555556</v>
      </c>
      <c r="I948" t="s">
        <v>22</v>
      </c>
      <c r="J948" t="s">
        <v>51</v>
      </c>
      <c r="K948" t="s">
        <v>68</v>
      </c>
    </row>
    <row r="949" spans="1:11">
      <c r="A949" s="11">
        <v>45770</v>
      </c>
      <c r="B949" s="14">
        <v>0.5180555555555556</v>
      </c>
      <c r="C949" s="10" t="s">
        <v>22</v>
      </c>
      <c r="D949" s="10" t="e" cm="1">
        <f t="array" ref="D949">INDEX($H$2:$H$35, MATCH(1, (A949 &gt;= $F$2:$F$35) * (A949 &lt;= $G$2:$G$35), 0))</f>
        <v>#N/A</v>
      </c>
      <c r="E949" s="10" t="str">
        <f>IF(COUNTIF('Top5'!I:I, D949) &gt; 0, "Yes", "No")</f>
        <v>No</v>
      </c>
      <c r="F949" s="10"/>
      <c r="G949">
        <v>45770</v>
      </c>
      <c r="H949">
        <v>0.5180555555555556</v>
      </c>
      <c r="I949" t="s">
        <v>22</v>
      </c>
      <c r="J949" t="s">
        <v>51</v>
      </c>
      <c r="K949" t="s">
        <v>68</v>
      </c>
    </row>
    <row r="950" spans="1:11">
      <c r="A950" s="11">
        <v>45770</v>
      </c>
      <c r="B950" s="14">
        <v>0.5180555555555556</v>
      </c>
      <c r="C950" s="10" t="s">
        <v>22</v>
      </c>
      <c r="D950" s="10" t="e" cm="1">
        <f t="array" ref="D950">INDEX($H$2:$H$35, MATCH(1, (A950 &gt;= $F$2:$F$35) * (A950 &lt;= $G$2:$G$35), 0))</f>
        <v>#N/A</v>
      </c>
      <c r="E950" s="10" t="str">
        <f>IF(COUNTIF('Top5'!I:I, D950) &gt; 0, "Yes", "No")</f>
        <v>No</v>
      </c>
      <c r="F950" s="10"/>
      <c r="G950">
        <v>45770</v>
      </c>
      <c r="H950">
        <v>0.5180555555555556</v>
      </c>
      <c r="I950" t="s">
        <v>22</v>
      </c>
      <c r="J950" t="s">
        <v>51</v>
      </c>
      <c r="K950" t="s">
        <v>68</v>
      </c>
    </row>
    <row r="951" spans="1:11">
      <c r="A951" s="11">
        <v>45770</v>
      </c>
      <c r="B951" s="14">
        <v>0.51875000000000004</v>
      </c>
      <c r="C951" s="10" t="s">
        <v>22</v>
      </c>
      <c r="D951" s="10" t="e" cm="1">
        <f t="array" ref="D951">INDEX($H$2:$H$35, MATCH(1, (A951 &gt;= $F$2:$F$35) * (A951 &lt;= $G$2:$G$35), 0))</f>
        <v>#N/A</v>
      </c>
      <c r="E951" s="10" t="str">
        <f>IF(COUNTIF('Top5'!I:I, D951) &gt; 0, "Yes", "No")</f>
        <v>No</v>
      </c>
      <c r="F951" s="10"/>
      <c r="G951">
        <v>45770</v>
      </c>
      <c r="H951">
        <v>0.51875000000000004</v>
      </c>
      <c r="I951" t="s">
        <v>22</v>
      </c>
      <c r="J951" t="s">
        <v>51</v>
      </c>
      <c r="K951" t="s">
        <v>68</v>
      </c>
    </row>
    <row r="952" spans="1:11">
      <c r="A952" s="11">
        <v>45770</v>
      </c>
      <c r="B952" s="14">
        <v>0.52777777777777779</v>
      </c>
      <c r="C952" s="10" t="s">
        <v>22</v>
      </c>
      <c r="D952" s="10" t="e" cm="1">
        <f t="array" ref="D952">INDEX($H$2:$H$35, MATCH(1, (A952 &gt;= $F$2:$F$35) * (A952 &lt;= $G$2:$G$35), 0))</f>
        <v>#N/A</v>
      </c>
      <c r="E952" s="10" t="str">
        <f>IF(COUNTIF('Top5'!I:I, D952) &gt; 0, "Yes", "No")</f>
        <v>No</v>
      </c>
      <c r="F952" s="10"/>
      <c r="G952">
        <v>45770</v>
      </c>
      <c r="H952">
        <v>0.52777777777777779</v>
      </c>
      <c r="I952" t="s">
        <v>22</v>
      </c>
      <c r="J952" t="s">
        <v>51</v>
      </c>
      <c r="K952" t="s">
        <v>68</v>
      </c>
    </row>
    <row r="953" spans="1:11">
      <c r="A953" s="11">
        <v>45770</v>
      </c>
      <c r="B953" s="14">
        <v>0.52916666666666667</v>
      </c>
      <c r="C953" s="10" t="s">
        <v>22</v>
      </c>
      <c r="D953" s="10" t="e" cm="1">
        <f t="array" ref="D953">INDEX($H$2:$H$35, MATCH(1, (A953 &gt;= $F$2:$F$35) * (A953 &lt;= $G$2:$G$35), 0))</f>
        <v>#N/A</v>
      </c>
      <c r="E953" s="10" t="str">
        <f>IF(COUNTIF('Top5'!I:I, D953) &gt; 0, "Yes", "No")</f>
        <v>No</v>
      </c>
      <c r="F953" s="10"/>
      <c r="G953">
        <v>45770</v>
      </c>
      <c r="H953">
        <v>0.52916666666666667</v>
      </c>
      <c r="I953" t="s">
        <v>22</v>
      </c>
      <c r="J953" t="s">
        <v>51</v>
      </c>
      <c r="K953" t="s">
        <v>68</v>
      </c>
    </row>
    <row r="954" spans="1:11">
      <c r="A954" s="11">
        <v>45770</v>
      </c>
      <c r="B954" s="14">
        <v>0.53055555555555556</v>
      </c>
      <c r="C954" s="10" t="s">
        <v>22</v>
      </c>
      <c r="D954" s="10" t="e" cm="1">
        <f t="array" ref="D954">INDEX($H$2:$H$35, MATCH(1, (A954 &gt;= $F$2:$F$35) * (A954 &lt;= $G$2:$G$35), 0))</f>
        <v>#N/A</v>
      </c>
      <c r="E954" s="10" t="str">
        <f>IF(COUNTIF('Top5'!I:I, D954) &gt; 0, "Yes", "No")</f>
        <v>No</v>
      </c>
      <c r="F954" s="10"/>
      <c r="G954">
        <v>45770</v>
      </c>
      <c r="H954">
        <v>0.53055555555555556</v>
      </c>
      <c r="I954" t="s">
        <v>22</v>
      </c>
      <c r="J954" t="s">
        <v>51</v>
      </c>
      <c r="K954" t="s">
        <v>68</v>
      </c>
    </row>
    <row r="955" spans="1:11">
      <c r="A955" s="11">
        <v>45770</v>
      </c>
      <c r="B955" s="14">
        <v>0.53125</v>
      </c>
      <c r="C955" s="10" t="s">
        <v>22</v>
      </c>
      <c r="D955" s="10" t="e" cm="1">
        <f t="array" ref="D955">INDEX($H$2:$H$35, MATCH(1, (A955 &gt;= $F$2:$F$35) * (A955 &lt;= $G$2:$G$35), 0))</f>
        <v>#N/A</v>
      </c>
      <c r="E955" s="10" t="str">
        <f>IF(COUNTIF('Top5'!I:I, D955) &gt; 0, "Yes", "No")</f>
        <v>No</v>
      </c>
      <c r="F955" s="10"/>
      <c r="G955">
        <v>45770</v>
      </c>
      <c r="H955">
        <v>0.53125</v>
      </c>
      <c r="I955" t="s">
        <v>22</v>
      </c>
      <c r="J955" t="s">
        <v>51</v>
      </c>
      <c r="K955" t="s">
        <v>68</v>
      </c>
    </row>
    <row r="956" spans="1:11">
      <c r="A956" s="11">
        <v>45770</v>
      </c>
      <c r="B956" s="14">
        <v>0.61805555555555558</v>
      </c>
      <c r="C956" s="10" t="s">
        <v>22</v>
      </c>
      <c r="D956" s="10" t="e" cm="1">
        <f t="array" ref="D956">INDEX($H$2:$H$35, MATCH(1, (A956 &gt;= $F$2:$F$35) * (A956 &lt;= $G$2:$G$35), 0))</f>
        <v>#N/A</v>
      </c>
      <c r="E956" s="10" t="str">
        <f>IF(COUNTIF('Top5'!I:I, D956) &gt; 0, "Yes", "No")</f>
        <v>No</v>
      </c>
      <c r="F956" s="10"/>
      <c r="G956">
        <v>45770</v>
      </c>
      <c r="H956">
        <v>0.61805555555555558</v>
      </c>
      <c r="I956" t="s">
        <v>22</v>
      </c>
      <c r="J956" t="s">
        <v>51</v>
      </c>
      <c r="K956" t="s">
        <v>68</v>
      </c>
    </row>
    <row r="957" spans="1:11">
      <c r="A957" s="11">
        <v>45770</v>
      </c>
      <c r="B957" s="14">
        <v>0.72499999999999998</v>
      </c>
      <c r="C957" s="10" t="s">
        <v>23</v>
      </c>
      <c r="D957" s="10" t="e" cm="1">
        <f t="array" ref="D957">INDEX($H$2:$H$35, MATCH(1, (A957 &gt;= $F$2:$F$35) * (A957 &lt;= $G$2:$G$35), 0))</f>
        <v>#N/A</v>
      </c>
      <c r="E957" s="10" t="str">
        <f>IF(COUNTIF('Top5'!I:I, D957) &gt; 0, "Yes", "No")</f>
        <v>No</v>
      </c>
      <c r="F957" s="10"/>
      <c r="G957">
        <v>45770</v>
      </c>
      <c r="H957">
        <v>0.72499999999999998</v>
      </c>
      <c r="I957" t="s">
        <v>23</v>
      </c>
      <c r="J957" t="s">
        <v>51</v>
      </c>
      <c r="K957" t="s">
        <v>68</v>
      </c>
    </row>
    <row r="958" spans="1:11">
      <c r="A958" s="11">
        <v>45771</v>
      </c>
      <c r="B958" s="14">
        <v>0.58750000000000002</v>
      </c>
      <c r="C958" s="10" t="s">
        <v>22</v>
      </c>
      <c r="D958" s="10" t="e" cm="1">
        <f t="array" ref="D958">INDEX($H$2:$H$35, MATCH(1, (A958 &gt;= $F$2:$F$35) * (A958 &lt;= $G$2:$G$35), 0))</f>
        <v>#N/A</v>
      </c>
      <c r="E958" s="10" t="str">
        <f>IF(COUNTIF('Top5'!I:I, D958) &gt; 0, "Yes", "No")</f>
        <v>No</v>
      </c>
      <c r="F958" s="10"/>
      <c r="G958">
        <v>45771</v>
      </c>
      <c r="H958">
        <v>0.58750000000000002</v>
      </c>
      <c r="I958" t="s">
        <v>22</v>
      </c>
      <c r="J958" t="s">
        <v>51</v>
      </c>
      <c r="K958" t="s">
        <v>68</v>
      </c>
    </row>
    <row r="959" spans="1:11">
      <c r="A959" s="11">
        <v>45771</v>
      </c>
      <c r="B959" s="14">
        <v>0.65277777777777779</v>
      </c>
      <c r="C959" s="10" t="s">
        <v>22</v>
      </c>
      <c r="D959" s="10" t="e" cm="1">
        <f t="array" ref="D959">INDEX($H$2:$H$35, MATCH(1, (A959 &gt;= $F$2:$F$35) * (A959 &lt;= $G$2:$G$35), 0))</f>
        <v>#N/A</v>
      </c>
      <c r="E959" s="10" t="str">
        <f>IF(COUNTIF('Top5'!I:I, D959) &gt; 0, "Yes", "No")</f>
        <v>No</v>
      </c>
      <c r="F959" s="10"/>
      <c r="G959">
        <v>45771</v>
      </c>
      <c r="H959">
        <v>0.65277777777777779</v>
      </c>
      <c r="I959" t="s">
        <v>22</v>
      </c>
      <c r="J959" t="s">
        <v>51</v>
      </c>
      <c r="K959" t="s">
        <v>68</v>
      </c>
    </row>
    <row r="960" spans="1:11">
      <c r="A960" s="11">
        <v>45771</v>
      </c>
      <c r="B960" s="14">
        <v>0.85</v>
      </c>
      <c r="C960" s="10" t="s">
        <v>23</v>
      </c>
      <c r="D960" s="10" t="e" cm="1">
        <f t="array" ref="D960">INDEX($H$2:$H$35, MATCH(1, (A960 &gt;= $F$2:$F$35) * (A960 &lt;= $G$2:$G$35), 0))</f>
        <v>#N/A</v>
      </c>
      <c r="E960" s="10" t="str">
        <f>IF(COUNTIF('Top5'!I:I, D960) &gt; 0, "Yes", "No")</f>
        <v>No</v>
      </c>
      <c r="F960" s="10"/>
      <c r="G960">
        <v>45771</v>
      </c>
      <c r="H960">
        <v>0.85</v>
      </c>
      <c r="I960" t="s">
        <v>23</v>
      </c>
      <c r="J960" t="s">
        <v>51</v>
      </c>
      <c r="K960" t="s">
        <v>68</v>
      </c>
    </row>
    <row r="961" spans="1:11">
      <c r="A961" s="11">
        <v>45771</v>
      </c>
      <c r="B961" s="14">
        <v>0.87847222222222221</v>
      </c>
      <c r="C961" s="10" t="s">
        <v>23</v>
      </c>
      <c r="D961" s="10" t="e" cm="1">
        <f t="array" ref="D961">INDEX($H$2:$H$35, MATCH(1, (A961 &gt;= $F$2:$F$35) * (A961 &lt;= $G$2:$G$35), 0))</f>
        <v>#N/A</v>
      </c>
      <c r="E961" s="10" t="str">
        <f>IF(COUNTIF('Top5'!I:I, D961) &gt; 0, "Yes", "No")</f>
        <v>No</v>
      </c>
      <c r="F961" s="10"/>
      <c r="G961">
        <v>45771</v>
      </c>
      <c r="H961">
        <v>0.87847222222222221</v>
      </c>
      <c r="I961" t="s">
        <v>23</v>
      </c>
      <c r="J961" t="s">
        <v>51</v>
      </c>
      <c r="K961" t="s">
        <v>68</v>
      </c>
    </row>
    <row r="962" spans="1:11">
      <c r="A962" s="11">
        <v>45772</v>
      </c>
      <c r="B962" s="14">
        <v>0.4375</v>
      </c>
      <c r="C962" s="10" t="s">
        <v>22</v>
      </c>
      <c r="D962" s="10" t="e" cm="1">
        <f t="array" ref="D962">INDEX($H$2:$H$35, MATCH(1, (A962 &gt;= $F$2:$F$35) * (A962 &lt;= $G$2:$G$35), 0))</f>
        <v>#N/A</v>
      </c>
      <c r="E962" s="10" t="str">
        <f>IF(COUNTIF('Top5'!I:I, D962) &gt; 0, "Yes", "No")</f>
        <v>No</v>
      </c>
      <c r="F962" s="10"/>
      <c r="G962">
        <v>45772</v>
      </c>
      <c r="H962">
        <v>0.4375</v>
      </c>
      <c r="I962" t="s">
        <v>22</v>
      </c>
      <c r="J962" t="s">
        <v>51</v>
      </c>
      <c r="K962" t="s">
        <v>68</v>
      </c>
    </row>
    <row r="963" spans="1:11">
      <c r="A963" s="11">
        <v>45772</v>
      </c>
      <c r="B963" s="14">
        <v>0.4548611111111111</v>
      </c>
      <c r="C963" s="10" t="s">
        <v>22</v>
      </c>
      <c r="D963" s="10" t="e" cm="1">
        <f t="array" ref="D963">INDEX($H$2:$H$35, MATCH(1, (A963 &gt;= $F$2:$F$35) * (A963 &lt;= $G$2:$G$35), 0))</f>
        <v>#N/A</v>
      </c>
      <c r="E963" s="10" t="str">
        <f>IF(COUNTIF('Top5'!I:I, D963) &gt; 0, "Yes", "No")</f>
        <v>No</v>
      </c>
      <c r="F963" s="10"/>
      <c r="G963">
        <v>45772</v>
      </c>
      <c r="H963">
        <v>0.4548611111111111</v>
      </c>
      <c r="I963" t="s">
        <v>22</v>
      </c>
      <c r="J963" t="s">
        <v>51</v>
      </c>
      <c r="K963" t="s">
        <v>68</v>
      </c>
    </row>
    <row r="964" spans="1:11">
      <c r="A964" s="11">
        <v>45772</v>
      </c>
      <c r="B964" s="14">
        <v>0.93055555555555558</v>
      </c>
      <c r="C964" s="10" t="s">
        <v>23</v>
      </c>
      <c r="D964" s="10" t="e" cm="1">
        <f t="array" ref="D964">INDEX($H$2:$H$35, MATCH(1, (A964 &gt;= $F$2:$F$35) * (A964 &lt;= $G$2:$G$35), 0))</f>
        <v>#N/A</v>
      </c>
      <c r="E964" s="10" t="str">
        <f>IF(COUNTIF('Top5'!I:I, D964) &gt; 0, "Yes", "No")</f>
        <v>No</v>
      </c>
      <c r="F964" s="10"/>
      <c r="G964">
        <v>45772</v>
      </c>
      <c r="H964">
        <v>0.93055555555555558</v>
      </c>
      <c r="I964" t="s">
        <v>23</v>
      </c>
      <c r="J964" t="s">
        <v>51</v>
      </c>
      <c r="K964" t="s">
        <v>68</v>
      </c>
    </row>
    <row r="965" spans="1:11">
      <c r="A965" s="11">
        <v>45772</v>
      </c>
      <c r="B965" s="14">
        <v>0.93055555555555558</v>
      </c>
      <c r="C965" s="10" t="s">
        <v>23</v>
      </c>
      <c r="D965" s="10" t="e" cm="1">
        <f t="array" ref="D965">INDEX($H$2:$H$35, MATCH(1, (A965 &gt;= $F$2:$F$35) * (A965 &lt;= $G$2:$G$35), 0))</f>
        <v>#N/A</v>
      </c>
      <c r="E965" s="10" t="str">
        <f>IF(COUNTIF('Top5'!I:I, D965) &gt; 0, "Yes", "No")</f>
        <v>No</v>
      </c>
      <c r="F965" s="10"/>
      <c r="G965">
        <v>45772</v>
      </c>
      <c r="H965">
        <v>0.93055555555555558</v>
      </c>
      <c r="I965" t="s">
        <v>23</v>
      </c>
      <c r="J965" t="s">
        <v>51</v>
      </c>
      <c r="K965" t="s">
        <v>68</v>
      </c>
    </row>
    <row r="966" spans="1:11">
      <c r="A966" s="11">
        <v>45773</v>
      </c>
      <c r="B966" s="14">
        <v>0.44374999999999998</v>
      </c>
      <c r="C966" s="10" t="s">
        <v>22</v>
      </c>
      <c r="D966" s="10" t="e" cm="1">
        <f t="array" ref="D966">INDEX($H$2:$H$35, MATCH(1, (A966 &gt;= $F$2:$F$35) * (A966 &lt;= $G$2:$G$35), 0))</f>
        <v>#N/A</v>
      </c>
      <c r="E966" s="10" t="str">
        <f>IF(COUNTIF('Top5'!I:I, D966) &gt; 0, "Yes", "No")</f>
        <v>No</v>
      </c>
      <c r="F966" s="10"/>
      <c r="G966">
        <v>45773</v>
      </c>
      <c r="H966">
        <v>0.44374999999999998</v>
      </c>
      <c r="I966" t="s">
        <v>22</v>
      </c>
      <c r="J966" t="s">
        <v>51</v>
      </c>
      <c r="K966" t="s">
        <v>68</v>
      </c>
    </row>
    <row r="967" spans="1:11">
      <c r="A967" s="11">
        <v>45773</v>
      </c>
      <c r="B967" s="14">
        <v>0.4597222222222222</v>
      </c>
      <c r="C967" s="10" t="s">
        <v>22</v>
      </c>
      <c r="D967" s="10" t="e" cm="1">
        <f t="array" ref="D967">INDEX($H$2:$H$35, MATCH(1, (A967 &gt;= $F$2:$F$35) * (A967 &lt;= $G$2:$G$35), 0))</f>
        <v>#N/A</v>
      </c>
      <c r="E967" s="10" t="str">
        <f>IF(COUNTIF('Top5'!I:I, D967) &gt; 0, "Yes", "No")</f>
        <v>No</v>
      </c>
      <c r="F967" s="10"/>
      <c r="G967">
        <v>45773</v>
      </c>
      <c r="H967">
        <v>0.4597222222222222</v>
      </c>
      <c r="I967" t="s">
        <v>22</v>
      </c>
      <c r="J967" t="s">
        <v>51</v>
      </c>
      <c r="K967" t="s">
        <v>68</v>
      </c>
    </row>
    <row r="968" spans="1:11">
      <c r="A968" s="11">
        <v>45773</v>
      </c>
      <c r="B968" s="14">
        <v>0.46180555555555558</v>
      </c>
      <c r="C968" s="10" t="s">
        <v>22</v>
      </c>
      <c r="D968" s="10" t="e" cm="1">
        <f t="array" ref="D968">INDEX($H$2:$H$35, MATCH(1, (A968 &gt;= $F$2:$F$35) * (A968 &lt;= $G$2:$G$35), 0))</f>
        <v>#N/A</v>
      </c>
      <c r="E968" s="10" t="str">
        <f>IF(COUNTIF('Top5'!I:I, D968) &gt; 0, "Yes", "No")</f>
        <v>No</v>
      </c>
      <c r="F968" s="10"/>
      <c r="G968">
        <v>45773</v>
      </c>
      <c r="H968">
        <v>0.46180555555555558</v>
      </c>
      <c r="I968" t="s">
        <v>22</v>
      </c>
      <c r="J968" t="s">
        <v>51</v>
      </c>
      <c r="K968" t="s">
        <v>68</v>
      </c>
    </row>
    <row r="969" spans="1:11">
      <c r="A969" s="11">
        <v>45773</v>
      </c>
      <c r="B969" s="14">
        <v>0.80277777777777781</v>
      </c>
      <c r="C969" s="10" t="s">
        <v>23</v>
      </c>
      <c r="D969" s="10" t="e" cm="1">
        <f t="array" ref="D969">INDEX($H$2:$H$35, MATCH(1, (A969 &gt;= $F$2:$F$35) * (A969 &lt;= $G$2:$G$35), 0))</f>
        <v>#N/A</v>
      </c>
      <c r="E969" s="10" t="str">
        <f>IF(COUNTIF('Top5'!I:I, D969) &gt; 0, "Yes", "No")</f>
        <v>No</v>
      </c>
      <c r="F969" s="10"/>
      <c r="G969">
        <v>45773</v>
      </c>
      <c r="H969">
        <v>0.80277777777777781</v>
      </c>
      <c r="I969" t="s">
        <v>23</v>
      </c>
      <c r="J969" t="s">
        <v>51</v>
      </c>
      <c r="K969" t="s">
        <v>68</v>
      </c>
    </row>
    <row r="970" spans="1:11">
      <c r="A970" s="11">
        <v>45774</v>
      </c>
      <c r="B970" s="14">
        <v>6.9444444444444447E-4</v>
      </c>
      <c r="C970" s="10" t="s">
        <v>23</v>
      </c>
      <c r="D970" s="10" t="e" cm="1">
        <f t="array" ref="D970">INDEX($H$2:$H$35, MATCH(1, (A970 &gt;= $F$2:$F$35) * (A970 &lt;= $G$2:$G$35), 0))</f>
        <v>#N/A</v>
      </c>
      <c r="E970" s="10" t="str">
        <f>IF(COUNTIF('Top5'!I:I, D970) &gt; 0, "Yes", "No")</f>
        <v>No</v>
      </c>
      <c r="F970" s="10"/>
      <c r="G970">
        <v>45774</v>
      </c>
      <c r="H970">
        <v>6.9444444444444447E-4</v>
      </c>
      <c r="I970" t="s">
        <v>23</v>
      </c>
      <c r="J970" t="s">
        <v>51</v>
      </c>
      <c r="K970" t="s">
        <v>68</v>
      </c>
    </row>
    <row r="971" spans="1:11">
      <c r="A971" s="11">
        <v>45774</v>
      </c>
      <c r="B971" s="14">
        <v>0.59236111111111112</v>
      </c>
      <c r="C971" s="10" t="s">
        <v>22</v>
      </c>
      <c r="D971" s="10" t="e" cm="1">
        <f t="array" ref="D971">INDEX($H$2:$H$35, MATCH(1, (A971 &gt;= $F$2:$F$35) * (A971 &lt;= $G$2:$G$35), 0))</f>
        <v>#N/A</v>
      </c>
      <c r="E971" s="10" t="str">
        <f>IF(COUNTIF('Top5'!I:I, D971) &gt; 0, "Yes", "No")</f>
        <v>No</v>
      </c>
      <c r="F971" s="10"/>
      <c r="G971">
        <v>45774</v>
      </c>
      <c r="H971">
        <v>0.59236111111111112</v>
      </c>
      <c r="I971" t="s">
        <v>22</v>
      </c>
      <c r="J971" t="s">
        <v>51</v>
      </c>
      <c r="K971" t="s">
        <v>68</v>
      </c>
    </row>
    <row r="972" spans="1:11">
      <c r="A972" s="11">
        <v>45774</v>
      </c>
      <c r="B972" s="14">
        <v>0.59513888888888888</v>
      </c>
      <c r="C972" s="10" t="s">
        <v>22</v>
      </c>
      <c r="D972" s="10" t="e" cm="1">
        <f t="array" ref="D972">INDEX($H$2:$H$35, MATCH(1, (A972 &gt;= $F$2:$F$35) * (A972 &lt;= $G$2:$G$35), 0))</f>
        <v>#N/A</v>
      </c>
      <c r="E972" s="10" t="str">
        <f>IF(COUNTIF('Top5'!I:I, D972) &gt; 0, "Yes", "No")</f>
        <v>No</v>
      </c>
      <c r="F972" s="10"/>
      <c r="G972">
        <v>45774</v>
      </c>
      <c r="H972">
        <v>0.59513888888888888</v>
      </c>
      <c r="I972" t="s">
        <v>22</v>
      </c>
      <c r="J972" t="s">
        <v>51</v>
      </c>
      <c r="K972" t="s">
        <v>68</v>
      </c>
    </row>
    <row r="973" spans="1:11">
      <c r="A973" s="11">
        <v>45774</v>
      </c>
      <c r="B973" s="14">
        <v>0.75902777777777775</v>
      </c>
      <c r="C973" s="10" t="s">
        <v>23</v>
      </c>
      <c r="D973" s="10" t="e" cm="1">
        <f t="array" ref="D973">INDEX($H$2:$H$35, MATCH(1, (A973 &gt;= $F$2:$F$35) * (A973 &lt;= $G$2:$G$35), 0))</f>
        <v>#N/A</v>
      </c>
      <c r="E973" s="10" t="str">
        <f>IF(COUNTIF('Top5'!I:I, D973) &gt; 0, "Yes", "No")</f>
        <v>No</v>
      </c>
      <c r="F973" s="10"/>
      <c r="G973">
        <v>45774</v>
      </c>
      <c r="H973">
        <v>0.75902777777777775</v>
      </c>
      <c r="I973" t="s">
        <v>23</v>
      </c>
      <c r="J973" t="s">
        <v>51</v>
      </c>
      <c r="K973" t="s">
        <v>68</v>
      </c>
    </row>
    <row r="974" spans="1:11">
      <c r="A974" s="11">
        <v>45774</v>
      </c>
      <c r="B974" s="14">
        <v>0.77569444444444446</v>
      </c>
      <c r="C974" s="10" t="s">
        <v>23</v>
      </c>
      <c r="D974" s="10" t="e" cm="1">
        <f t="array" ref="D974">INDEX($H$2:$H$35, MATCH(1, (A974 &gt;= $F$2:$F$35) * (A974 &lt;= $G$2:$G$35), 0))</f>
        <v>#N/A</v>
      </c>
      <c r="E974" s="10" t="str">
        <f>IF(COUNTIF('Top5'!I:I, D974) &gt; 0, "Yes", "No")</f>
        <v>No</v>
      </c>
      <c r="F974" s="10"/>
      <c r="G974">
        <v>45774</v>
      </c>
      <c r="H974">
        <v>0.77569444444444446</v>
      </c>
      <c r="I974" t="s">
        <v>23</v>
      </c>
      <c r="J974" t="s">
        <v>51</v>
      </c>
      <c r="K974" t="s">
        <v>68</v>
      </c>
    </row>
    <row r="975" spans="1:11">
      <c r="A975" s="11">
        <v>45774</v>
      </c>
      <c r="B975" s="14">
        <v>0.98124999999999996</v>
      </c>
      <c r="C975" s="10" t="s">
        <v>23</v>
      </c>
      <c r="D975" s="10" t="e" cm="1">
        <f t="array" ref="D975">INDEX($H$2:$H$35, MATCH(1, (A975 &gt;= $F$2:$F$35) * (A975 &lt;= $G$2:$G$35), 0))</f>
        <v>#N/A</v>
      </c>
      <c r="E975" s="10" t="str">
        <f>IF(COUNTIF('Top5'!I:I, D975) &gt; 0, "Yes", "No")</f>
        <v>No</v>
      </c>
      <c r="F975" s="10"/>
      <c r="G975">
        <v>45774</v>
      </c>
      <c r="H975">
        <v>0.98124999999999996</v>
      </c>
      <c r="I975" t="s">
        <v>23</v>
      </c>
      <c r="J975" t="s">
        <v>51</v>
      </c>
      <c r="K975" t="s">
        <v>68</v>
      </c>
    </row>
    <row r="976" spans="1:11">
      <c r="A976" s="11">
        <v>45775</v>
      </c>
      <c r="B976" s="14">
        <v>3.472222222222222E-3</v>
      </c>
      <c r="C976" s="10" t="s">
        <v>23</v>
      </c>
      <c r="D976" s="10" t="e" cm="1">
        <f t="array" ref="D976">INDEX($H$2:$H$35, MATCH(1, (A976 &gt;= $F$2:$F$35) * (A976 &lt;= $G$2:$G$35), 0))</f>
        <v>#N/A</v>
      </c>
      <c r="E976" s="10" t="str">
        <f>IF(COUNTIF('Top5'!I:I, D976) &gt; 0, "Yes", "No")</f>
        <v>No</v>
      </c>
      <c r="F976" s="10"/>
      <c r="G976">
        <v>45775</v>
      </c>
      <c r="H976">
        <v>3.472222222222222E-3</v>
      </c>
      <c r="I976" t="s">
        <v>23</v>
      </c>
      <c r="J976" t="s">
        <v>51</v>
      </c>
      <c r="K976" t="s">
        <v>68</v>
      </c>
    </row>
    <row r="977" spans="1:11">
      <c r="A977" s="11">
        <v>45775</v>
      </c>
      <c r="B977" s="14">
        <v>0.49027777777777776</v>
      </c>
      <c r="C977" s="10" t="s">
        <v>22</v>
      </c>
      <c r="D977" s="10" t="e" cm="1">
        <f t="array" ref="D977">INDEX($H$2:$H$35, MATCH(1, (A977 &gt;= $F$2:$F$35) * (A977 &lt;= $G$2:$G$35), 0))</f>
        <v>#N/A</v>
      </c>
      <c r="E977" s="10" t="str">
        <f>IF(COUNTIF('Top5'!I:I, D977) &gt; 0, "Yes", "No")</f>
        <v>No</v>
      </c>
      <c r="F977" s="10"/>
      <c r="G977">
        <v>45775</v>
      </c>
      <c r="H977">
        <v>0.49027777777777776</v>
      </c>
      <c r="I977" t="s">
        <v>22</v>
      </c>
      <c r="J977" t="s">
        <v>51</v>
      </c>
      <c r="K977" t="s">
        <v>68</v>
      </c>
    </row>
    <row r="978" spans="1:11">
      <c r="A978" s="11">
        <v>45775</v>
      </c>
      <c r="B978" s="14">
        <v>0.49305555555555558</v>
      </c>
      <c r="C978" s="10" t="s">
        <v>22</v>
      </c>
      <c r="D978" s="10" t="e" cm="1">
        <f t="array" ref="D978">INDEX($H$2:$H$35, MATCH(1, (A978 &gt;= $F$2:$F$35) * (A978 &lt;= $G$2:$G$35), 0))</f>
        <v>#N/A</v>
      </c>
      <c r="E978" s="10" t="str">
        <f>IF(COUNTIF('Top5'!I:I, D978) &gt; 0, "Yes", "No")</f>
        <v>No</v>
      </c>
      <c r="F978" s="10"/>
      <c r="G978">
        <v>45775</v>
      </c>
      <c r="H978">
        <v>0.49305555555555558</v>
      </c>
      <c r="I978" t="s">
        <v>22</v>
      </c>
      <c r="J978" t="s">
        <v>51</v>
      </c>
      <c r="K978" t="s">
        <v>68</v>
      </c>
    </row>
    <row r="979" spans="1:11">
      <c r="A979" s="11">
        <v>45775</v>
      </c>
      <c r="B979" s="14">
        <v>0.49375000000000002</v>
      </c>
      <c r="C979" s="10" t="s">
        <v>22</v>
      </c>
      <c r="D979" s="10" t="e" cm="1">
        <f t="array" ref="D979">INDEX($H$2:$H$35, MATCH(1, (A979 &gt;= $F$2:$F$35) * (A979 &lt;= $G$2:$G$35), 0))</f>
        <v>#N/A</v>
      </c>
      <c r="E979" s="10" t="str">
        <f>IF(COUNTIF('Top5'!I:I, D979) &gt; 0, "Yes", "No")</f>
        <v>No</v>
      </c>
      <c r="F979" s="10"/>
      <c r="G979">
        <v>45775</v>
      </c>
      <c r="H979">
        <v>0.49375000000000002</v>
      </c>
      <c r="I979" t="s">
        <v>22</v>
      </c>
      <c r="J979" t="s">
        <v>51</v>
      </c>
      <c r="K979" t="s">
        <v>68</v>
      </c>
    </row>
    <row r="980" spans="1:11">
      <c r="A980" s="11">
        <v>45775</v>
      </c>
      <c r="B980" s="14">
        <v>0.50486111111111109</v>
      </c>
      <c r="C980" s="10" t="s">
        <v>22</v>
      </c>
      <c r="D980" s="10" t="e" cm="1">
        <f t="array" ref="D980">INDEX($H$2:$H$35, MATCH(1, (A980 &gt;= $F$2:$F$35) * (A980 &lt;= $G$2:$G$35), 0))</f>
        <v>#N/A</v>
      </c>
      <c r="E980" s="10" t="str">
        <f>IF(COUNTIF('Top5'!I:I, D980) &gt; 0, "Yes", "No")</f>
        <v>No</v>
      </c>
      <c r="F980" s="10"/>
      <c r="G980">
        <v>45775</v>
      </c>
      <c r="H980">
        <v>0.50486111111111109</v>
      </c>
      <c r="I980" t="s">
        <v>22</v>
      </c>
      <c r="J980" t="s">
        <v>51</v>
      </c>
      <c r="K980" t="s">
        <v>68</v>
      </c>
    </row>
    <row r="981" spans="1:11">
      <c r="A981" s="11">
        <v>45775</v>
      </c>
      <c r="B981" s="14">
        <v>0.50486111111111109</v>
      </c>
      <c r="C981" s="10" t="s">
        <v>22</v>
      </c>
      <c r="D981" s="10" t="e" cm="1">
        <f t="array" ref="D981">INDEX($H$2:$H$35, MATCH(1, (A981 &gt;= $F$2:$F$35) * (A981 &lt;= $G$2:$G$35), 0))</f>
        <v>#N/A</v>
      </c>
      <c r="E981" s="10" t="str">
        <f>IF(COUNTIF('Top5'!I:I, D981) &gt; 0, "Yes", "No")</f>
        <v>No</v>
      </c>
      <c r="F981" s="10"/>
      <c r="G981">
        <v>45775</v>
      </c>
      <c r="H981">
        <v>0.50486111111111109</v>
      </c>
      <c r="I981" t="s">
        <v>22</v>
      </c>
      <c r="J981" t="s">
        <v>51</v>
      </c>
      <c r="K981" t="s">
        <v>68</v>
      </c>
    </row>
    <row r="982" spans="1:11">
      <c r="A982" s="11">
        <v>45775</v>
      </c>
      <c r="B982" s="14">
        <v>0.65208333333333335</v>
      </c>
      <c r="C982" s="10" t="s">
        <v>22</v>
      </c>
      <c r="D982" s="10" t="e" cm="1">
        <f t="array" ref="D982">INDEX($H$2:$H$35, MATCH(1, (A982 &gt;= $F$2:$F$35) * (A982 &lt;= $G$2:$G$35), 0))</f>
        <v>#N/A</v>
      </c>
      <c r="E982" s="10" t="str">
        <f>IF(COUNTIF('Top5'!I:I, D982) &gt; 0, "Yes", "No")</f>
        <v>No</v>
      </c>
      <c r="F982" s="10"/>
      <c r="G982">
        <v>45775</v>
      </c>
      <c r="H982">
        <v>0.65208333333333335</v>
      </c>
      <c r="I982" t="s">
        <v>22</v>
      </c>
      <c r="J982" t="s">
        <v>51</v>
      </c>
      <c r="K982" t="s">
        <v>68</v>
      </c>
    </row>
    <row r="983" spans="1:11">
      <c r="A983" s="11">
        <v>45775</v>
      </c>
      <c r="B983" s="14">
        <v>0.66249999999999998</v>
      </c>
      <c r="C983" s="10" t="s">
        <v>22</v>
      </c>
      <c r="D983" s="10" t="e" cm="1">
        <f t="array" ref="D983">INDEX($H$2:$H$35, MATCH(1, (A983 &gt;= $F$2:$F$35) * (A983 &lt;= $G$2:$G$35), 0))</f>
        <v>#N/A</v>
      </c>
      <c r="E983" s="10" t="str">
        <f>IF(COUNTIF('Top5'!I:I, D983) &gt; 0, "Yes", "No")</f>
        <v>No</v>
      </c>
      <c r="F983" s="10"/>
      <c r="G983">
        <v>45775</v>
      </c>
      <c r="H983">
        <v>0.66249999999999998</v>
      </c>
      <c r="I983" t="s">
        <v>22</v>
      </c>
      <c r="J983" t="s">
        <v>51</v>
      </c>
      <c r="K983" t="s">
        <v>68</v>
      </c>
    </row>
    <row r="984" spans="1:11">
      <c r="A984" s="11">
        <v>45775</v>
      </c>
      <c r="B984" s="14">
        <v>0.70208333333333328</v>
      </c>
      <c r="C984" s="10" t="s">
        <v>22</v>
      </c>
      <c r="D984" s="10" t="e" cm="1">
        <f t="array" ref="D984">INDEX($H$2:$H$35, MATCH(1, (A984 &gt;= $F$2:$F$35) * (A984 &lt;= $G$2:$G$35), 0))</f>
        <v>#N/A</v>
      </c>
      <c r="E984" s="10" t="str">
        <f>IF(COUNTIF('Top5'!I:I, D984) &gt; 0, "Yes", "No")</f>
        <v>No</v>
      </c>
      <c r="F984" s="10"/>
      <c r="G984">
        <v>45775</v>
      </c>
      <c r="H984">
        <v>0.70208333333333328</v>
      </c>
      <c r="I984" t="s">
        <v>22</v>
      </c>
      <c r="J984" t="s">
        <v>51</v>
      </c>
      <c r="K984" t="s">
        <v>68</v>
      </c>
    </row>
    <row r="985" spans="1:11">
      <c r="A985" s="11">
        <v>45775</v>
      </c>
      <c r="B985" s="14">
        <v>0.8979166666666667</v>
      </c>
      <c r="C985" s="10" t="s">
        <v>23</v>
      </c>
      <c r="D985" s="10" t="e" cm="1">
        <f t="array" ref="D985">INDEX($H$2:$H$35, MATCH(1, (A985 &gt;= $F$2:$F$35) * (A985 &lt;= $G$2:$G$35), 0))</f>
        <v>#N/A</v>
      </c>
      <c r="E985" s="10" t="str">
        <f>IF(COUNTIF('Top5'!I:I, D985) &gt; 0, "Yes", "No")</f>
        <v>No</v>
      </c>
      <c r="F985" s="10"/>
      <c r="G985">
        <v>45775</v>
      </c>
      <c r="H985">
        <v>0.8979166666666667</v>
      </c>
      <c r="I985" t="s">
        <v>23</v>
      </c>
      <c r="J985" t="s">
        <v>51</v>
      </c>
      <c r="K985" t="s">
        <v>68</v>
      </c>
    </row>
    <row r="986" spans="1:11">
      <c r="A986" s="11">
        <v>45775</v>
      </c>
      <c r="B986" s="14">
        <v>0.90138888888888891</v>
      </c>
      <c r="C986" s="10" t="s">
        <v>23</v>
      </c>
      <c r="D986" s="10" t="e" cm="1">
        <f t="array" ref="D986">INDEX($H$2:$H$35, MATCH(1, (A986 &gt;= $F$2:$F$35) * (A986 &lt;= $G$2:$G$35), 0))</f>
        <v>#N/A</v>
      </c>
      <c r="E986" s="10" t="str">
        <f>IF(COUNTIF('Top5'!I:I, D986) &gt; 0, "Yes", "No")</f>
        <v>No</v>
      </c>
      <c r="F986" s="10"/>
      <c r="G986">
        <v>45775</v>
      </c>
      <c r="H986">
        <v>0.90138888888888891</v>
      </c>
      <c r="I986" t="s">
        <v>23</v>
      </c>
      <c r="J986" t="s">
        <v>51</v>
      </c>
      <c r="K986" t="s">
        <v>68</v>
      </c>
    </row>
    <row r="987" spans="1:11">
      <c r="A987" s="11">
        <v>45775</v>
      </c>
      <c r="B987" s="14">
        <v>0.90208333333333335</v>
      </c>
      <c r="C987" s="10" t="s">
        <v>23</v>
      </c>
      <c r="D987" s="10" t="e" cm="1">
        <f t="array" ref="D987">INDEX($H$2:$H$35, MATCH(1, (A987 &gt;= $F$2:$F$35) * (A987 &lt;= $G$2:$G$35), 0))</f>
        <v>#N/A</v>
      </c>
      <c r="E987" s="10" t="str">
        <f>IF(COUNTIF('Top5'!I:I, D987) &gt; 0, "Yes", "No")</f>
        <v>No</v>
      </c>
      <c r="F987" s="10"/>
      <c r="G987">
        <v>45775</v>
      </c>
      <c r="H987">
        <v>0.90208333333333335</v>
      </c>
      <c r="I987" t="s">
        <v>23</v>
      </c>
      <c r="J987" t="s">
        <v>51</v>
      </c>
      <c r="K987" t="s">
        <v>68</v>
      </c>
    </row>
    <row r="988" spans="1:11">
      <c r="A988" s="11">
        <v>45776</v>
      </c>
      <c r="B988" s="14">
        <v>2.0833333333333333E-3</v>
      </c>
      <c r="C988" s="10" t="s">
        <v>23</v>
      </c>
      <c r="D988" s="10" t="e" cm="1">
        <f t="array" ref="D988">INDEX($H$2:$H$35, MATCH(1, (A988 &gt;= $F$2:$F$35) * (A988 &lt;= $G$2:$G$35), 0))</f>
        <v>#N/A</v>
      </c>
      <c r="E988" s="10" t="str">
        <f>IF(COUNTIF('Top5'!I:I, D988) &gt; 0, "Yes", "No")</f>
        <v>No</v>
      </c>
      <c r="F988" s="10"/>
      <c r="G988">
        <v>45776</v>
      </c>
      <c r="H988">
        <v>2.0833333333333333E-3</v>
      </c>
      <c r="I988" t="s">
        <v>23</v>
      </c>
      <c r="J988" t="s">
        <v>64</v>
      </c>
      <c r="K988" t="s">
        <v>68</v>
      </c>
    </row>
    <row r="989" spans="1:11">
      <c r="A989" s="11">
        <v>45776</v>
      </c>
      <c r="B989" s="14">
        <v>2.0833333333333333E-3</v>
      </c>
      <c r="C989" s="10" t="s">
        <v>23</v>
      </c>
      <c r="D989" s="10" t="e" cm="1">
        <f t="array" ref="D989">INDEX($H$2:$H$35, MATCH(1, (A989 &gt;= $F$2:$F$35) * (A989 &lt;= $G$2:$G$35), 0))</f>
        <v>#N/A</v>
      </c>
      <c r="E989" s="10" t="str">
        <f>IF(COUNTIF('Top5'!I:I, D989) &gt; 0, "Yes", "No")</f>
        <v>No</v>
      </c>
      <c r="F989" s="10"/>
      <c r="G989">
        <v>45776</v>
      </c>
      <c r="H989">
        <v>2.0833333333333333E-3</v>
      </c>
      <c r="I989" t="s">
        <v>23</v>
      </c>
      <c r="J989" t="s">
        <v>64</v>
      </c>
      <c r="K989" t="s">
        <v>68</v>
      </c>
    </row>
    <row r="990" spans="1:11">
      <c r="A990" s="11">
        <v>45776</v>
      </c>
      <c r="B990" s="14">
        <v>2.0833333333333333E-3</v>
      </c>
      <c r="C990" s="10" t="s">
        <v>23</v>
      </c>
      <c r="D990" s="10" t="e" cm="1">
        <f t="array" ref="D990">INDEX($H$2:$H$35, MATCH(1, (A990 &gt;= $F$2:$F$35) * (A990 &lt;= $G$2:$G$35), 0))</f>
        <v>#N/A</v>
      </c>
      <c r="E990" s="10" t="str">
        <f>IF(COUNTIF('Top5'!I:I, D990) &gt; 0, "Yes", "No")</f>
        <v>No</v>
      </c>
      <c r="F990" s="10"/>
      <c r="G990">
        <v>45776</v>
      </c>
      <c r="H990">
        <v>2.0833333333333333E-3</v>
      </c>
      <c r="I990" t="s">
        <v>23</v>
      </c>
      <c r="J990" t="s">
        <v>64</v>
      </c>
      <c r="K990" t="s">
        <v>68</v>
      </c>
    </row>
    <row r="991" spans="1:11">
      <c r="A991" s="11">
        <v>45776</v>
      </c>
      <c r="B991" s="14">
        <v>0.75972222222222219</v>
      </c>
      <c r="C991" s="10" t="s">
        <v>23</v>
      </c>
      <c r="D991" s="10" t="e" cm="1">
        <f t="array" ref="D991">INDEX($H$2:$H$35, MATCH(1, (A991 &gt;= $F$2:$F$35) * (A991 &lt;= $G$2:$G$35), 0))</f>
        <v>#N/A</v>
      </c>
      <c r="E991" s="10" t="str">
        <f>IF(COUNTIF('Top5'!I:I, D991) &gt; 0, "Yes", "No")</f>
        <v>No</v>
      </c>
      <c r="F991" s="10"/>
      <c r="G991">
        <v>45776</v>
      </c>
      <c r="H991">
        <v>0.75972222222222219</v>
      </c>
      <c r="I991" t="s">
        <v>23</v>
      </c>
      <c r="J991" t="s">
        <v>64</v>
      </c>
      <c r="K991" t="s">
        <v>68</v>
      </c>
    </row>
    <row r="992" spans="1:11">
      <c r="A992" s="11">
        <v>45777</v>
      </c>
      <c r="B992" s="14">
        <v>0.41597222222222224</v>
      </c>
      <c r="C992" s="10" t="s">
        <v>22</v>
      </c>
      <c r="D992" s="10" t="e" cm="1">
        <f t="array" ref="D992">INDEX($H$2:$H$35, MATCH(1, (A992 &gt;= $F$2:$F$35) * (A992 &lt;= $G$2:$G$35), 0))</f>
        <v>#N/A</v>
      </c>
      <c r="E992" s="10" t="str">
        <f>IF(COUNTIF('Top5'!I:I, D992) &gt; 0, "Yes", "No")</f>
        <v>No</v>
      </c>
      <c r="F992" s="10"/>
      <c r="G992">
        <v>45777</v>
      </c>
      <c r="H992">
        <v>0.41597222222222224</v>
      </c>
      <c r="I992" t="s">
        <v>22</v>
      </c>
      <c r="J992" t="s">
        <v>64</v>
      </c>
      <c r="K992" t="s">
        <v>68</v>
      </c>
    </row>
    <row r="993" spans="1:11">
      <c r="A993" s="11">
        <v>45777</v>
      </c>
      <c r="B993" s="14">
        <v>0.53125</v>
      </c>
      <c r="C993" s="10" t="s">
        <v>22</v>
      </c>
      <c r="D993" s="10" t="e" cm="1">
        <f t="array" ref="D993">INDEX($H$2:$H$35, MATCH(1, (A993 &gt;= $F$2:$F$35) * (A993 &lt;= $G$2:$G$35), 0))</f>
        <v>#N/A</v>
      </c>
      <c r="E993" s="10" t="str">
        <f>IF(COUNTIF('Top5'!I:I, D993) &gt; 0, "Yes", "No")</f>
        <v>No</v>
      </c>
      <c r="F993" s="10"/>
      <c r="G993">
        <v>45777</v>
      </c>
      <c r="H993">
        <v>0.53125</v>
      </c>
      <c r="I993" t="s">
        <v>22</v>
      </c>
      <c r="J993" t="s">
        <v>64</v>
      </c>
      <c r="K993" t="s">
        <v>68</v>
      </c>
    </row>
    <row r="994" spans="1:11">
      <c r="A994" s="11">
        <v>45777</v>
      </c>
      <c r="B994" s="14">
        <v>0.57013888888888886</v>
      </c>
      <c r="C994" s="10" t="s">
        <v>22</v>
      </c>
      <c r="D994" s="10" t="e" cm="1">
        <f t="array" ref="D994">INDEX($H$2:$H$35, MATCH(1, (A994 &gt;= $F$2:$F$35) * (A994 &lt;= $G$2:$G$35), 0))</f>
        <v>#N/A</v>
      </c>
      <c r="E994" s="10" t="str">
        <f>IF(COUNTIF('Top5'!I:I, D994) &gt; 0, "Yes", "No")</f>
        <v>No</v>
      </c>
      <c r="F994" s="10"/>
      <c r="G994">
        <v>45777</v>
      </c>
      <c r="H994">
        <v>0.57013888888888886</v>
      </c>
      <c r="I994" t="s">
        <v>22</v>
      </c>
      <c r="J994" t="s">
        <v>64</v>
      </c>
      <c r="K994" t="s">
        <v>68</v>
      </c>
    </row>
    <row r="995" spans="1:11">
      <c r="A995" s="11">
        <v>45777</v>
      </c>
      <c r="B995" s="14">
        <v>0.5708333333333333</v>
      </c>
      <c r="C995" s="10" t="s">
        <v>22</v>
      </c>
      <c r="D995" s="10" t="e" cm="1">
        <f t="array" ref="D995">INDEX($H$2:$H$35, MATCH(1, (A995 &gt;= $F$2:$F$35) * (A995 &lt;= $G$2:$G$35), 0))</f>
        <v>#N/A</v>
      </c>
      <c r="E995" s="10" t="str">
        <f>IF(COUNTIF('Top5'!I:I, D995) &gt; 0, "Yes", "No")</f>
        <v>No</v>
      </c>
      <c r="F995" s="10"/>
      <c r="G995">
        <v>45777</v>
      </c>
      <c r="H995">
        <v>0.5708333333333333</v>
      </c>
      <c r="I995" t="s">
        <v>22</v>
      </c>
      <c r="J995" t="s">
        <v>64</v>
      </c>
      <c r="K995" t="s">
        <v>68</v>
      </c>
    </row>
    <row r="996" spans="1:11">
      <c r="A996" s="11">
        <v>45777</v>
      </c>
      <c r="B996" s="14">
        <v>0.57430555555555551</v>
      </c>
      <c r="C996" s="10" t="s">
        <v>22</v>
      </c>
      <c r="D996" s="10" t="e" cm="1">
        <f t="array" ref="D996">INDEX($H$2:$H$35, MATCH(1, (A996 &gt;= $F$2:$F$35) * (A996 &lt;= $G$2:$G$35), 0))</f>
        <v>#N/A</v>
      </c>
      <c r="E996" s="10" t="str">
        <f>IF(COUNTIF('Top5'!I:I, D996) &gt; 0, "Yes", "No")</f>
        <v>No</v>
      </c>
      <c r="F996" s="10"/>
      <c r="G996">
        <v>45777</v>
      </c>
      <c r="H996">
        <v>0.57430555555555551</v>
      </c>
      <c r="I996" t="s">
        <v>22</v>
      </c>
      <c r="J996" t="s">
        <v>64</v>
      </c>
      <c r="K996" t="s">
        <v>68</v>
      </c>
    </row>
    <row r="997" spans="1:11">
      <c r="A997" s="11">
        <v>45777</v>
      </c>
      <c r="B997" s="14">
        <v>0.59513888888888888</v>
      </c>
      <c r="C997" s="10" t="s">
        <v>22</v>
      </c>
      <c r="D997" s="10" t="e" cm="1">
        <f t="array" ref="D997">INDEX($H$2:$H$35, MATCH(1, (A997 &gt;= $F$2:$F$35) * (A997 &lt;= $G$2:$G$35), 0))</f>
        <v>#N/A</v>
      </c>
      <c r="E997" s="10" t="str">
        <f>IF(COUNTIF('Top5'!I:I, D997) &gt; 0, "Yes", "No")</f>
        <v>No</v>
      </c>
      <c r="F997" s="10"/>
      <c r="G997">
        <v>45777</v>
      </c>
      <c r="H997">
        <v>0.59513888888888888</v>
      </c>
      <c r="I997" t="s">
        <v>22</v>
      </c>
      <c r="J997" t="s">
        <v>64</v>
      </c>
      <c r="K997" t="s">
        <v>68</v>
      </c>
    </row>
    <row r="998" spans="1:11">
      <c r="A998" s="11">
        <v>45777</v>
      </c>
      <c r="B998" s="14">
        <v>0.80694444444444446</v>
      </c>
      <c r="C998" s="10" t="s">
        <v>23</v>
      </c>
      <c r="D998" s="10" t="e" cm="1">
        <f t="array" ref="D998">INDEX($H$2:$H$35, MATCH(1, (A998 &gt;= $F$2:$F$35) * (A998 &lt;= $G$2:$G$35), 0))</f>
        <v>#N/A</v>
      </c>
      <c r="E998" s="10" t="str">
        <f>IF(COUNTIF('Top5'!I:I, D998) &gt; 0, "Yes", "No")</f>
        <v>No</v>
      </c>
      <c r="F998" s="10"/>
      <c r="G998">
        <v>45777</v>
      </c>
      <c r="H998">
        <v>0.80694444444444446</v>
      </c>
      <c r="I998" t="s">
        <v>23</v>
      </c>
      <c r="J998" t="s">
        <v>64</v>
      </c>
      <c r="K998" t="s">
        <v>68</v>
      </c>
    </row>
    <row r="999" spans="1:11">
      <c r="A999" s="11">
        <v>45777</v>
      </c>
      <c r="B999" s="14">
        <v>0.80833333333333335</v>
      </c>
      <c r="C999" s="10" t="s">
        <v>23</v>
      </c>
      <c r="D999" s="10" t="e" cm="1">
        <f t="array" ref="D999">INDEX($H$2:$H$35, MATCH(1, (A999 &gt;= $F$2:$F$35) * (A999 &lt;= $G$2:$G$35), 0))</f>
        <v>#N/A</v>
      </c>
      <c r="E999" s="10" t="str">
        <f>IF(COUNTIF('Top5'!I:I, D999) &gt; 0, "Yes", "No")</f>
        <v>No</v>
      </c>
      <c r="F999" s="10"/>
      <c r="G999">
        <v>45777</v>
      </c>
      <c r="H999">
        <v>0.80833333333333335</v>
      </c>
      <c r="I999" t="s">
        <v>23</v>
      </c>
      <c r="J999" t="s">
        <v>64</v>
      </c>
      <c r="K999" t="s">
        <v>68</v>
      </c>
    </row>
    <row r="1000" spans="1:11">
      <c r="A1000" s="11">
        <v>45777</v>
      </c>
      <c r="B1000" s="14">
        <v>0.80902777777777779</v>
      </c>
      <c r="C1000" s="10" t="s">
        <v>23</v>
      </c>
      <c r="D1000" s="10" t="e" cm="1">
        <f t="array" ref="D1000">INDEX($H$2:$H$35, MATCH(1, (A1000 &gt;= $F$2:$F$35) * (A1000 &lt;= $G$2:$G$35), 0))</f>
        <v>#N/A</v>
      </c>
      <c r="E1000" s="10" t="str">
        <f>IF(COUNTIF('Top5'!I:I, D1000) &gt; 0, "Yes", "No")</f>
        <v>No</v>
      </c>
      <c r="F1000" s="10"/>
      <c r="G1000">
        <v>45777</v>
      </c>
      <c r="H1000">
        <v>0.80902777777777779</v>
      </c>
      <c r="I1000" t="s">
        <v>23</v>
      </c>
      <c r="J1000" t="s">
        <v>64</v>
      </c>
      <c r="K1000" t="s">
        <v>68</v>
      </c>
    </row>
    <row r="1001" spans="1:11">
      <c r="A1001" s="11">
        <v>45777</v>
      </c>
      <c r="B1001" s="14">
        <v>0.81388888888888888</v>
      </c>
      <c r="C1001" s="10" t="s">
        <v>23</v>
      </c>
      <c r="D1001" s="10" t="e" cm="1">
        <f t="array" ref="D1001">INDEX($H$2:$H$35, MATCH(1, (A1001 &gt;= $F$2:$F$35) * (A1001 &lt;= $G$2:$G$35), 0))</f>
        <v>#N/A</v>
      </c>
      <c r="E1001" s="10" t="str">
        <f>IF(COUNTIF('Top5'!I:I, D1001) &gt; 0, "Yes", "No")</f>
        <v>No</v>
      </c>
      <c r="F1001" s="10"/>
      <c r="G1001">
        <v>45777</v>
      </c>
      <c r="H1001">
        <v>0.81388888888888888</v>
      </c>
      <c r="I1001" t="s">
        <v>23</v>
      </c>
      <c r="J1001" t="s">
        <v>64</v>
      </c>
      <c r="K1001" t="s">
        <v>68</v>
      </c>
    </row>
  </sheetData>
  <autoFilter ref="A1:F1001" xr:uid="{491B88A9-317C-4086-8401-58B1C4645595}"/>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Weekly data(nov 2024- may 2025)</vt:lpstr>
      <vt:lpstr>DAILY DATA</vt:lpstr>
      <vt:lpstr>Top5</vt:lpstr>
      <vt:lpstr>TOP 5 ANALYSIS 2</vt:lpstr>
      <vt:lpstr>daily real</vt:lpstr>
      <vt:lpstr>ROUGH CALCULATION SHEET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priyanshu singh</dc:creator>
  <cp:lastModifiedBy>Tps Priyanshu</cp:lastModifiedBy>
  <cp:lastPrinted>2025-05-23T10:43:00Z</cp:lastPrinted>
  <dcterms:created xsi:type="dcterms:W3CDTF">2025-05-23T10:42:01Z</dcterms:created>
  <dcterms:modified xsi:type="dcterms:W3CDTF">2025-05-24T18:26:15Z</dcterms:modified>
</cp:coreProperties>
</file>